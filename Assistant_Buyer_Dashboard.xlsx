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ivot Summaries" sheetId="2" state="visible" r:id="rId4"/>
    <sheet name="Raw Data" sheetId="3" state="visible" r:id="rId5"/>
    <sheet name="Assumptions" sheetId="4" state="visible" r:id="rId6"/>
  </sheets>
  <definedNames>
    <definedName function="false" hidden="false" name="AvgCurrentPrice" vbProcedure="false">Assumptions!$B$9</definedName>
    <definedName function="false" hidden="false" name="MarkdownP75" vbProcedure="false">Assumptions!$B$4</definedName>
    <definedName function="false" hidden="false" name="OverallAvgMarkdown" vbProcedure="false">Assumptions!$B$5</definedName>
    <definedName function="false" hidden="false" name="OverallReturnRate" vbProcedure="false">Assumptions!$B$6</definedName>
    <definedName function="false" hidden="false" name="StockP33" vbProcedure="false">Assumptions!$B$2</definedName>
    <definedName function="false" hidden="false" name="StockP67" vbProcedure="false">Assumptions!$B$3</definedName>
    <definedName function="false" hidden="false" name="TotalInventory" vbProcedure="false">Assumptions!$B$7</definedName>
    <definedName function="false" hidden="false" name="TotalProducts" vbProcedure="false">Assumptions!$B$8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<sst xmlns="http://schemas.openxmlformats.org/spreadsheetml/2006/main" count="15158" uniqueCount="2561">
  <si>
    <t xml:space="preserve">ARITZIA-INSPIRED BUYER DASHBOARD</t>
  </si>
  <si>
    <t xml:space="preserve">Product Performance • Inventory • Pricing • Merchandising</t>
  </si>
  <si>
    <t xml:space="preserve">TOTAL INVENTORY</t>
  </si>
  <si>
    <t xml:space="preserve">PRODUCTS</t>
  </si>
  <si>
    <t xml:space="preserve">AVG PRICE</t>
  </si>
  <si>
    <t xml:space="preserve">AVG MARKDOWN</t>
  </si>
  <si>
    <t xml:space="preserve">RETURN RATE</t>
  </si>
  <si>
    <t xml:space="preserve">Category Snapshot (select a category):</t>
  </si>
  <si>
    <t xml:space="preserve">Accessories</t>
  </si>
  <si>
    <t xml:space="preserve">Total Stock (this category)</t>
  </si>
  <si>
    <t xml:space="preserve">Return Rate (this category)</t>
  </si>
  <si>
    <t xml:space="preserve">Buyer Attention</t>
  </si>
  <si>
    <t xml:space="preserve">Alert</t>
  </si>
  <si>
    <t xml:space="preserve">Count</t>
  </si>
  <si>
    <t xml:space="preserve">Recommendation</t>
  </si>
  <si>
    <t xml:space="preserve">Overstock Review</t>
  </si>
  <si>
    <t xml:space="preserve">High stock + high markdown. Review for potential overstock.</t>
  </si>
  <si>
    <t xml:space="preserve">Low Inventory</t>
  </si>
  <si>
    <t xml:space="preserve">Stock in bottom tercile. Monitor availability.</t>
  </si>
  <si>
    <t xml:space="preserve">Markdown Review</t>
  </si>
  <si>
    <t xml:space="preserve">Season(s) above overall avg markdown (highlighted in Pivot Summaries). Review markdown strategy.</t>
  </si>
  <si>
    <t xml:space="preserve">Return Review</t>
  </si>
  <si>
    <t xml:space="preserve">Categories above overall return rate (highlighted in Pivot Summaries). Review product/return patterns.</t>
  </si>
  <si>
    <t xml:space="preserve">Inventory by Category</t>
  </si>
  <si>
    <t xml:space="preserve">Category</t>
  </si>
  <si>
    <t xml:space="preserve">Total Stock Quantity</t>
  </si>
  <si>
    <t xml:space="preserve">Bottoms</t>
  </si>
  <si>
    <t xml:space="preserve">Dresses</t>
  </si>
  <si>
    <t xml:space="preserve">Outerwear</t>
  </si>
  <si>
    <t xml:space="preserve">Shoes</t>
  </si>
  <si>
    <t xml:space="preserve">Tops</t>
  </si>
  <si>
    <t xml:space="preserve">Average Markdown by Season</t>
  </si>
  <si>
    <t xml:space="preserve">Season</t>
  </si>
  <si>
    <t xml:space="preserve">Avg Markdown %</t>
  </si>
  <si>
    <t xml:space="preserve">Spring</t>
  </si>
  <si>
    <t xml:space="preserve">Summer</t>
  </si>
  <si>
    <t xml:space="preserve">Fall</t>
  </si>
  <si>
    <t xml:space="preserve">Winter</t>
  </si>
  <si>
    <t xml:space="preserve">Inventory by Season</t>
  </si>
  <si>
    <t xml:space="preserve">Return Rate by Category</t>
  </si>
  <si>
    <t xml:space="preserve">Return Rate</t>
  </si>
  <si>
    <t xml:space="preserve">Buyer Recommendation Counts</t>
  </si>
  <si>
    <t xml:space="preserve">Product Count</t>
  </si>
  <si>
    <t xml:space="preserve">BUY / PRIORITIZE</t>
  </si>
  <si>
    <t xml:space="preserve">HOLD / REVIEW</t>
  </si>
  <si>
    <t xml:space="preserve">MONITOR</t>
  </si>
  <si>
    <t xml:space="preserve">Top 10 Products by Inventory</t>
  </si>
  <si>
    <t xml:space="preserve">Product</t>
  </si>
  <si>
    <t xml:space="preserve">Brand</t>
  </si>
  <si>
    <t xml:space="preserve">Stock Quantity</t>
  </si>
  <si>
    <t xml:space="preserve">Current Price</t>
  </si>
  <si>
    <t xml:space="preserve">Markdown %</t>
  </si>
  <si>
    <t xml:space="preserve">product_id</t>
  </si>
  <si>
    <t xml:space="preserve">category</t>
  </si>
  <si>
    <t xml:space="preserve">brand</t>
  </si>
  <si>
    <t xml:space="preserve">season</t>
  </si>
  <si>
    <t xml:space="preserve">size</t>
  </si>
  <si>
    <t xml:space="preserve">color</t>
  </si>
  <si>
    <t xml:space="preserve">original_price</t>
  </si>
  <si>
    <t xml:space="preserve">markdown_percentage</t>
  </si>
  <si>
    <t xml:space="preserve">current_price</t>
  </si>
  <si>
    <t xml:space="preserve">purchase_date</t>
  </si>
  <si>
    <t xml:space="preserve">stock_quantity</t>
  </si>
  <si>
    <t xml:space="preserve">customer_rating</t>
  </si>
  <si>
    <t xml:space="preserve">is_returned</t>
  </si>
  <si>
    <t xml:space="preserve">return_reason</t>
  </si>
  <si>
    <t xml:space="preserve">stock_tier</t>
  </si>
  <si>
    <t xml:space="preserve">markdown_tier</t>
  </si>
  <si>
    <t xml:space="preserve">rating_tier</t>
  </si>
  <si>
    <t xml:space="preserve">buyer_recommendation</t>
  </si>
  <si>
    <t xml:space="preserve">rank_key</t>
  </si>
  <si>
    <t xml:space="preserve">FB000001</t>
  </si>
  <si>
    <t xml:space="preserve">Zara</t>
  </si>
  <si>
    <t xml:space="preserve">XL</t>
  </si>
  <si>
    <t xml:space="preserve">Red</t>
  </si>
  <si>
    <t xml:space="preserve">2025-07-05</t>
  </si>
  <si>
    <t xml:space="preserve">FB000002</t>
  </si>
  <si>
    <t xml:space="preserve">Uniqlo</t>
  </si>
  <si>
    <t xml:space="preserve">L</t>
  </si>
  <si>
    <t xml:space="preserve">Pink</t>
  </si>
  <si>
    <t xml:space="preserve">2025-08-06</t>
  </si>
  <si>
    <t xml:space="preserve">FB000003</t>
  </si>
  <si>
    <t xml:space="preserve">Black</t>
  </si>
  <si>
    <t xml:space="preserve">FB000004</t>
  </si>
  <si>
    <t xml:space="preserve">2025-07-07</t>
  </si>
  <si>
    <t xml:space="preserve">FB000005</t>
  </si>
  <si>
    <t xml:space="preserve">Banana Republic</t>
  </si>
  <si>
    <t xml:space="preserve">FB000006</t>
  </si>
  <si>
    <t xml:space="preserve">White</t>
  </si>
  <si>
    <t xml:space="preserve">Color Mismatch</t>
  </si>
  <si>
    <t xml:space="preserve">FB000007</t>
  </si>
  <si>
    <t xml:space="preserve">S</t>
  </si>
  <si>
    <t xml:space="preserve">Gray</t>
  </si>
  <si>
    <t xml:space="preserve">2024-10-29</t>
  </si>
  <si>
    <t xml:space="preserve">FB000008</t>
  </si>
  <si>
    <t xml:space="preserve">Mango</t>
  </si>
  <si>
    <t xml:space="preserve">Blue</t>
  </si>
  <si>
    <t xml:space="preserve">FB000009</t>
  </si>
  <si>
    <t xml:space="preserve">Green</t>
  </si>
  <si>
    <t xml:space="preserve">2025-03-24</t>
  </si>
  <si>
    <t xml:space="preserve">FB000010</t>
  </si>
  <si>
    <t xml:space="preserve">H&amp;M</t>
  </si>
  <si>
    <t xml:space="preserve">XXL</t>
  </si>
  <si>
    <t xml:space="preserve">FB000011</t>
  </si>
  <si>
    <t xml:space="preserve">2025-04-25</t>
  </si>
  <si>
    <t xml:space="preserve">FB000012</t>
  </si>
  <si>
    <t xml:space="preserve">FB000013</t>
  </si>
  <si>
    <t xml:space="preserve">Ann Taylor</t>
  </si>
  <si>
    <t xml:space="preserve">2025-01-04</t>
  </si>
  <si>
    <t xml:space="preserve">FB000014</t>
  </si>
  <si>
    <t xml:space="preserve">XS</t>
  </si>
  <si>
    <t xml:space="preserve">Beige</t>
  </si>
  <si>
    <t xml:space="preserve">FB000015</t>
  </si>
  <si>
    <t xml:space="preserve">M</t>
  </si>
  <si>
    <t xml:space="preserve">FB000016</t>
  </si>
  <si>
    <t xml:space="preserve">FB000017</t>
  </si>
  <si>
    <t xml:space="preserve">Gap</t>
  </si>
  <si>
    <t xml:space="preserve">FB000018</t>
  </si>
  <si>
    <t xml:space="preserve">Navy</t>
  </si>
  <si>
    <t xml:space="preserve">FB000019</t>
  </si>
  <si>
    <t xml:space="preserve">Purple</t>
  </si>
  <si>
    <t xml:space="preserve">FB000020</t>
  </si>
  <si>
    <t xml:space="preserve">FB000021</t>
  </si>
  <si>
    <t xml:space="preserve">FB000022</t>
  </si>
  <si>
    <t xml:space="preserve">Brown</t>
  </si>
  <si>
    <t xml:space="preserve">2024-09-24</t>
  </si>
  <si>
    <t xml:space="preserve">FB000023</t>
  </si>
  <si>
    <t xml:space="preserve">FB000024</t>
  </si>
  <si>
    <t xml:space="preserve">Size Issue</t>
  </si>
  <si>
    <t xml:space="preserve">FB000025</t>
  </si>
  <si>
    <t xml:space="preserve">Forever21</t>
  </si>
  <si>
    <t xml:space="preserve">FB000026</t>
  </si>
  <si>
    <t xml:space="preserve">2025-06-11</t>
  </si>
  <si>
    <t xml:space="preserve">FB000027</t>
  </si>
  <si>
    <t xml:space="preserve">Damaged</t>
  </si>
  <si>
    <t xml:space="preserve">FB000028</t>
  </si>
  <si>
    <t xml:space="preserve">FB000029</t>
  </si>
  <si>
    <t xml:space="preserve">FB000030</t>
  </si>
  <si>
    <t xml:space="preserve">2024-10-24</t>
  </si>
  <si>
    <t xml:space="preserve">FB000031</t>
  </si>
  <si>
    <t xml:space="preserve">Quality Issue</t>
  </si>
  <si>
    <t xml:space="preserve">FB000032</t>
  </si>
  <si>
    <t xml:space="preserve">2025-04-16</t>
  </si>
  <si>
    <t xml:space="preserve">FB000033</t>
  </si>
  <si>
    <t xml:space="preserve">2024-10-16</t>
  </si>
  <si>
    <t xml:space="preserve">FB000034</t>
  </si>
  <si>
    <t xml:space="preserve">FB000035</t>
  </si>
  <si>
    <t xml:space="preserve">FB000036</t>
  </si>
  <si>
    <t xml:space="preserve">FB000037</t>
  </si>
  <si>
    <t xml:space="preserve">FB000038</t>
  </si>
  <si>
    <t xml:space="preserve">FB000039</t>
  </si>
  <si>
    <t xml:space="preserve">FB000040</t>
  </si>
  <si>
    <t xml:space="preserve">FB000041</t>
  </si>
  <si>
    <t xml:space="preserve">FB000042</t>
  </si>
  <si>
    <t xml:space="preserve">FB000043</t>
  </si>
  <si>
    <t xml:space="preserve">FB000044</t>
  </si>
  <si>
    <t xml:space="preserve">FB000045</t>
  </si>
  <si>
    <t xml:space="preserve">FB000046</t>
  </si>
  <si>
    <t xml:space="preserve">FB000047</t>
  </si>
  <si>
    <t xml:space="preserve">FB000048</t>
  </si>
  <si>
    <t xml:space="preserve">FB000049</t>
  </si>
  <si>
    <t xml:space="preserve">FB000050</t>
  </si>
  <si>
    <t xml:space="preserve">FB000051</t>
  </si>
  <si>
    <t xml:space="preserve">FB000052</t>
  </si>
  <si>
    <t xml:space="preserve">2025-05-03</t>
  </si>
  <si>
    <t xml:space="preserve">FB000053</t>
  </si>
  <si>
    <t xml:space="preserve">FB000054</t>
  </si>
  <si>
    <t xml:space="preserve">2025-06-12</t>
  </si>
  <si>
    <t xml:space="preserve">FB000055</t>
  </si>
  <si>
    <t xml:space="preserve">FB000056</t>
  </si>
  <si>
    <t xml:space="preserve">FB000057</t>
  </si>
  <si>
    <t xml:space="preserve">2025-07-10</t>
  </si>
  <si>
    <t xml:space="preserve">FB000058</t>
  </si>
  <si>
    <t xml:space="preserve">2024-10-25</t>
  </si>
  <si>
    <t xml:space="preserve">FB000059</t>
  </si>
  <si>
    <t xml:space="preserve">FB000060</t>
  </si>
  <si>
    <t xml:space="preserve">FB000061</t>
  </si>
  <si>
    <t xml:space="preserve">FB000062</t>
  </si>
  <si>
    <t xml:space="preserve">Changed Mind</t>
  </si>
  <si>
    <t xml:space="preserve">FB000063</t>
  </si>
  <si>
    <t xml:space="preserve">FB000064</t>
  </si>
  <si>
    <t xml:space="preserve">FB000065</t>
  </si>
  <si>
    <t xml:space="preserve">FB000066</t>
  </si>
  <si>
    <t xml:space="preserve">2025-06-01</t>
  </si>
  <si>
    <t xml:space="preserve">FB000067</t>
  </si>
  <si>
    <t xml:space="preserve">FB000068</t>
  </si>
  <si>
    <t xml:space="preserve">2025-01-26</t>
  </si>
  <si>
    <t xml:space="preserve">FB000069</t>
  </si>
  <si>
    <t xml:space="preserve">2025-04-01</t>
  </si>
  <si>
    <t xml:space="preserve">FB000070</t>
  </si>
  <si>
    <t xml:space="preserve">FB000071</t>
  </si>
  <si>
    <t xml:space="preserve">Wrong Item</t>
  </si>
  <si>
    <t xml:space="preserve">FB000072</t>
  </si>
  <si>
    <t xml:space="preserve">FB000073</t>
  </si>
  <si>
    <t xml:space="preserve">FB000074</t>
  </si>
  <si>
    <t xml:space="preserve">FB000075</t>
  </si>
  <si>
    <t xml:space="preserve">2025-05-10</t>
  </si>
  <si>
    <t xml:space="preserve">FB000076</t>
  </si>
  <si>
    <t xml:space="preserve">2024-10-14</t>
  </si>
  <si>
    <t xml:space="preserve">FB000077</t>
  </si>
  <si>
    <t xml:space="preserve">2024-09-13</t>
  </si>
  <si>
    <t xml:space="preserve">FB000078</t>
  </si>
  <si>
    <t xml:space="preserve">FB000079</t>
  </si>
  <si>
    <t xml:space="preserve">FB000080</t>
  </si>
  <si>
    <t xml:space="preserve">FB000081</t>
  </si>
  <si>
    <t xml:space="preserve">2025-07-25</t>
  </si>
  <si>
    <t xml:space="preserve">FB000082</t>
  </si>
  <si>
    <t xml:space="preserve">FB000083</t>
  </si>
  <si>
    <t xml:space="preserve">FB000084</t>
  </si>
  <si>
    <t xml:space="preserve">FB000085</t>
  </si>
  <si>
    <t xml:space="preserve">2025-02-10</t>
  </si>
  <si>
    <t xml:space="preserve">FB000086</t>
  </si>
  <si>
    <t xml:space="preserve">FB000087</t>
  </si>
  <si>
    <t xml:space="preserve">FB000088</t>
  </si>
  <si>
    <t xml:space="preserve">FB000089</t>
  </si>
  <si>
    <t xml:space="preserve">2024-12-29</t>
  </si>
  <si>
    <t xml:space="preserve">FB000090</t>
  </si>
  <si>
    <t xml:space="preserve">FB000091</t>
  </si>
  <si>
    <t xml:space="preserve">2024-09-09</t>
  </si>
  <si>
    <t xml:space="preserve">FB000092</t>
  </si>
  <si>
    <t xml:space="preserve">FB000093</t>
  </si>
  <si>
    <t xml:space="preserve">FB000094</t>
  </si>
  <si>
    <t xml:space="preserve">FB000095</t>
  </si>
  <si>
    <t xml:space="preserve">FB000096</t>
  </si>
  <si>
    <t xml:space="preserve">FB000097</t>
  </si>
  <si>
    <t xml:space="preserve">FB000098</t>
  </si>
  <si>
    <t xml:space="preserve">FB000099</t>
  </si>
  <si>
    <t xml:space="preserve">FB000100</t>
  </si>
  <si>
    <t xml:space="preserve">FB000101</t>
  </si>
  <si>
    <t xml:space="preserve">FB000102</t>
  </si>
  <si>
    <t xml:space="preserve">FB000103</t>
  </si>
  <si>
    <t xml:space="preserve">2024-11-08</t>
  </si>
  <si>
    <t xml:space="preserve">FB000104</t>
  </si>
  <si>
    <t xml:space="preserve">FB000105</t>
  </si>
  <si>
    <t xml:space="preserve">FB000106</t>
  </si>
  <si>
    <t xml:space="preserve">2025-06-17</t>
  </si>
  <si>
    <t xml:space="preserve">FB000107</t>
  </si>
  <si>
    <t xml:space="preserve">FB000108</t>
  </si>
  <si>
    <t xml:space="preserve">FB000109</t>
  </si>
  <si>
    <t xml:space="preserve">FB000110</t>
  </si>
  <si>
    <t xml:space="preserve">FB000111</t>
  </si>
  <si>
    <t xml:space="preserve">2025-07-20</t>
  </si>
  <si>
    <t xml:space="preserve">FB000112</t>
  </si>
  <si>
    <t xml:space="preserve">FB000113</t>
  </si>
  <si>
    <t xml:space="preserve">FB000114</t>
  </si>
  <si>
    <t xml:space="preserve">FB000115</t>
  </si>
  <si>
    <t xml:space="preserve">FB000116</t>
  </si>
  <si>
    <t xml:space="preserve">2024-09-06</t>
  </si>
  <si>
    <t xml:space="preserve">FB000117</t>
  </si>
  <si>
    <t xml:space="preserve">FB000118</t>
  </si>
  <si>
    <t xml:space="preserve">2024-11-25</t>
  </si>
  <si>
    <t xml:space="preserve">FB000119</t>
  </si>
  <si>
    <t xml:space="preserve">FB000120</t>
  </si>
  <si>
    <t xml:space="preserve">2025-07-04</t>
  </si>
  <si>
    <t xml:space="preserve">FB000121</t>
  </si>
  <si>
    <t xml:space="preserve">FB000122</t>
  </si>
  <si>
    <t xml:space="preserve">FB000123</t>
  </si>
  <si>
    <t xml:space="preserve">FB000124</t>
  </si>
  <si>
    <t xml:space="preserve">FB000125</t>
  </si>
  <si>
    <t xml:space="preserve">FB000126</t>
  </si>
  <si>
    <t xml:space="preserve">2025-01-14</t>
  </si>
  <si>
    <t xml:space="preserve">FB000127</t>
  </si>
  <si>
    <t xml:space="preserve">2024-12-06</t>
  </si>
  <si>
    <t xml:space="preserve">FB000128</t>
  </si>
  <si>
    <t xml:space="preserve">FB000129</t>
  </si>
  <si>
    <t xml:space="preserve">2025-03-05</t>
  </si>
  <si>
    <t xml:space="preserve">FB000130</t>
  </si>
  <si>
    <t xml:space="preserve">FB000131</t>
  </si>
  <si>
    <t xml:space="preserve">2024-11-16</t>
  </si>
  <si>
    <t xml:space="preserve">FB000132</t>
  </si>
  <si>
    <t xml:space="preserve">2025-04-12</t>
  </si>
  <si>
    <t xml:space="preserve">FB000133</t>
  </si>
  <si>
    <t xml:space="preserve">2024-11-04</t>
  </si>
  <si>
    <t xml:space="preserve">FB000134</t>
  </si>
  <si>
    <t xml:space="preserve">FB000135</t>
  </si>
  <si>
    <t xml:space="preserve">2025-01-13</t>
  </si>
  <si>
    <t xml:space="preserve">FB000136</t>
  </si>
  <si>
    <t xml:space="preserve">FB000137</t>
  </si>
  <si>
    <t xml:space="preserve">FB000138</t>
  </si>
  <si>
    <t xml:space="preserve">FB000139</t>
  </si>
  <si>
    <t xml:space="preserve">FB000140</t>
  </si>
  <si>
    <t xml:space="preserve">2024-10-01</t>
  </si>
  <si>
    <t xml:space="preserve">FB000141</t>
  </si>
  <si>
    <t xml:space="preserve">2024-11-03</t>
  </si>
  <si>
    <t xml:space="preserve">FB000142</t>
  </si>
  <si>
    <t xml:space="preserve">FB000143</t>
  </si>
  <si>
    <t xml:space="preserve">FB000144</t>
  </si>
  <si>
    <t xml:space="preserve">2025-07-16</t>
  </si>
  <si>
    <t xml:space="preserve">FB000145</t>
  </si>
  <si>
    <t xml:space="preserve">2025-02-17</t>
  </si>
  <si>
    <t xml:space="preserve">FB000146</t>
  </si>
  <si>
    <t xml:space="preserve">FB000147</t>
  </si>
  <si>
    <t xml:space="preserve">FB000148</t>
  </si>
  <si>
    <t xml:space="preserve">2025-07-24</t>
  </si>
  <si>
    <t xml:space="preserve">FB000149</t>
  </si>
  <si>
    <t xml:space="preserve">FB000150</t>
  </si>
  <si>
    <t xml:space="preserve">2024-09-15</t>
  </si>
  <si>
    <t xml:space="preserve">FB000151</t>
  </si>
  <si>
    <t xml:space="preserve">FB000152</t>
  </si>
  <si>
    <t xml:space="preserve">FB000153</t>
  </si>
  <si>
    <t xml:space="preserve">FB000154</t>
  </si>
  <si>
    <t xml:space="preserve">FB000155</t>
  </si>
  <si>
    <t xml:space="preserve">FB000156</t>
  </si>
  <si>
    <t xml:space="preserve">2024-10-03</t>
  </si>
  <si>
    <t xml:space="preserve">FB000157</t>
  </si>
  <si>
    <t xml:space="preserve">FB000158</t>
  </si>
  <si>
    <t xml:space="preserve">FB000159</t>
  </si>
  <si>
    <t xml:space="preserve">FB000160</t>
  </si>
  <si>
    <t xml:space="preserve">FB000161</t>
  </si>
  <si>
    <t xml:space="preserve">FB000162</t>
  </si>
  <si>
    <t xml:space="preserve">2024-09-12</t>
  </si>
  <si>
    <t xml:space="preserve">FB000163</t>
  </si>
  <si>
    <t xml:space="preserve">2025-06-20</t>
  </si>
  <si>
    <t xml:space="preserve">FB000164</t>
  </si>
  <si>
    <t xml:space="preserve">2024-09-17</t>
  </si>
  <si>
    <t xml:space="preserve">FB000165</t>
  </si>
  <si>
    <t xml:space="preserve">FB000166</t>
  </si>
  <si>
    <t xml:space="preserve">FB000167</t>
  </si>
  <si>
    <t xml:space="preserve">2024-12-19</t>
  </si>
  <si>
    <t xml:space="preserve">FB000168</t>
  </si>
  <si>
    <t xml:space="preserve">FB000169</t>
  </si>
  <si>
    <t xml:space="preserve">FB000170</t>
  </si>
  <si>
    <t xml:space="preserve">FB000171</t>
  </si>
  <si>
    <t xml:space="preserve">FB000172</t>
  </si>
  <si>
    <t xml:space="preserve">FB000173</t>
  </si>
  <si>
    <t xml:space="preserve">FB000174</t>
  </si>
  <si>
    <t xml:space="preserve">FB000175</t>
  </si>
  <si>
    <t xml:space="preserve">2024-08-28</t>
  </si>
  <si>
    <t xml:space="preserve">FB000176</t>
  </si>
  <si>
    <t xml:space="preserve">FB000177</t>
  </si>
  <si>
    <t xml:space="preserve">FB000178</t>
  </si>
  <si>
    <t xml:space="preserve">FB000179</t>
  </si>
  <si>
    <t xml:space="preserve">FB000180</t>
  </si>
  <si>
    <t xml:space="preserve">2024-12-03</t>
  </si>
  <si>
    <t xml:space="preserve">FB000181</t>
  </si>
  <si>
    <t xml:space="preserve">2024-09-26</t>
  </si>
  <si>
    <t xml:space="preserve">FB000182</t>
  </si>
  <si>
    <t xml:space="preserve">FB000183</t>
  </si>
  <si>
    <t xml:space="preserve">FB000184</t>
  </si>
  <si>
    <t xml:space="preserve">FB000185</t>
  </si>
  <si>
    <t xml:space="preserve">FB000186</t>
  </si>
  <si>
    <t xml:space="preserve">FB000187</t>
  </si>
  <si>
    <t xml:space="preserve">FB000188</t>
  </si>
  <si>
    <t xml:space="preserve">FB000189</t>
  </si>
  <si>
    <t xml:space="preserve">FB000190</t>
  </si>
  <si>
    <t xml:space="preserve">2024-10-04</t>
  </si>
  <si>
    <t xml:space="preserve">FB000191</t>
  </si>
  <si>
    <t xml:space="preserve">FB000192</t>
  </si>
  <si>
    <t xml:space="preserve">FB000193</t>
  </si>
  <si>
    <t xml:space="preserve">FB000194</t>
  </si>
  <si>
    <t xml:space="preserve">FB000195</t>
  </si>
  <si>
    <t xml:space="preserve">FB000196</t>
  </si>
  <si>
    <t xml:space="preserve">FB000197</t>
  </si>
  <si>
    <t xml:space="preserve">2024-11-23</t>
  </si>
  <si>
    <t xml:space="preserve">FB000198</t>
  </si>
  <si>
    <t xml:space="preserve">FB000199</t>
  </si>
  <si>
    <t xml:space="preserve">FB000200</t>
  </si>
  <si>
    <t xml:space="preserve">FB000201</t>
  </si>
  <si>
    <t xml:space="preserve">FB000202</t>
  </si>
  <si>
    <t xml:space="preserve">FB000203</t>
  </si>
  <si>
    <t xml:space="preserve">FB000204</t>
  </si>
  <si>
    <t xml:space="preserve">FB000205</t>
  </si>
  <si>
    <t xml:space="preserve">FB000206</t>
  </si>
  <si>
    <t xml:space="preserve">FB000207</t>
  </si>
  <si>
    <t xml:space="preserve">2024-09-28</t>
  </si>
  <si>
    <t xml:space="preserve">FB000208</t>
  </si>
  <si>
    <t xml:space="preserve">2025-04-29</t>
  </si>
  <si>
    <t xml:space="preserve">FB000209</t>
  </si>
  <si>
    <t xml:space="preserve">FB000210</t>
  </si>
  <si>
    <t xml:space="preserve">FB000211</t>
  </si>
  <si>
    <t xml:space="preserve">2025-05-23</t>
  </si>
  <si>
    <t xml:space="preserve">FB000212</t>
  </si>
  <si>
    <t xml:space="preserve">2025-07-17</t>
  </si>
  <si>
    <t xml:space="preserve">FB000213</t>
  </si>
  <si>
    <t xml:space="preserve">2024-08-21</t>
  </si>
  <si>
    <t xml:space="preserve">FB000214</t>
  </si>
  <si>
    <t xml:space="preserve">FB000215</t>
  </si>
  <si>
    <t xml:space="preserve">FB000216</t>
  </si>
  <si>
    <t xml:space="preserve">FB000217</t>
  </si>
  <si>
    <t xml:space="preserve">FB000218</t>
  </si>
  <si>
    <t xml:space="preserve">FB000219</t>
  </si>
  <si>
    <t xml:space="preserve">FB000220</t>
  </si>
  <si>
    <t xml:space="preserve">FB000221</t>
  </si>
  <si>
    <t xml:space="preserve">2025-01-30</t>
  </si>
  <si>
    <t xml:space="preserve">FB000222</t>
  </si>
  <si>
    <t xml:space="preserve">FB000223</t>
  </si>
  <si>
    <t xml:space="preserve">FB000224</t>
  </si>
  <si>
    <t xml:space="preserve">FB000225</t>
  </si>
  <si>
    <t xml:space="preserve">FB000226</t>
  </si>
  <si>
    <t xml:space="preserve">2024-12-27</t>
  </si>
  <si>
    <t xml:space="preserve">FB000227</t>
  </si>
  <si>
    <t xml:space="preserve">FB000228</t>
  </si>
  <si>
    <t xml:space="preserve">2024-11-02</t>
  </si>
  <si>
    <t xml:space="preserve">FB000229</t>
  </si>
  <si>
    <t xml:space="preserve">2024-10-10</t>
  </si>
  <si>
    <t xml:space="preserve">FB000230</t>
  </si>
  <si>
    <t xml:space="preserve">2025-07-14</t>
  </si>
  <si>
    <t xml:space="preserve">FB000231</t>
  </si>
  <si>
    <t xml:space="preserve">FB000232</t>
  </si>
  <si>
    <t xml:space="preserve">FB000233</t>
  </si>
  <si>
    <t xml:space="preserve">FB000234</t>
  </si>
  <si>
    <t xml:space="preserve">FB000235</t>
  </si>
  <si>
    <t xml:space="preserve">FB000236</t>
  </si>
  <si>
    <t xml:space="preserve">2024-08-16</t>
  </si>
  <si>
    <t xml:space="preserve">FB000237</t>
  </si>
  <si>
    <t xml:space="preserve">FB000238</t>
  </si>
  <si>
    <t xml:space="preserve">FB000239</t>
  </si>
  <si>
    <t xml:space="preserve">2025-08-01</t>
  </si>
  <si>
    <t xml:space="preserve">FB000240</t>
  </si>
  <si>
    <t xml:space="preserve">FB000241</t>
  </si>
  <si>
    <t xml:space="preserve">FB000242</t>
  </si>
  <si>
    <t xml:space="preserve">FB000243</t>
  </si>
  <si>
    <t xml:space="preserve">FB000244</t>
  </si>
  <si>
    <t xml:space="preserve">FB000245</t>
  </si>
  <si>
    <t xml:space="preserve">FB000246</t>
  </si>
  <si>
    <t xml:space="preserve">FB000247</t>
  </si>
  <si>
    <t xml:space="preserve">FB000248</t>
  </si>
  <si>
    <t xml:space="preserve">2025-05-08</t>
  </si>
  <si>
    <t xml:space="preserve">FB000249</t>
  </si>
  <si>
    <t xml:space="preserve">FB000250</t>
  </si>
  <si>
    <t xml:space="preserve">FB000251</t>
  </si>
  <si>
    <t xml:space="preserve">2025-04-26</t>
  </si>
  <si>
    <t xml:space="preserve">FB000252</t>
  </si>
  <si>
    <t xml:space="preserve">FB000253</t>
  </si>
  <si>
    <t xml:space="preserve">FB000254</t>
  </si>
  <si>
    <t xml:space="preserve">FB000255</t>
  </si>
  <si>
    <t xml:space="preserve">FB000256</t>
  </si>
  <si>
    <t xml:space="preserve">FB000257</t>
  </si>
  <si>
    <t xml:space="preserve">FB000258</t>
  </si>
  <si>
    <t xml:space="preserve">2024-12-25</t>
  </si>
  <si>
    <t xml:space="preserve">FB000259</t>
  </si>
  <si>
    <t xml:space="preserve">2024-09-27</t>
  </si>
  <si>
    <t xml:space="preserve">FB000260</t>
  </si>
  <si>
    <t xml:space="preserve">FB000261</t>
  </si>
  <si>
    <t xml:space="preserve">FB000262</t>
  </si>
  <si>
    <t xml:space="preserve">FB000263</t>
  </si>
  <si>
    <t xml:space="preserve">2025-06-27</t>
  </si>
  <si>
    <t xml:space="preserve">FB000264</t>
  </si>
  <si>
    <t xml:space="preserve">FB000265</t>
  </si>
  <si>
    <t xml:space="preserve">FB000266</t>
  </si>
  <si>
    <t xml:space="preserve">FB000267</t>
  </si>
  <si>
    <t xml:space="preserve">FB000268</t>
  </si>
  <si>
    <t xml:space="preserve">FB000269</t>
  </si>
  <si>
    <t xml:space="preserve">FB000270</t>
  </si>
  <si>
    <t xml:space="preserve">FB000271</t>
  </si>
  <si>
    <t xml:space="preserve">FB000272</t>
  </si>
  <si>
    <t xml:space="preserve">FB000273</t>
  </si>
  <si>
    <t xml:space="preserve">FB000274</t>
  </si>
  <si>
    <t xml:space="preserve">FB000275</t>
  </si>
  <si>
    <t xml:space="preserve">FB000276</t>
  </si>
  <si>
    <t xml:space="preserve">FB000277</t>
  </si>
  <si>
    <t xml:space="preserve">FB000278</t>
  </si>
  <si>
    <t xml:space="preserve">FB000279</t>
  </si>
  <si>
    <t xml:space="preserve">2025-03-30</t>
  </si>
  <si>
    <t xml:space="preserve">FB000280</t>
  </si>
  <si>
    <t xml:space="preserve">FB000281</t>
  </si>
  <si>
    <t xml:space="preserve">FB000282</t>
  </si>
  <si>
    <t xml:space="preserve">FB000283</t>
  </si>
  <si>
    <t xml:space="preserve">FB000284</t>
  </si>
  <si>
    <t xml:space="preserve">FB000285</t>
  </si>
  <si>
    <t xml:space="preserve">FB000286</t>
  </si>
  <si>
    <t xml:space="preserve">FB000287</t>
  </si>
  <si>
    <t xml:space="preserve">FB000288</t>
  </si>
  <si>
    <t xml:space="preserve">FB000289</t>
  </si>
  <si>
    <t xml:space="preserve">FB000290</t>
  </si>
  <si>
    <t xml:space="preserve">FB000291</t>
  </si>
  <si>
    <t xml:space="preserve">FB000292</t>
  </si>
  <si>
    <t xml:space="preserve">FB000293</t>
  </si>
  <si>
    <t xml:space="preserve">FB000294</t>
  </si>
  <si>
    <t xml:space="preserve">2024-12-23</t>
  </si>
  <si>
    <t xml:space="preserve">FB000295</t>
  </si>
  <si>
    <t xml:space="preserve">FB000296</t>
  </si>
  <si>
    <t xml:space="preserve">2025-03-31</t>
  </si>
  <si>
    <t xml:space="preserve">FB000297</t>
  </si>
  <si>
    <t xml:space="preserve">FB000298</t>
  </si>
  <si>
    <t xml:space="preserve">FB000299</t>
  </si>
  <si>
    <t xml:space="preserve">FB000300</t>
  </si>
  <si>
    <t xml:space="preserve">FB000301</t>
  </si>
  <si>
    <t xml:space="preserve">FB000302</t>
  </si>
  <si>
    <t xml:space="preserve">FB000303</t>
  </si>
  <si>
    <t xml:space="preserve">FB000304</t>
  </si>
  <si>
    <t xml:space="preserve">FB000305</t>
  </si>
  <si>
    <t xml:space="preserve">2025-01-22</t>
  </si>
  <si>
    <t xml:space="preserve">FB000306</t>
  </si>
  <si>
    <t xml:space="preserve">FB000307</t>
  </si>
  <si>
    <t xml:space="preserve">FB000308</t>
  </si>
  <si>
    <t xml:space="preserve">FB000309</t>
  </si>
  <si>
    <t xml:space="preserve">FB000310</t>
  </si>
  <si>
    <t xml:space="preserve">2025-05-26</t>
  </si>
  <si>
    <t xml:space="preserve">FB000311</t>
  </si>
  <si>
    <t xml:space="preserve">FB000312</t>
  </si>
  <si>
    <t xml:space="preserve">FB000313</t>
  </si>
  <si>
    <t xml:space="preserve">FB000314</t>
  </si>
  <si>
    <t xml:space="preserve">FB000315</t>
  </si>
  <si>
    <t xml:space="preserve">FB000316</t>
  </si>
  <si>
    <t xml:space="preserve">2024-12-04</t>
  </si>
  <si>
    <t xml:space="preserve">FB000317</t>
  </si>
  <si>
    <t xml:space="preserve">FB000318</t>
  </si>
  <si>
    <t xml:space="preserve">FB000319</t>
  </si>
  <si>
    <t xml:space="preserve">FB000320</t>
  </si>
  <si>
    <t xml:space="preserve">2024-11-21</t>
  </si>
  <si>
    <t xml:space="preserve">FB000321</t>
  </si>
  <si>
    <t xml:space="preserve">FB000322</t>
  </si>
  <si>
    <t xml:space="preserve">FB000323</t>
  </si>
  <si>
    <t xml:space="preserve">2025-04-06</t>
  </si>
  <si>
    <t xml:space="preserve">FB000324</t>
  </si>
  <si>
    <t xml:space="preserve">FB000325</t>
  </si>
  <si>
    <t xml:space="preserve">FB000326</t>
  </si>
  <si>
    <t xml:space="preserve">FB000327</t>
  </si>
  <si>
    <t xml:space="preserve">FB000328</t>
  </si>
  <si>
    <t xml:space="preserve">FB000329</t>
  </si>
  <si>
    <t xml:space="preserve">FB000330</t>
  </si>
  <si>
    <t xml:space="preserve">2025-06-13</t>
  </si>
  <si>
    <t xml:space="preserve">FB000331</t>
  </si>
  <si>
    <t xml:space="preserve">FB000332</t>
  </si>
  <si>
    <t xml:space="preserve">FB000333</t>
  </si>
  <si>
    <t xml:space="preserve">FB000334</t>
  </si>
  <si>
    <t xml:space="preserve">2025-05-09</t>
  </si>
  <si>
    <t xml:space="preserve">FB000335</t>
  </si>
  <si>
    <t xml:space="preserve">FB000336</t>
  </si>
  <si>
    <t xml:space="preserve">FB000337</t>
  </si>
  <si>
    <t xml:space="preserve">FB000338</t>
  </si>
  <si>
    <t xml:space="preserve">FB000339</t>
  </si>
  <si>
    <t xml:space="preserve">FB000340</t>
  </si>
  <si>
    <t xml:space="preserve">FB000341</t>
  </si>
  <si>
    <t xml:space="preserve">FB000342</t>
  </si>
  <si>
    <t xml:space="preserve">2025-06-10</t>
  </si>
  <si>
    <t xml:space="preserve">FB000343</t>
  </si>
  <si>
    <t xml:space="preserve">FB000344</t>
  </si>
  <si>
    <t xml:space="preserve">FB000345</t>
  </si>
  <si>
    <t xml:space="preserve">FB000346</t>
  </si>
  <si>
    <t xml:space="preserve">FB000347</t>
  </si>
  <si>
    <t xml:space="preserve">FB000348</t>
  </si>
  <si>
    <t xml:space="preserve">FB000349</t>
  </si>
  <si>
    <t xml:space="preserve">FB000350</t>
  </si>
  <si>
    <t xml:space="preserve">2025-02-01</t>
  </si>
  <si>
    <t xml:space="preserve">FB000351</t>
  </si>
  <si>
    <t xml:space="preserve">FB000352</t>
  </si>
  <si>
    <t xml:space="preserve">FB000353</t>
  </si>
  <si>
    <t xml:space="preserve">2025-04-23</t>
  </si>
  <si>
    <t xml:space="preserve">FB000354</t>
  </si>
  <si>
    <t xml:space="preserve">FB000355</t>
  </si>
  <si>
    <t xml:space="preserve">FB000356</t>
  </si>
  <si>
    <t xml:space="preserve">FB000357</t>
  </si>
  <si>
    <t xml:space="preserve">FB000358</t>
  </si>
  <si>
    <t xml:space="preserve">FB000359</t>
  </si>
  <si>
    <t xml:space="preserve">FB000360</t>
  </si>
  <si>
    <t xml:space="preserve">2025-02-09</t>
  </si>
  <si>
    <t xml:space="preserve">FB000361</t>
  </si>
  <si>
    <t xml:space="preserve">FB000362</t>
  </si>
  <si>
    <t xml:space="preserve">2025-07-29</t>
  </si>
  <si>
    <t xml:space="preserve">FB000363</t>
  </si>
  <si>
    <t xml:space="preserve">FB000364</t>
  </si>
  <si>
    <t xml:space="preserve">FB000365</t>
  </si>
  <si>
    <t xml:space="preserve">FB000366</t>
  </si>
  <si>
    <t xml:space="preserve">FB000367</t>
  </si>
  <si>
    <t xml:space="preserve">FB000368</t>
  </si>
  <si>
    <t xml:space="preserve">FB000369</t>
  </si>
  <si>
    <t xml:space="preserve">FB000370</t>
  </si>
  <si>
    <t xml:space="preserve">FB000371</t>
  </si>
  <si>
    <t xml:space="preserve">FB000372</t>
  </si>
  <si>
    <t xml:space="preserve">2025-02-15</t>
  </si>
  <si>
    <t xml:space="preserve">FB000373</t>
  </si>
  <si>
    <t xml:space="preserve">FB000374</t>
  </si>
  <si>
    <t xml:space="preserve">FB000375</t>
  </si>
  <si>
    <t xml:space="preserve">2025-02-23</t>
  </si>
  <si>
    <t xml:space="preserve">FB000376</t>
  </si>
  <si>
    <t xml:space="preserve">FB000377</t>
  </si>
  <si>
    <t xml:space="preserve">FB000378</t>
  </si>
  <si>
    <t xml:space="preserve">FB000379</t>
  </si>
  <si>
    <t xml:space="preserve">FB000380</t>
  </si>
  <si>
    <t xml:space="preserve">FB000381</t>
  </si>
  <si>
    <t xml:space="preserve">FB000382</t>
  </si>
  <si>
    <t xml:space="preserve">FB000383</t>
  </si>
  <si>
    <t xml:space="preserve">FB000384</t>
  </si>
  <si>
    <t xml:space="preserve">FB000385</t>
  </si>
  <si>
    <t xml:space="preserve">FB000386</t>
  </si>
  <si>
    <t xml:space="preserve">2024-10-08</t>
  </si>
  <si>
    <t xml:space="preserve">FB000387</t>
  </si>
  <si>
    <t xml:space="preserve">FB000388</t>
  </si>
  <si>
    <t xml:space="preserve">FB000389</t>
  </si>
  <si>
    <t xml:space="preserve">2024-10-23</t>
  </si>
  <si>
    <t xml:space="preserve">FB000390</t>
  </si>
  <si>
    <t xml:space="preserve">FB000391</t>
  </si>
  <si>
    <t xml:space="preserve">FB000392</t>
  </si>
  <si>
    <t xml:space="preserve">FB000393</t>
  </si>
  <si>
    <t xml:space="preserve">FB000394</t>
  </si>
  <si>
    <t xml:space="preserve">FB000395</t>
  </si>
  <si>
    <t xml:space="preserve">FB000396</t>
  </si>
  <si>
    <t xml:space="preserve">FB000397</t>
  </si>
  <si>
    <t xml:space="preserve">FB000398</t>
  </si>
  <si>
    <t xml:space="preserve">FB000399</t>
  </si>
  <si>
    <t xml:space="preserve">FB000400</t>
  </si>
  <si>
    <t xml:space="preserve">2024-09-21</t>
  </si>
  <si>
    <t xml:space="preserve">FB000401</t>
  </si>
  <si>
    <t xml:space="preserve">FB000402</t>
  </si>
  <si>
    <t xml:space="preserve">FB000403</t>
  </si>
  <si>
    <t xml:space="preserve">FB000404</t>
  </si>
  <si>
    <t xml:space="preserve">FB000405</t>
  </si>
  <si>
    <t xml:space="preserve">FB000406</t>
  </si>
  <si>
    <t xml:space="preserve">FB000407</t>
  </si>
  <si>
    <t xml:space="preserve">FB000408</t>
  </si>
  <si>
    <t xml:space="preserve">FB000409</t>
  </si>
  <si>
    <t xml:space="preserve">FB000410</t>
  </si>
  <si>
    <t xml:space="preserve">FB000411</t>
  </si>
  <si>
    <t xml:space="preserve">2025-03-14</t>
  </si>
  <si>
    <t xml:space="preserve">FB000412</t>
  </si>
  <si>
    <t xml:space="preserve">FB000413</t>
  </si>
  <si>
    <t xml:space="preserve">FB000414</t>
  </si>
  <si>
    <t xml:space="preserve">FB000415</t>
  </si>
  <si>
    <t xml:space="preserve">FB000416</t>
  </si>
  <si>
    <t xml:space="preserve">FB000417</t>
  </si>
  <si>
    <t xml:space="preserve">FB000418</t>
  </si>
  <si>
    <t xml:space="preserve">2024-12-02</t>
  </si>
  <si>
    <t xml:space="preserve">FB000419</t>
  </si>
  <si>
    <t xml:space="preserve">FB000420</t>
  </si>
  <si>
    <t xml:space="preserve">FB000421</t>
  </si>
  <si>
    <t xml:space="preserve">FB000422</t>
  </si>
  <si>
    <t xml:space="preserve">FB000423</t>
  </si>
  <si>
    <t xml:space="preserve">FB000424</t>
  </si>
  <si>
    <t xml:space="preserve">FB000425</t>
  </si>
  <si>
    <t xml:space="preserve">FB000426</t>
  </si>
  <si>
    <t xml:space="preserve">FB000427</t>
  </si>
  <si>
    <t xml:space="preserve">FB000428</t>
  </si>
  <si>
    <t xml:space="preserve">FB000429</t>
  </si>
  <si>
    <t xml:space="preserve">FB000430</t>
  </si>
  <si>
    <t xml:space="preserve">FB000431</t>
  </si>
  <si>
    <t xml:space="preserve">2024-08-20</t>
  </si>
  <si>
    <t xml:space="preserve">FB000432</t>
  </si>
  <si>
    <t xml:space="preserve">2025-06-18</t>
  </si>
  <si>
    <t xml:space="preserve">FB000433</t>
  </si>
  <si>
    <t xml:space="preserve">FB000434</t>
  </si>
  <si>
    <t xml:space="preserve">FB000435</t>
  </si>
  <si>
    <t xml:space="preserve">FB000436</t>
  </si>
  <si>
    <t xml:space="preserve">2024-12-20</t>
  </si>
  <si>
    <t xml:space="preserve">FB000437</t>
  </si>
  <si>
    <t xml:space="preserve">FB000438</t>
  </si>
  <si>
    <t xml:space="preserve">FB000439</t>
  </si>
  <si>
    <t xml:space="preserve">FB000440</t>
  </si>
  <si>
    <t xml:space="preserve">FB000441</t>
  </si>
  <si>
    <t xml:space="preserve">FB000442</t>
  </si>
  <si>
    <t xml:space="preserve">FB000443</t>
  </si>
  <si>
    <t xml:space="preserve">FB000444</t>
  </si>
  <si>
    <t xml:space="preserve">FB000445</t>
  </si>
  <si>
    <t xml:space="preserve">FB000446</t>
  </si>
  <si>
    <t xml:space="preserve">2025-01-23</t>
  </si>
  <si>
    <t xml:space="preserve">FB000447</t>
  </si>
  <si>
    <t xml:space="preserve">FB000448</t>
  </si>
  <si>
    <t xml:space="preserve">FB000449</t>
  </si>
  <si>
    <t xml:space="preserve">FB000450</t>
  </si>
  <si>
    <t xml:space="preserve">FB000451</t>
  </si>
  <si>
    <t xml:space="preserve">FB000452</t>
  </si>
  <si>
    <t xml:space="preserve">FB000453</t>
  </si>
  <si>
    <t xml:space="preserve">FB000454</t>
  </si>
  <si>
    <t xml:space="preserve">2025-07-31</t>
  </si>
  <si>
    <t xml:space="preserve">FB000455</t>
  </si>
  <si>
    <t xml:space="preserve">FB000456</t>
  </si>
  <si>
    <t xml:space="preserve">FB000457</t>
  </si>
  <si>
    <t xml:space="preserve">FB000458</t>
  </si>
  <si>
    <t xml:space="preserve">FB000459</t>
  </si>
  <si>
    <t xml:space="preserve">FB000460</t>
  </si>
  <si>
    <t xml:space="preserve">FB000461</t>
  </si>
  <si>
    <t xml:space="preserve">FB000462</t>
  </si>
  <si>
    <t xml:space="preserve">FB000463</t>
  </si>
  <si>
    <t xml:space="preserve">FB000464</t>
  </si>
  <si>
    <t xml:space="preserve">2025-07-03</t>
  </si>
  <si>
    <t xml:space="preserve">FB000465</t>
  </si>
  <si>
    <t xml:space="preserve">FB000466</t>
  </si>
  <si>
    <t xml:space="preserve">2024-09-07</t>
  </si>
  <si>
    <t xml:space="preserve">FB000467</t>
  </si>
  <si>
    <t xml:space="preserve">FB000468</t>
  </si>
  <si>
    <t xml:space="preserve">2025-05-06</t>
  </si>
  <si>
    <t xml:space="preserve">FB000469</t>
  </si>
  <si>
    <t xml:space="preserve">FB000470</t>
  </si>
  <si>
    <t xml:space="preserve">FB000471</t>
  </si>
  <si>
    <t xml:space="preserve">FB000472</t>
  </si>
  <si>
    <t xml:space="preserve">FB000473</t>
  </si>
  <si>
    <t xml:space="preserve">FB000474</t>
  </si>
  <si>
    <t xml:space="preserve">FB000475</t>
  </si>
  <si>
    <t xml:space="preserve">FB000476</t>
  </si>
  <si>
    <t xml:space="preserve">FB000477</t>
  </si>
  <si>
    <t xml:space="preserve">FB000478</t>
  </si>
  <si>
    <t xml:space="preserve">FB000479</t>
  </si>
  <si>
    <t xml:space="preserve">FB000480</t>
  </si>
  <si>
    <t xml:space="preserve">2024-08-08</t>
  </si>
  <si>
    <t xml:space="preserve">FB000481</t>
  </si>
  <si>
    <t xml:space="preserve">FB000482</t>
  </si>
  <si>
    <t xml:space="preserve">FB000483</t>
  </si>
  <si>
    <t xml:space="preserve">FB000484</t>
  </si>
  <si>
    <t xml:space="preserve">2024-11-07</t>
  </si>
  <si>
    <t xml:space="preserve">FB000485</t>
  </si>
  <si>
    <t xml:space="preserve">FB000486</t>
  </si>
  <si>
    <t xml:space="preserve">FB000487</t>
  </si>
  <si>
    <t xml:space="preserve">FB000488</t>
  </si>
  <si>
    <t xml:space="preserve">FB000489</t>
  </si>
  <si>
    <t xml:space="preserve">FB000490</t>
  </si>
  <si>
    <t xml:space="preserve">FB000491</t>
  </si>
  <si>
    <t xml:space="preserve">FB000492</t>
  </si>
  <si>
    <t xml:space="preserve">FB000493</t>
  </si>
  <si>
    <t xml:space="preserve">FB000494</t>
  </si>
  <si>
    <t xml:space="preserve">FB000495</t>
  </si>
  <si>
    <t xml:space="preserve">FB000496</t>
  </si>
  <si>
    <t xml:space="preserve">2024-08-07</t>
  </si>
  <si>
    <t xml:space="preserve">FB000497</t>
  </si>
  <si>
    <t xml:space="preserve">FB000498</t>
  </si>
  <si>
    <t xml:space="preserve">FB000499</t>
  </si>
  <si>
    <t xml:space="preserve">FB000500</t>
  </si>
  <si>
    <t xml:space="preserve">FB000501</t>
  </si>
  <si>
    <t xml:space="preserve">2024-09-25</t>
  </si>
  <si>
    <t xml:space="preserve">FB000502</t>
  </si>
  <si>
    <t xml:space="preserve">FB000503</t>
  </si>
  <si>
    <t xml:space="preserve">FB000504</t>
  </si>
  <si>
    <t xml:space="preserve">FB000505</t>
  </si>
  <si>
    <t xml:space="preserve">FB000506</t>
  </si>
  <si>
    <t xml:space="preserve">FB000507</t>
  </si>
  <si>
    <t xml:space="preserve">2025-01-18</t>
  </si>
  <si>
    <t xml:space="preserve">FB000508</t>
  </si>
  <si>
    <t xml:space="preserve">FB000509</t>
  </si>
  <si>
    <t xml:space="preserve">2024-11-14</t>
  </si>
  <si>
    <t xml:space="preserve">FB000510</t>
  </si>
  <si>
    <t xml:space="preserve">FB000511</t>
  </si>
  <si>
    <t xml:space="preserve">FB000512</t>
  </si>
  <si>
    <t xml:space="preserve">FB000513</t>
  </si>
  <si>
    <t xml:space="preserve">FB000514</t>
  </si>
  <si>
    <t xml:space="preserve">FB000515</t>
  </si>
  <si>
    <t xml:space="preserve">FB000516</t>
  </si>
  <si>
    <t xml:space="preserve">FB000517</t>
  </si>
  <si>
    <t xml:space="preserve">FB000518</t>
  </si>
  <si>
    <t xml:space="preserve">FB000519</t>
  </si>
  <si>
    <t xml:space="preserve">FB000520</t>
  </si>
  <si>
    <t xml:space="preserve">FB000521</t>
  </si>
  <si>
    <t xml:space="preserve">FB000522</t>
  </si>
  <si>
    <t xml:space="preserve">FB000523</t>
  </si>
  <si>
    <t xml:space="preserve">FB000524</t>
  </si>
  <si>
    <t xml:space="preserve">FB000525</t>
  </si>
  <si>
    <t xml:space="preserve">2025-02-05</t>
  </si>
  <si>
    <t xml:space="preserve">FB000526</t>
  </si>
  <si>
    <t xml:space="preserve">2025-04-10</t>
  </si>
  <si>
    <t xml:space="preserve">FB000527</t>
  </si>
  <si>
    <t xml:space="preserve">FB000528</t>
  </si>
  <si>
    <t xml:space="preserve">FB000529</t>
  </si>
  <si>
    <t xml:space="preserve">FB000530</t>
  </si>
  <si>
    <t xml:space="preserve">2025-07-23</t>
  </si>
  <si>
    <t xml:space="preserve">FB000531</t>
  </si>
  <si>
    <t xml:space="preserve">FB000532</t>
  </si>
  <si>
    <t xml:space="preserve">2025-04-09</t>
  </si>
  <si>
    <t xml:space="preserve">FB000533</t>
  </si>
  <si>
    <t xml:space="preserve">FB000534</t>
  </si>
  <si>
    <t xml:space="preserve">FB000535</t>
  </si>
  <si>
    <t xml:space="preserve">2025-07-22</t>
  </si>
  <si>
    <t xml:space="preserve">FB000536</t>
  </si>
  <si>
    <t xml:space="preserve">FB000537</t>
  </si>
  <si>
    <t xml:space="preserve">FB000538</t>
  </si>
  <si>
    <t xml:space="preserve">2024-11-27</t>
  </si>
  <si>
    <t xml:space="preserve">FB000539</t>
  </si>
  <si>
    <t xml:space="preserve">FB000540</t>
  </si>
  <si>
    <t xml:space="preserve">FB000541</t>
  </si>
  <si>
    <t xml:space="preserve">2025-03-28</t>
  </si>
  <si>
    <t xml:space="preserve">FB000542</t>
  </si>
  <si>
    <t xml:space="preserve">FB000543</t>
  </si>
  <si>
    <t xml:space="preserve">FB000544</t>
  </si>
  <si>
    <t xml:space="preserve">FB000545</t>
  </si>
  <si>
    <t xml:space="preserve">FB000546</t>
  </si>
  <si>
    <t xml:space="preserve">FB000547</t>
  </si>
  <si>
    <t xml:space="preserve">2025-02-11</t>
  </si>
  <si>
    <t xml:space="preserve">FB000548</t>
  </si>
  <si>
    <t xml:space="preserve">2025-03-18</t>
  </si>
  <si>
    <t xml:space="preserve">FB000549</t>
  </si>
  <si>
    <t xml:space="preserve">FB000550</t>
  </si>
  <si>
    <t xml:space="preserve">FB000551</t>
  </si>
  <si>
    <t xml:space="preserve">2025-02-28</t>
  </si>
  <si>
    <t xml:space="preserve">FB000552</t>
  </si>
  <si>
    <t xml:space="preserve">FB000553</t>
  </si>
  <si>
    <t xml:space="preserve">FB000554</t>
  </si>
  <si>
    <t xml:space="preserve">FB000555</t>
  </si>
  <si>
    <t xml:space="preserve">FB000556</t>
  </si>
  <si>
    <t xml:space="preserve">2025-03-06</t>
  </si>
  <si>
    <t xml:space="preserve">FB000557</t>
  </si>
  <si>
    <t xml:space="preserve">FB000558</t>
  </si>
  <si>
    <t xml:space="preserve">FB000559</t>
  </si>
  <si>
    <t xml:space="preserve">FB000560</t>
  </si>
  <si>
    <t xml:space="preserve">FB000561</t>
  </si>
  <si>
    <t xml:space="preserve">2025-03-25</t>
  </si>
  <si>
    <t xml:space="preserve">FB000562</t>
  </si>
  <si>
    <t xml:space="preserve">FB000563</t>
  </si>
  <si>
    <t xml:space="preserve">FB000564</t>
  </si>
  <si>
    <t xml:space="preserve">FB000565</t>
  </si>
  <si>
    <t xml:space="preserve">FB000566</t>
  </si>
  <si>
    <t xml:space="preserve">FB000567</t>
  </si>
  <si>
    <t xml:space="preserve">FB000568</t>
  </si>
  <si>
    <t xml:space="preserve">FB000569</t>
  </si>
  <si>
    <t xml:space="preserve">FB000570</t>
  </si>
  <si>
    <t xml:space="preserve">FB000571</t>
  </si>
  <si>
    <t xml:space="preserve">FB000572</t>
  </si>
  <si>
    <t xml:space="preserve">FB000573</t>
  </si>
  <si>
    <t xml:space="preserve">2025-01-21</t>
  </si>
  <si>
    <t xml:space="preserve">FB000574</t>
  </si>
  <si>
    <t xml:space="preserve">FB000575</t>
  </si>
  <si>
    <t xml:space="preserve">FB000576</t>
  </si>
  <si>
    <t xml:space="preserve">FB000577</t>
  </si>
  <si>
    <t xml:space="preserve">FB000578</t>
  </si>
  <si>
    <t xml:space="preserve">FB000579</t>
  </si>
  <si>
    <t xml:space="preserve">FB000580</t>
  </si>
  <si>
    <t xml:space="preserve">FB000581</t>
  </si>
  <si>
    <t xml:space="preserve">FB000582</t>
  </si>
  <si>
    <t xml:space="preserve">FB000583</t>
  </si>
  <si>
    <t xml:space="preserve">FB000584</t>
  </si>
  <si>
    <t xml:space="preserve">FB000585</t>
  </si>
  <si>
    <t xml:space="preserve">FB000586</t>
  </si>
  <si>
    <t xml:space="preserve">FB000587</t>
  </si>
  <si>
    <t xml:space="preserve">FB000588</t>
  </si>
  <si>
    <t xml:space="preserve">FB000589</t>
  </si>
  <si>
    <t xml:space="preserve">FB000590</t>
  </si>
  <si>
    <t xml:space="preserve">FB000591</t>
  </si>
  <si>
    <t xml:space="preserve">FB000592</t>
  </si>
  <si>
    <t xml:space="preserve">FB000593</t>
  </si>
  <si>
    <t xml:space="preserve">FB000594</t>
  </si>
  <si>
    <t xml:space="preserve">FB000595</t>
  </si>
  <si>
    <t xml:space="preserve">FB000596</t>
  </si>
  <si>
    <t xml:space="preserve">FB000597</t>
  </si>
  <si>
    <t xml:space="preserve">FB000598</t>
  </si>
  <si>
    <t xml:space="preserve">FB000599</t>
  </si>
  <si>
    <t xml:space="preserve">FB000600</t>
  </si>
  <si>
    <t xml:space="preserve">FB000601</t>
  </si>
  <si>
    <t xml:space="preserve">FB000602</t>
  </si>
  <si>
    <t xml:space="preserve">FB000603</t>
  </si>
  <si>
    <t xml:space="preserve">2024-10-12</t>
  </si>
  <si>
    <t xml:space="preserve">FB000604</t>
  </si>
  <si>
    <t xml:space="preserve">FB000605</t>
  </si>
  <si>
    <t xml:space="preserve">FB000606</t>
  </si>
  <si>
    <t xml:space="preserve">FB000607</t>
  </si>
  <si>
    <t xml:space="preserve">FB000608</t>
  </si>
  <si>
    <t xml:space="preserve">2025-06-07</t>
  </si>
  <si>
    <t xml:space="preserve">FB000609</t>
  </si>
  <si>
    <t xml:space="preserve">2025-07-27</t>
  </si>
  <si>
    <t xml:space="preserve">FB000610</t>
  </si>
  <si>
    <t xml:space="preserve">FB000611</t>
  </si>
  <si>
    <t xml:space="preserve">FB000612</t>
  </si>
  <si>
    <t xml:space="preserve">FB000613</t>
  </si>
  <si>
    <t xml:space="preserve">FB000614</t>
  </si>
  <si>
    <t xml:space="preserve">FB000615</t>
  </si>
  <si>
    <t xml:space="preserve">FB000616</t>
  </si>
  <si>
    <t xml:space="preserve">FB000617</t>
  </si>
  <si>
    <t xml:space="preserve">FB000618</t>
  </si>
  <si>
    <t xml:space="preserve">2025-03-20</t>
  </si>
  <si>
    <t xml:space="preserve">FB000619</t>
  </si>
  <si>
    <t xml:space="preserve">FB000620</t>
  </si>
  <si>
    <t xml:space="preserve">FB000621</t>
  </si>
  <si>
    <t xml:space="preserve">FB000622</t>
  </si>
  <si>
    <t xml:space="preserve">FB000623</t>
  </si>
  <si>
    <t xml:space="preserve">FB000624</t>
  </si>
  <si>
    <t xml:space="preserve">FB000625</t>
  </si>
  <si>
    <t xml:space="preserve">FB000626</t>
  </si>
  <si>
    <t xml:space="preserve">FB000627</t>
  </si>
  <si>
    <t xml:space="preserve">FB000628</t>
  </si>
  <si>
    <t xml:space="preserve">FB000629</t>
  </si>
  <si>
    <t xml:space="preserve">FB000630</t>
  </si>
  <si>
    <t xml:space="preserve">FB000631</t>
  </si>
  <si>
    <t xml:space="preserve">FB000632</t>
  </si>
  <si>
    <t xml:space="preserve">FB000633</t>
  </si>
  <si>
    <t xml:space="preserve">FB000634</t>
  </si>
  <si>
    <t xml:space="preserve">FB000635</t>
  </si>
  <si>
    <t xml:space="preserve">FB000636</t>
  </si>
  <si>
    <t xml:space="preserve">2025-01-31</t>
  </si>
  <si>
    <t xml:space="preserve">FB000637</t>
  </si>
  <si>
    <t xml:space="preserve">FB000638</t>
  </si>
  <si>
    <t xml:space="preserve">FB000639</t>
  </si>
  <si>
    <t xml:space="preserve">FB000640</t>
  </si>
  <si>
    <t xml:space="preserve">FB000641</t>
  </si>
  <si>
    <t xml:space="preserve">FB000642</t>
  </si>
  <si>
    <t xml:space="preserve">FB000643</t>
  </si>
  <si>
    <t xml:space="preserve">FB000644</t>
  </si>
  <si>
    <t xml:space="preserve">FB000645</t>
  </si>
  <si>
    <t xml:space="preserve">FB000646</t>
  </si>
  <si>
    <t xml:space="preserve">FB000647</t>
  </si>
  <si>
    <t xml:space="preserve">FB000648</t>
  </si>
  <si>
    <t xml:space="preserve">2025-04-04</t>
  </si>
  <si>
    <t xml:space="preserve">FB000649</t>
  </si>
  <si>
    <t xml:space="preserve">FB000650</t>
  </si>
  <si>
    <t xml:space="preserve">2025-07-02</t>
  </si>
  <si>
    <t xml:space="preserve">FB000651</t>
  </si>
  <si>
    <t xml:space="preserve">FB000652</t>
  </si>
  <si>
    <t xml:space="preserve">FB000653</t>
  </si>
  <si>
    <t xml:space="preserve">FB000654</t>
  </si>
  <si>
    <t xml:space="preserve">FB000655</t>
  </si>
  <si>
    <t xml:space="preserve">FB000656</t>
  </si>
  <si>
    <t xml:space="preserve">2024-10-07</t>
  </si>
  <si>
    <t xml:space="preserve">FB000657</t>
  </si>
  <si>
    <t xml:space="preserve">FB000658</t>
  </si>
  <si>
    <t xml:space="preserve">FB000659</t>
  </si>
  <si>
    <t xml:space="preserve">FB000660</t>
  </si>
  <si>
    <t xml:space="preserve">FB000661</t>
  </si>
  <si>
    <t xml:space="preserve">FB000662</t>
  </si>
  <si>
    <t xml:space="preserve">FB000663</t>
  </si>
  <si>
    <t xml:space="preserve">FB000664</t>
  </si>
  <si>
    <t xml:space="preserve">FB000665</t>
  </si>
  <si>
    <t xml:space="preserve">FB000666</t>
  </si>
  <si>
    <t xml:space="preserve">FB000667</t>
  </si>
  <si>
    <t xml:space="preserve">FB000668</t>
  </si>
  <si>
    <t xml:space="preserve">FB000669</t>
  </si>
  <si>
    <t xml:space="preserve">FB000670</t>
  </si>
  <si>
    <t xml:space="preserve">FB000671</t>
  </si>
  <si>
    <t xml:space="preserve">FB000672</t>
  </si>
  <si>
    <t xml:space="preserve">FB000673</t>
  </si>
  <si>
    <t xml:space="preserve">FB000674</t>
  </si>
  <si>
    <t xml:space="preserve">2024-10-26</t>
  </si>
  <si>
    <t xml:space="preserve">FB000675</t>
  </si>
  <si>
    <t xml:space="preserve">FB000676</t>
  </si>
  <si>
    <t xml:space="preserve">FB000677</t>
  </si>
  <si>
    <t xml:space="preserve">FB000678</t>
  </si>
  <si>
    <t xml:space="preserve">FB000679</t>
  </si>
  <si>
    <t xml:space="preserve">FB000680</t>
  </si>
  <si>
    <t xml:space="preserve">FB000681</t>
  </si>
  <si>
    <t xml:space="preserve">FB000682</t>
  </si>
  <si>
    <t xml:space="preserve">FB000683</t>
  </si>
  <si>
    <t xml:space="preserve">FB000684</t>
  </si>
  <si>
    <t xml:space="preserve">2025-06-24</t>
  </si>
  <si>
    <t xml:space="preserve">FB000685</t>
  </si>
  <si>
    <t xml:space="preserve">FB000686</t>
  </si>
  <si>
    <t xml:space="preserve">FB000687</t>
  </si>
  <si>
    <t xml:space="preserve">FB000688</t>
  </si>
  <si>
    <t xml:space="preserve">FB000689</t>
  </si>
  <si>
    <t xml:space="preserve">FB000690</t>
  </si>
  <si>
    <t xml:space="preserve">2025-05-16</t>
  </si>
  <si>
    <t xml:space="preserve">FB000691</t>
  </si>
  <si>
    <t xml:space="preserve">2025-07-15</t>
  </si>
  <si>
    <t xml:space="preserve">FB000692</t>
  </si>
  <si>
    <t xml:space="preserve">FB000693</t>
  </si>
  <si>
    <t xml:space="preserve">FB000694</t>
  </si>
  <si>
    <t xml:space="preserve">FB000695</t>
  </si>
  <si>
    <t xml:space="preserve">FB000696</t>
  </si>
  <si>
    <t xml:space="preserve">FB000697</t>
  </si>
  <si>
    <t xml:space="preserve">FB000698</t>
  </si>
  <si>
    <t xml:space="preserve">FB000699</t>
  </si>
  <si>
    <t xml:space="preserve">FB000700</t>
  </si>
  <si>
    <t xml:space="preserve">FB000701</t>
  </si>
  <si>
    <t xml:space="preserve">FB000702</t>
  </si>
  <si>
    <t xml:space="preserve">FB000703</t>
  </si>
  <si>
    <t xml:space="preserve">2025-08-05</t>
  </si>
  <si>
    <t xml:space="preserve">FB000704</t>
  </si>
  <si>
    <t xml:space="preserve">FB000705</t>
  </si>
  <si>
    <t xml:space="preserve">2024-09-01</t>
  </si>
  <si>
    <t xml:space="preserve">FB000706</t>
  </si>
  <si>
    <t xml:space="preserve">FB000707</t>
  </si>
  <si>
    <t xml:space="preserve">FB000708</t>
  </si>
  <si>
    <t xml:space="preserve">FB000709</t>
  </si>
  <si>
    <t xml:space="preserve">FB000710</t>
  </si>
  <si>
    <t xml:space="preserve">FB000711</t>
  </si>
  <si>
    <t xml:space="preserve">2025-02-03</t>
  </si>
  <si>
    <t xml:space="preserve">FB000712</t>
  </si>
  <si>
    <t xml:space="preserve">FB000713</t>
  </si>
  <si>
    <t xml:space="preserve">FB000714</t>
  </si>
  <si>
    <t xml:space="preserve">2024-09-10</t>
  </si>
  <si>
    <t xml:space="preserve">FB000715</t>
  </si>
  <si>
    <t xml:space="preserve">FB000716</t>
  </si>
  <si>
    <t xml:space="preserve">FB000717</t>
  </si>
  <si>
    <t xml:space="preserve">FB000718</t>
  </si>
  <si>
    <t xml:space="preserve">FB000719</t>
  </si>
  <si>
    <t xml:space="preserve">FB000720</t>
  </si>
  <si>
    <t xml:space="preserve">FB000721</t>
  </si>
  <si>
    <t xml:space="preserve">FB000722</t>
  </si>
  <si>
    <t xml:space="preserve">2025-01-19</t>
  </si>
  <si>
    <t xml:space="preserve">FB000723</t>
  </si>
  <si>
    <t xml:space="preserve">FB000724</t>
  </si>
  <si>
    <t xml:space="preserve">FB000725</t>
  </si>
  <si>
    <t xml:space="preserve">FB000726</t>
  </si>
  <si>
    <t xml:space="preserve">2025-04-18</t>
  </si>
  <si>
    <t xml:space="preserve">FB000727</t>
  </si>
  <si>
    <t xml:space="preserve">FB000728</t>
  </si>
  <si>
    <t xml:space="preserve">FB000729</t>
  </si>
  <si>
    <t xml:space="preserve">FB000730</t>
  </si>
  <si>
    <t xml:space="preserve">FB000731</t>
  </si>
  <si>
    <t xml:space="preserve">FB000732</t>
  </si>
  <si>
    <t xml:space="preserve">FB000733</t>
  </si>
  <si>
    <t xml:space="preserve">FB000734</t>
  </si>
  <si>
    <t xml:space="preserve">FB000735</t>
  </si>
  <si>
    <t xml:space="preserve">FB000736</t>
  </si>
  <si>
    <t xml:space="preserve">FB000737</t>
  </si>
  <si>
    <t xml:space="preserve">FB000738</t>
  </si>
  <si>
    <t xml:space="preserve">FB000739</t>
  </si>
  <si>
    <t xml:space="preserve">FB000740</t>
  </si>
  <si>
    <t xml:space="preserve">2025-03-13</t>
  </si>
  <si>
    <t xml:space="preserve">FB000741</t>
  </si>
  <si>
    <t xml:space="preserve">FB000742</t>
  </si>
  <si>
    <t xml:space="preserve">FB000743</t>
  </si>
  <si>
    <t xml:space="preserve">FB000744</t>
  </si>
  <si>
    <t xml:space="preserve">FB000745</t>
  </si>
  <si>
    <t xml:space="preserve">FB000746</t>
  </si>
  <si>
    <t xml:space="preserve">FB000747</t>
  </si>
  <si>
    <t xml:space="preserve">FB000748</t>
  </si>
  <si>
    <t xml:space="preserve">FB000749</t>
  </si>
  <si>
    <t xml:space="preserve">FB000750</t>
  </si>
  <si>
    <t xml:space="preserve">FB000751</t>
  </si>
  <si>
    <t xml:space="preserve">FB000752</t>
  </si>
  <si>
    <t xml:space="preserve">FB000753</t>
  </si>
  <si>
    <t xml:space="preserve">FB000754</t>
  </si>
  <si>
    <t xml:space="preserve">FB000755</t>
  </si>
  <si>
    <t xml:space="preserve">FB000756</t>
  </si>
  <si>
    <t xml:space="preserve">FB000757</t>
  </si>
  <si>
    <t xml:space="preserve">FB000758</t>
  </si>
  <si>
    <t xml:space="preserve">FB000759</t>
  </si>
  <si>
    <t xml:space="preserve">FB000760</t>
  </si>
  <si>
    <t xml:space="preserve">FB000761</t>
  </si>
  <si>
    <t xml:space="preserve">FB000762</t>
  </si>
  <si>
    <t xml:space="preserve">FB000763</t>
  </si>
  <si>
    <t xml:space="preserve">FB000764</t>
  </si>
  <si>
    <t xml:space="preserve">FB000765</t>
  </si>
  <si>
    <t xml:space="preserve">FB000766</t>
  </si>
  <si>
    <t xml:space="preserve">FB000767</t>
  </si>
  <si>
    <t xml:space="preserve">FB000768</t>
  </si>
  <si>
    <t xml:space="preserve">2024-09-08</t>
  </si>
  <si>
    <t xml:space="preserve">FB000769</t>
  </si>
  <si>
    <t xml:space="preserve">FB000770</t>
  </si>
  <si>
    <t xml:space="preserve">FB000771</t>
  </si>
  <si>
    <t xml:space="preserve">FB000772</t>
  </si>
  <si>
    <t xml:space="preserve">FB000773</t>
  </si>
  <si>
    <t xml:space="preserve">FB000774</t>
  </si>
  <si>
    <t xml:space="preserve">FB000775</t>
  </si>
  <si>
    <t xml:space="preserve">FB000776</t>
  </si>
  <si>
    <t xml:space="preserve">FB000777</t>
  </si>
  <si>
    <t xml:space="preserve">FB000778</t>
  </si>
  <si>
    <t xml:space="preserve">FB000779</t>
  </si>
  <si>
    <t xml:space="preserve">FB000780</t>
  </si>
  <si>
    <t xml:space="preserve">FB000781</t>
  </si>
  <si>
    <t xml:space="preserve">FB000782</t>
  </si>
  <si>
    <t xml:space="preserve">FB000783</t>
  </si>
  <si>
    <t xml:space="preserve">2025-07-11</t>
  </si>
  <si>
    <t xml:space="preserve">FB000784</t>
  </si>
  <si>
    <t xml:space="preserve">FB000785</t>
  </si>
  <si>
    <t xml:space="preserve">FB000786</t>
  </si>
  <si>
    <t xml:space="preserve">FB000787</t>
  </si>
  <si>
    <t xml:space="preserve">FB000788</t>
  </si>
  <si>
    <t xml:space="preserve">2024-08-29</t>
  </si>
  <si>
    <t xml:space="preserve">FB000789</t>
  </si>
  <si>
    <t xml:space="preserve">FB000790</t>
  </si>
  <si>
    <t xml:space="preserve">FB000791</t>
  </si>
  <si>
    <t xml:space="preserve">FB000792</t>
  </si>
  <si>
    <t xml:space="preserve">FB000793</t>
  </si>
  <si>
    <t xml:space="preserve">FB000794</t>
  </si>
  <si>
    <t xml:space="preserve">FB000795</t>
  </si>
  <si>
    <t xml:space="preserve">FB000796</t>
  </si>
  <si>
    <t xml:space="preserve">FB000797</t>
  </si>
  <si>
    <t xml:space="preserve">FB000798</t>
  </si>
  <si>
    <t xml:space="preserve">FB000799</t>
  </si>
  <si>
    <t xml:space="preserve">FB000800</t>
  </si>
  <si>
    <t xml:space="preserve">FB000801</t>
  </si>
  <si>
    <t xml:space="preserve">2024-11-17</t>
  </si>
  <si>
    <t xml:space="preserve">FB000802</t>
  </si>
  <si>
    <t xml:space="preserve">FB000803</t>
  </si>
  <si>
    <t xml:space="preserve">FB000804</t>
  </si>
  <si>
    <t xml:space="preserve">FB000805</t>
  </si>
  <si>
    <t xml:space="preserve">FB000806</t>
  </si>
  <si>
    <t xml:space="preserve">FB000807</t>
  </si>
  <si>
    <t xml:space="preserve">FB000808</t>
  </si>
  <si>
    <t xml:space="preserve">FB000809</t>
  </si>
  <si>
    <t xml:space="preserve">FB000810</t>
  </si>
  <si>
    <t xml:space="preserve">FB000811</t>
  </si>
  <si>
    <t xml:space="preserve">FB000812</t>
  </si>
  <si>
    <t xml:space="preserve">FB000813</t>
  </si>
  <si>
    <t xml:space="preserve">FB000814</t>
  </si>
  <si>
    <t xml:space="preserve">FB000815</t>
  </si>
  <si>
    <t xml:space="preserve">2025-08-02</t>
  </si>
  <si>
    <t xml:space="preserve">FB000816</t>
  </si>
  <si>
    <t xml:space="preserve">2025-04-13</t>
  </si>
  <si>
    <t xml:space="preserve">FB000817</t>
  </si>
  <si>
    <t xml:space="preserve">2025-01-07</t>
  </si>
  <si>
    <t xml:space="preserve">FB000818</t>
  </si>
  <si>
    <t xml:space="preserve">FB000819</t>
  </si>
  <si>
    <t xml:space="preserve">FB000820</t>
  </si>
  <si>
    <t xml:space="preserve">FB000821</t>
  </si>
  <si>
    <t xml:space="preserve">FB000822</t>
  </si>
  <si>
    <t xml:space="preserve">FB000823</t>
  </si>
  <si>
    <t xml:space="preserve">FB000824</t>
  </si>
  <si>
    <t xml:space="preserve">FB000825</t>
  </si>
  <si>
    <t xml:space="preserve">FB000826</t>
  </si>
  <si>
    <t xml:space="preserve">FB000827</t>
  </si>
  <si>
    <t xml:space="preserve">FB000828</t>
  </si>
  <si>
    <t xml:space="preserve">FB000829</t>
  </si>
  <si>
    <t xml:space="preserve">2024-11-22</t>
  </si>
  <si>
    <t xml:space="preserve">FB000830</t>
  </si>
  <si>
    <t xml:space="preserve">FB000831</t>
  </si>
  <si>
    <t xml:space="preserve">FB000832</t>
  </si>
  <si>
    <t xml:space="preserve">FB000833</t>
  </si>
  <si>
    <t xml:space="preserve">2025-01-27</t>
  </si>
  <si>
    <t xml:space="preserve">FB000834</t>
  </si>
  <si>
    <t xml:space="preserve">FB000835</t>
  </si>
  <si>
    <t xml:space="preserve">FB000836</t>
  </si>
  <si>
    <t xml:space="preserve">FB000837</t>
  </si>
  <si>
    <t xml:space="preserve">FB000838</t>
  </si>
  <si>
    <t xml:space="preserve">FB000839</t>
  </si>
  <si>
    <t xml:space="preserve">FB000840</t>
  </si>
  <si>
    <t xml:space="preserve">FB000841</t>
  </si>
  <si>
    <t xml:space="preserve">FB000842</t>
  </si>
  <si>
    <t xml:space="preserve">FB000843</t>
  </si>
  <si>
    <t xml:space="preserve">FB000844</t>
  </si>
  <si>
    <t xml:space="preserve">FB000845</t>
  </si>
  <si>
    <t xml:space="preserve">2025-06-04</t>
  </si>
  <si>
    <t xml:space="preserve">FB000846</t>
  </si>
  <si>
    <t xml:space="preserve">FB000847</t>
  </si>
  <si>
    <t xml:space="preserve">FB000848</t>
  </si>
  <si>
    <t xml:space="preserve">FB000849</t>
  </si>
  <si>
    <t xml:space="preserve">FB000850</t>
  </si>
  <si>
    <t xml:space="preserve">FB000851</t>
  </si>
  <si>
    <t xml:space="preserve">FB000852</t>
  </si>
  <si>
    <t xml:space="preserve">FB000853</t>
  </si>
  <si>
    <t xml:space="preserve">FB000854</t>
  </si>
  <si>
    <t xml:space="preserve">FB000855</t>
  </si>
  <si>
    <t xml:space="preserve">FB000856</t>
  </si>
  <si>
    <t xml:space="preserve">FB000857</t>
  </si>
  <si>
    <t xml:space="preserve">FB000858</t>
  </si>
  <si>
    <t xml:space="preserve">FB000859</t>
  </si>
  <si>
    <t xml:space="preserve">FB000860</t>
  </si>
  <si>
    <t xml:space="preserve">2024-09-22</t>
  </si>
  <si>
    <t xml:space="preserve">FB000861</t>
  </si>
  <si>
    <t xml:space="preserve">FB000862</t>
  </si>
  <si>
    <t xml:space="preserve">FB000863</t>
  </si>
  <si>
    <t xml:space="preserve">FB000864</t>
  </si>
  <si>
    <t xml:space="preserve">FB000865</t>
  </si>
  <si>
    <t xml:space="preserve">2025-05-15</t>
  </si>
  <si>
    <t xml:space="preserve">FB000866</t>
  </si>
  <si>
    <t xml:space="preserve">FB000867</t>
  </si>
  <si>
    <t xml:space="preserve">FB000868</t>
  </si>
  <si>
    <t xml:space="preserve">FB000869</t>
  </si>
  <si>
    <t xml:space="preserve">2024-12-21</t>
  </si>
  <si>
    <t xml:space="preserve">FB000870</t>
  </si>
  <si>
    <t xml:space="preserve">FB000871</t>
  </si>
  <si>
    <t xml:space="preserve">FB000872</t>
  </si>
  <si>
    <t xml:space="preserve">FB000873</t>
  </si>
  <si>
    <t xml:space="preserve">FB000874</t>
  </si>
  <si>
    <t xml:space="preserve">FB000875</t>
  </si>
  <si>
    <t xml:space="preserve">2024-12-16</t>
  </si>
  <si>
    <t xml:space="preserve">FB000876</t>
  </si>
  <si>
    <t xml:space="preserve">FB000877</t>
  </si>
  <si>
    <t xml:space="preserve">FB000878</t>
  </si>
  <si>
    <t xml:space="preserve">FB000879</t>
  </si>
  <si>
    <t xml:space="preserve">FB000880</t>
  </si>
  <si>
    <t xml:space="preserve">FB000881</t>
  </si>
  <si>
    <t xml:space="preserve">FB000882</t>
  </si>
  <si>
    <t xml:space="preserve">FB000883</t>
  </si>
  <si>
    <t xml:space="preserve">FB000884</t>
  </si>
  <si>
    <t xml:space="preserve">FB000885</t>
  </si>
  <si>
    <t xml:space="preserve">2024-08-18</t>
  </si>
  <si>
    <t xml:space="preserve">FB000886</t>
  </si>
  <si>
    <t xml:space="preserve">FB000887</t>
  </si>
  <si>
    <t xml:space="preserve">FB000888</t>
  </si>
  <si>
    <t xml:space="preserve">2025-02-24</t>
  </si>
  <si>
    <t xml:space="preserve">FB000889</t>
  </si>
  <si>
    <t xml:space="preserve">FB000890</t>
  </si>
  <si>
    <t xml:space="preserve">FB000891</t>
  </si>
  <si>
    <t xml:space="preserve">FB000892</t>
  </si>
  <si>
    <t xml:space="preserve">2024-08-06</t>
  </si>
  <si>
    <t xml:space="preserve">FB000893</t>
  </si>
  <si>
    <t xml:space="preserve">FB000894</t>
  </si>
  <si>
    <t xml:space="preserve">2025-05-19</t>
  </si>
  <si>
    <t xml:space="preserve">FB000895</t>
  </si>
  <si>
    <t xml:space="preserve">FB000896</t>
  </si>
  <si>
    <t xml:space="preserve">FB000897</t>
  </si>
  <si>
    <t xml:space="preserve">FB000898</t>
  </si>
  <si>
    <t xml:space="preserve">2025-07-30</t>
  </si>
  <si>
    <t xml:space="preserve">FB000899</t>
  </si>
  <si>
    <t xml:space="preserve">FB000900</t>
  </si>
  <si>
    <t xml:space="preserve">FB000901</t>
  </si>
  <si>
    <t xml:space="preserve">FB000902</t>
  </si>
  <si>
    <t xml:space="preserve">FB000903</t>
  </si>
  <si>
    <t xml:space="preserve">FB000904</t>
  </si>
  <si>
    <t xml:space="preserve">FB000905</t>
  </si>
  <si>
    <t xml:space="preserve">FB000906</t>
  </si>
  <si>
    <t xml:space="preserve">FB000907</t>
  </si>
  <si>
    <t xml:space="preserve">FB000908</t>
  </si>
  <si>
    <t xml:space="preserve">2025-07-28</t>
  </si>
  <si>
    <t xml:space="preserve">FB000909</t>
  </si>
  <si>
    <t xml:space="preserve">FB000910</t>
  </si>
  <si>
    <t xml:space="preserve">FB000911</t>
  </si>
  <si>
    <t xml:space="preserve">2025-05-21</t>
  </si>
  <si>
    <t xml:space="preserve">FB000912</t>
  </si>
  <si>
    <t xml:space="preserve">2024-12-08</t>
  </si>
  <si>
    <t xml:space="preserve">FB000913</t>
  </si>
  <si>
    <t xml:space="preserve">FB000914</t>
  </si>
  <si>
    <t xml:space="preserve">FB000915</t>
  </si>
  <si>
    <t xml:space="preserve">FB000916</t>
  </si>
  <si>
    <t xml:space="preserve">FB000917</t>
  </si>
  <si>
    <t xml:space="preserve">FB000918</t>
  </si>
  <si>
    <t xml:space="preserve">FB000919</t>
  </si>
  <si>
    <t xml:space="preserve">FB000920</t>
  </si>
  <si>
    <t xml:space="preserve">FB000921</t>
  </si>
  <si>
    <t xml:space="preserve">FB000922</t>
  </si>
  <si>
    <t xml:space="preserve">2025-06-05</t>
  </si>
  <si>
    <t xml:space="preserve">FB000923</t>
  </si>
  <si>
    <t xml:space="preserve">FB000924</t>
  </si>
  <si>
    <t xml:space="preserve">FB000925</t>
  </si>
  <si>
    <t xml:space="preserve">FB000926</t>
  </si>
  <si>
    <t xml:space="preserve">2025-03-17</t>
  </si>
  <si>
    <t xml:space="preserve">FB000927</t>
  </si>
  <si>
    <t xml:space="preserve">2024-10-02</t>
  </si>
  <si>
    <t xml:space="preserve">FB000928</t>
  </si>
  <si>
    <t xml:space="preserve">FB000929</t>
  </si>
  <si>
    <t xml:space="preserve">FB000930</t>
  </si>
  <si>
    <t xml:space="preserve">FB000931</t>
  </si>
  <si>
    <t xml:space="preserve">FB000932</t>
  </si>
  <si>
    <t xml:space="preserve">FB000933</t>
  </si>
  <si>
    <t xml:space="preserve">FB000934</t>
  </si>
  <si>
    <t xml:space="preserve">FB000935</t>
  </si>
  <si>
    <t xml:space="preserve">FB000936</t>
  </si>
  <si>
    <t xml:space="preserve">FB000937</t>
  </si>
  <si>
    <t xml:space="preserve">FB000938</t>
  </si>
  <si>
    <t xml:space="preserve">FB000939</t>
  </si>
  <si>
    <t xml:space="preserve">2024-11-09</t>
  </si>
  <si>
    <t xml:space="preserve">FB000940</t>
  </si>
  <si>
    <t xml:space="preserve">FB000941</t>
  </si>
  <si>
    <t xml:space="preserve">FB000942</t>
  </si>
  <si>
    <t xml:space="preserve">FB000943</t>
  </si>
  <si>
    <t xml:space="preserve">2024-12-24</t>
  </si>
  <si>
    <t xml:space="preserve">FB000944</t>
  </si>
  <si>
    <t xml:space="preserve">FB000945</t>
  </si>
  <si>
    <t xml:space="preserve">FB000946</t>
  </si>
  <si>
    <t xml:space="preserve">FB000947</t>
  </si>
  <si>
    <t xml:space="preserve">2025-04-22</t>
  </si>
  <si>
    <t xml:space="preserve">FB000948</t>
  </si>
  <si>
    <t xml:space="preserve">FB000949</t>
  </si>
  <si>
    <t xml:space="preserve">2025-05-12</t>
  </si>
  <si>
    <t xml:space="preserve">FB000950</t>
  </si>
  <si>
    <t xml:space="preserve">FB000951</t>
  </si>
  <si>
    <t xml:space="preserve">FB000952</t>
  </si>
  <si>
    <t xml:space="preserve">FB000953</t>
  </si>
  <si>
    <t xml:space="preserve">FB000954</t>
  </si>
  <si>
    <t xml:space="preserve">FB000955</t>
  </si>
  <si>
    <t xml:space="preserve">FB000956</t>
  </si>
  <si>
    <t xml:space="preserve">FB000957</t>
  </si>
  <si>
    <t xml:space="preserve">FB000958</t>
  </si>
  <si>
    <t xml:space="preserve">FB000959</t>
  </si>
  <si>
    <t xml:space="preserve">2025-03-29</t>
  </si>
  <si>
    <t xml:space="preserve">FB000960</t>
  </si>
  <si>
    <t xml:space="preserve">2024-11-06</t>
  </si>
  <si>
    <t xml:space="preserve">FB000961</t>
  </si>
  <si>
    <t xml:space="preserve">FB000962</t>
  </si>
  <si>
    <t xml:space="preserve">FB000963</t>
  </si>
  <si>
    <t xml:space="preserve">FB000964</t>
  </si>
  <si>
    <t xml:space="preserve">FB000965</t>
  </si>
  <si>
    <t xml:space="preserve">2024-11-28</t>
  </si>
  <si>
    <t xml:space="preserve">FB000966</t>
  </si>
  <si>
    <t xml:space="preserve">FB000967</t>
  </si>
  <si>
    <t xml:space="preserve">FB000968</t>
  </si>
  <si>
    <t xml:space="preserve">FB000969</t>
  </si>
  <si>
    <t xml:space="preserve">FB000970</t>
  </si>
  <si>
    <t xml:space="preserve">FB000971</t>
  </si>
  <si>
    <t xml:space="preserve">FB000972</t>
  </si>
  <si>
    <t xml:space="preserve">FB000973</t>
  </si>
  <si>
    <t xml:space="preserve">FB000974</t>
  </si>
  <si>
    <t xml:space="preserve">FB000975</t>
  </si>
  <si>
    <t xml:space="preserve">FB000976</t>
  </si>
  <si>
    <t xml:space="preserve">FB000977</t>
  </si>
  <si>
    <t xml:space="preserve">FB000978</t>
  </si>
  <si>
    <t xml:space="preserve">FB000979</t>
  </si>
  <si>
    <t xml:space="preserve">FB000980</t>
  </si>
  <si>
    <t xml:space="preserve">FB000981</t>
  </si>
  <si>
    <t xml:space="preserve">2024-11-15</t>
  </si>
  <si>
    <t xml:space="preserve">FB000982</t>
  </si>
  <si>
    <t xml:space="preserve">FB000983</t>
  </si>
  <si>
    <t xml:space="preserve">FB000984</t>
  </si>
  <si>
    <t xml:space="preserve">FB000985</t>
  </si>
  <si>
    <t xml:space="preserve">FB000986</t>
  </si>
  <si>
    <t xml:space="preserve">FB000987</t>
  </si>
  <si>
    <t xml:space="preserve">FB000988</t>
  </si>
  <si>
    <t xml:space="preserve">2025-02-14</t>
  </si>
  <si>
    <t xml:space="preserve">FB000989</t>
  </si>
  <si>
    <t xml:space="preserve">FB000990</t>
  </si>
  <si>
    <t xml:space="preserve">2025-04-17</t>
  </si>
  <si>
    <t xml:space="preserve">FB000991</t>
  </si>
  <si>
    <t xml:space="preserve">2025-03-27</t>
  </si>
  <si>
    <t xml:space="preserve">FB000992</t>
  </si>
  <si>
    <t xml:space="preserve">FB000993</t>
  </si>
  <si>
    <t xml:space="preserve">FB000994</t>
  </si>
  <si>
    <t xml:space="preserve">FB000995</t>
  </si>
  <si>
    <t xml:space="preserve">FB000996</t>
  </si>
  <si>
    <t xml:space="preserve">FB000997</t>
  </si>
  <si>
    <t xml:space="preserve">FB000998</t>
  </si>
  <si>
    <t xml:space="preserve">FB000999</t>
  </si>
  <si>
    <t xml:space="preserve">FB001000</t>
  </si>
  <si>
    <t xml:space="preserve">FB001001</t>
  </si>
  <si>
    <t xml:space="preserve">FB001002</t>
  </si>
  <si>
    <t xml:space="preserve">FB001003</t>
  </si>
  <si>
    <t xml:space="preserve">FB001004</t>
  </si>
  <si>
    <t xml:space="preserve">FB001005</t>
  </si>
  <si>
    <t xml:space="preserve">2024-08-17</t>
  </si>
  <si>
    <t xml:space="preserve">FB001006</t>
  </si>
  <si>
    <t xml:space="preserve">FB001007</t>
  </si>
  <si>
    <t xml:space="preserve">FB001008</t>
  </si>
  <si>
    <t xml:space="preserve">FB001009</t>
  </si>
  <si>
    <t xml:space="preserve">FB001010</t>
  </si>
  <si>
    <t xml:space="preserve">FB001011</t>
  </si>
  <si>
    <t xml:space="preserve">FB001012</t>
  </si>
  <si>
    <t xml:space="preserve">FB001013</t>
  </si>
  <si>
    <t xml:space="preserve">FB001014</t>
  </si>
  <si>
    <t xml:space="preserve">FB001015</t>
  </si>
  <si>
    <t xml:space="preserve">2025-04-30</t>
  </si>
  <si>
    <t xml:space="preserve">FB001016</t>
  </si>
  <si>
    <t xml:space="preserve">FB001017</t>
  </si>
  <si>
    <t xml:space="preserve">FB001018</t>
  </si>
  <si>
    <t xml:space="preserve">FB001019</t>
  </si>
  <si>
    <t xml:space="preserve">FB001020</t>
  </si>
  <si>
    <t xml:space="preserve">FB001021</t>
  </si>
  <si>
    <t xml:space="preserve">FB001022</t>
  </si>
  <si>
    <t xml:space="preserve">FB001023</t>
  </si>
  <si>
    <t xml:space="preserve">FB001024</t>
  </si>
  <si>
    <t xml:space="preserve">2025-07-08</t>
  </si>
  <si>
    <t xml:space="preserve">FB001025</t>
  </si>
  <si>
    <t xml:space="preserve">FB001026</t>
  </si>
  <si>
    <t xml:space="preserve">FB001027</t>
  </si>
  <si>
    <t xml:space="preserve">FB001028</t>
  </si>
  <si>
    <t xml:space="preserve">2025-03-22</t>
  </si>
  <si>
    <t xml:space="preserve">FB001029</t>
  </si>
  <si>
    <t xml:space="preserve">FB001030</t>
  </si>
  <si>
    <t xml:space="preserve">FB001031</t>
  </si>
  <si>
    <t xml:space="preserve">FB001032</t>
  </si>
  <si>
    <t xml:space="preserve">FB001033</t>
  </si>
  <si>
    <t xml:space="preserve">FB001034</t>
  </si>
  <si>
    <t xml:space="preserve">FB001035</t>
  </si>
  <si>
    <t xml:space="preserve">FB001036</t>
  </si>
  <si>
    <t xml:space="preserve">FB001037</t>
  </si>
  <si>
    <t xml:space="preserve">FB001038</t>
  </si>
  <si>
    <t xml:space="preserve">FB001039</t>
  </si>
  <si>
    <t xml:space="preserve">FB001040</t>
  </si>
  <si>
    <t xml:space="preserve">FB001041</t>
  </si>
  <si>
    <t xml:space="preserve">FB001042</t>
  </si>
  <si>
    <t xml:space="preserve">2025-02-04</t>
  </si>
  <si>
    <t xml:space="preserve">FB001043</t>
  </si>
  <si>
    <t xml:space="preserve">FB001044</t>
  </si>
  <si>
    <t xml:space="preserve">FB001045</t>
  </si>
  <si>
    <t xml:space="preserve">FB001046</t>
  </si>
  <si>
    <t xml:space="preserve">FB001047</t>
  </si>
  <si>
    <t xml:space="preserve">FB001048</t>
  </si>
  <si>
    <t xml:space="preserve">2024-08-10</t>
  </si>
  <si>
    <t xml:space="preserve">FB001049</t>
  </si>
  <si>
    <t xml:space="preserve">FB001050</t>
  </si>
  <si>
    <t xml:space="preserve">FB001051</t>
  </si>
  <si>
    <t xml:space="preserve">FB001052</t>
  </si>
  <si>
    <t xml:space="preserve">FB001053</t>
  </si>
  <si>
    <t xml:space="preserve">FB001054</t>
  </si>
  <si>
    <t xml:space="preserve">2025-01-29</t>
  </si>
  <si>
    <t xml:space="preserve">FB001055</t>
  </si>
  <si>
    <t xml:space="preserve">FB001056</t>
  </si>
  <si>
    <t xml:space="preserve">FB001057</t>
  </si>
  <si>
    <t xml:space="preserve">FB001058</t>
  </si>
  <si>
    <t xml:space="preserve">FB001059</t>
  </si>
  <si>
    <t xml:space="preserve">FB001060</t>
  </si>
  <si>
    <t xml:space="preserve">FB001061</t>
  </si>
  <si>
    <t xml:space="preserve">FB001062</t>
  </si>
  <si>
    <t xml:space="preserve">FB001063</t>
  </si>
  <si>
    <t xml:space="preserve">FB001064</t>
  </si>
  <si>
    <t xml:space="preserve">2025-04-15</t>
  </si>
  <si>
    <t xml:space="preserve">FB001065</t>
  </si>
  <si>
    <t xml:space="preserve">FB001066</t>
  </si>
  <si>
    <t xml:space="preserve">FB001067</t>
  </si>
  <si>
    <t xml:space="preserve">FB001068</t>
  </si>
  <si>
    <t xml:space="preserve">2025-04-02</t>
  </si>
  <si>
    <t xml:space="preserve">FB001069</t>
  </si>
  <si>
    <t xml:space="preserve">FB001070</t>
  </si>
  <si>
    <t xml:space="preserve">FB001071</t>
  </si>
  <si>
    <t xml:space="preserve">FB001072</t>
  </si>
  <si>
    <t xml:space="preserve">FB001073</t>
  </si>
  <si>
    <t xml:space="preserve">FB001074</t>
  </si>
  <si>
    <t xml:space="preserve">FB001075</t>
  </si>
  <si>
    <t xml:space="preserve">FB001076</t>
  </si>
  <si>
    <t xml:space="preserve">FB001077</t>
  </si>
  <si>
    <t xml:space="preserve">FB001078</t>
  </si>
  <si>
    <t xml:space="preserve">FB001079</t>
  </si>
  <si>
    <t xml:space="preserve">FB001080</t>
  </si>
  <si>
    <t xml:space="preserve">FB001081</t>
  </si>
  <si>
    <t xml:space="preserve">FB001082</t>
  </si>
  <si>
    <t xml:space="preserve">FB001083</t>
  </si>
  <si>
    <t xml:space="preserve">FB001084</t>
  </si>
  <si>
    <t xml:space="preserve">FB001085</t>
  </si>
  <si>
    <t xml:space="preserve">FB001086</t>
  </si>
  <si>
    <t xml:space="preserve">FB001087</t>
  </si>
  <si>
    <t xml:space="preserve">FB001088</t>
  </si>
  <si>
    <t xml:space="preserve">FB001089</t>
  </si>
  <si>
    <t xml:space="preserve">2025-05-28</t>
  </si>
  <si>
    <t xml:space="preserve">FB001090</t>
  </si>
  <si>
    <t xml:space="preserve">FB001091</t>
  </si>
  <si>
    <t xml:space="preserve">2024-11-26</t>
  </si>
  <si>
    <t xml:space="preserve">FB001092</t>
  </si>
  <si>
    <t xml:space="preserve">FB001093</t>
  </si>
  <si>
    <t xml:space="preserve">FB001094</t>
  </si>
  <si>
    <t xml:space="preserve">FB001095</t>
  </si>
  <si>
    <t xml:space="preserve">FB001096</t>
  </si>
  <si>
    <t xml:space="preserve">FB001097</t>
  </si>
  <si>
    <t xml:space="preserve">FB001098</t>
  </si>
  <si>
    <t xml:space="preserve">FB001099</t>
  </si>
  <si>
    <t xml:space="preserve">FB001100</t>
  </si>
  <si>
    <t xml:space="preserve">FB001101</t>
  </si>
  <si>
    <t xml:space="preserve">FB001102</t>
  </si>
  <si>
    <t xml:space="preserve">FB001103</t>
  </si>
  <si>
    <t xml:space="preserve">FB001104</t>
  </si>
  <si>
    <t xml:space="preserve">FB001105</t>
  </si>
  <si>
    <t xml:space="preserve">FB001106</t>
  </si>
  <si>
    <t xml:space="preserve">FB001107</t>
  </si>
  <si>
    <t xml:space="preserve">FB001108</t>
  </si>
  <si>
    <t xml:space="preserve">FB001109</t>
  </si>
  <si>
    <t xml:space="preserve">2025-06-28</t>
  </si>
  <si>
    <t xml:space="preserve">FB001110</t>
  </si>
  <si>
    <t xml:space="preserve">FB001111</t>
  </si>
  <si>
    <t xml:space="preserve">FB001112</t>
  </si>
  <si>
    <t xml:space="preserve">FB001113</t>
  </si>
  <si>
    <t xml:space="preserve">FB001114</t>
  </si>
  <si>
    <t xml:space="preserve">FB001115</t>
  </si>
  <si>
    <t xml:space="preserve">FB001116</t>
  </si>
  <si>
    <t xml:space="preserve">FB001117</t>
  </si>
  <si>
    <t xml:space="preserve">FB001118</t>
  </si>
  <si>
    <t xml:space="preserve">FB001119</t>
  </si>
  <si>
    <t xml:space="preserve">FB001120</t>
  </si>
  <si>
    <t xml:space="preserve">FB001121</t>
  </si>
  <si>
    <t xml:space="preserve">FB001122</t>
  </si>
  <si>
    <t xml:space="preserve">FB001123</t>
  </si>
  <si>
    <t xml:space="preserve">FB001124</t>
  </si>
  <si>
    <t xml:space="preserve">FB001125</t>
  </si>
  <si>
    <t xml:space="preserve">FB001126</t>
  </si>
  <si>
    <t xml:space="preserve">2025-03-07</t>
  </si>
  <si>
    <t xml:space="preserve">FB001127</t>
  </si>
  <si>
    <t xml:space="preserve">FB001128</t>
  </si>
  <si>
    <t xml:space="preserve">2025-01-17</t>
  </si>
  <si>
    <t xml:space="preserve">FB001129</t>
  </si>
  <si>
    <t xml:space="preserve">FB001130</t>
  </si>
  <si>
    <t xml:space="preserve">FB001131</t>
  </si>
  <si>
    <t xml:space="preserve">FB001132</t>
  </si>
  <si>
    <t xml:space="preserve">FB001133</t>
  </si>
  <si>
    <t xml:space="preserve">FB001134</t>
  </si>
  <si>
    <t xml:space="preserve">FB001135</t>
  </si>
  <si>
    <t xml:space="preserve">FB001136</t>
  </si>
  <si>
    <t xml:space="preserve">FB001137</t>
  </si>
  <si>
    <t xml:space="preserve">FB001138</t>
  </si>
  <si>
    <t xml:space="preserve">FB001139</t>
  </si>
  <si>
    <t xml:space="preserve">FB001140</t>
  </si>
  <si>
    <t xml:space="preserve">FB001141</t>
  </si>
  <si>
    <t xml:space="preserve">FB001142</t>
  </si>
  <si>
    <t xml:space="preserve">FB001143</t>
  </si>
  <si>
    <t xml:space="preserve">FB001144</t>
  </si>
  <si>
    <t xml:space="preserve">FB001145</t>
  </si>
  <si>
    <t xml:space="preserve">FB001146</t>
  </si>
  <si>
    <t xml:space="preserve">FB001147</t>
  </si>
  <si>
    <t xml:space="preserve">FB001148</t>
  </si>
  <si>
    <t xml:space="preserve">FB001149</t>
  </si>
  <si>
    <t xml:space="preserve">FB001150</t>
  </si>
  <si>
    <t xml:space="preserve">FB001151</t>
  </si>
  <si>
    <t xml:space="preserve">FB001152</t>
  </si>
  <si>
    <t xml:space="preserve">2024-12-30</t>
  </si>
  <si>
    <t xml:space="preserve">FB001153</t>
  </si>
  <si>
    <t xml:space="preserve">2025-06-09</t>
  </si>
  <si>
    <t xml:space="preserve">FB001154</t>
  </si>
  <si>
    <t xml:space="preserve">FB001155</t>
  </si>
  <si>
    <t xml:space="preserve">FB001156</t>
  </si>
  <si>
    <t xml:space="preserve">FB001157</t>
  </si>
  <si>
    <t xml:space="preserve">FB001158</t>
  </si>
  <si>
    <t xml:space="preserve">FB001159</t>
  </si>
  <si>
    <t xml:space="preserve">FB001160</t>
  </si>
  <si>
    <t xml:space="preserve">FB001161</t>
  </si>
  <si>
    <t xml:space="preserve">FB001162</t>
  </si>
  <si>
    <t xml:space="preserve">FB001163</t>
  </si>
  <si>
    <t xml:space="preserve">FB001164</t>
  </si>
  <si>
    <t xml:space="preserve">FB001165</t>
  </si>
  <si>
    <t xml:space="preserve">2025-02-18</t>
  </si>
  <si>
    <t xml:space="preserve">FB001166</t>
  </si>
  <si>
    <t xml:space="preserve">FB001167</t>
  </si>
  <si>
    <t xml:space="preserve">FB001168</t>
  </si>
  <si>
    <t xml:space="preserve">FB001169</t>
  </si>
  <si>
    <t xml:space="preserve">FB001170</t>
  </si>
  <si>
    <t xml:space="preserve">FB001171</t>
  </si>
  <si>
    <t xml:space="preserve">FB001172</t>
  </si>
  <si>
    <t xml:space="preserve">2024-10-21</t>
  </si>
  <si>
    <t xml:space="preserve">FB001173</t>
  </si>
  <si>
    <t xml:space="preserve">FB001174</t>
  </si>
  <si>
    <t xml:space="preserve">2024-09-19</t>
  </si>
  <si>
    <t xml:space="preserve">FB001175</t>
  </si>
  <si>
    <t xml:space="preserve">FB001176</t>
  </si>
  <si>
    <t xml:space="preserve">FB001177</t>
  </si>
  <si>
    <t xml:space="preserve">FB001178</t>
  </si>
  <si>
    <t xml:space="preserve">FB001179</t>
  </si>
  <si>
    <t xml:space="preserve">FB001180</t>
  </si>
  <si>
    <t xml:space="preserve">FB001181</t>
  </si>
  <si>
    <t xml:space="preserve">FB001182</t>
  </si>
  <si>
    <t xml:space="preserve">FB001183</t>
  </si>
  <si>
    <t xml:space="preserve">FB001184</t>
  </si>
  <si>
    <t xml:space="preserve">FB001185</t>
  </si>
  <si>
    <t xml:space="preserve">FB001186</t>
  </si>
  <si>
    <t xml:space="preserve">FB001187</t>
  </si>
  <si>
    <t xml:space="preserve">FB001188</t>
  </si>
  <si>
    <t xml:space="preserve">FB001189</t>
  </si>
  <si>
    <t xml:space="preserve">FB001190</t>
  </si>
  <si>
    <t xml:space="preserve">2025-01-12</t>
  </si>
  <si>
    <t xml:space="preserve">FB001191</t>
  </si>
  <si>
    <t xml:space="preserve">FB001192</t>
  </si>
  <si>
    <t xml:space="preserve">FB001193</t>
  </si>
  <si>
    <t xml:space="preserve">FB001194</t>
  </si>
  <si>
    <t xml:space="preserve">FB001195</t>
  </si>
  <si>
    <t xml:space="preserve">FB001196</t>
  </si>
  <si>
    <t xml:space="preserve">2025-04-05</t>
  </si>
  <si>
    <t xml:space="preserve">FB001197</t>
  </si>
  <si>
    <t xml:space="preserve">FB001198</t>
  </si>
  <si>
    <t xml:space="preserve">FB001199</t>
  </si>
  <si>
    <t xml:space="preserve">FB001200</t>
  </si>
  <si>
    <t xml:space="preserve">FB001201</t>
  </si>
  <si>
    <t xml:space="preserve">FB001202</t>
  </si>
  <si>
    <t xml:space="preserve">2025-04-14</t>
  </si>
  <si>
    <t xml:space="preserve">FB001203</t>
  </si>
  <si>
    <t xml:space="preserve">FB001204</t>
  </si>
  <si>
    <t xml:space="preserve">FB001205</t>
  </si>
  <si>
    <t xml:space="preserve">FB001206</t>
  </si>
  <si>
    <t xml:space="preserve">FB001207</t>
  </si>
  <si>
    <t xml:space="preserve">FB001208</t>
  </si>
  <si>
    <t xml:space="preserve">FB001209</t>
  </si>
  <si>
    <t xml:space="preserve">FB001210</t>
  </si>
  <si>
    <t xml:space="preserve">2024-09-02</t>
  </si>
  <si>
    <t xml:space="preserve">FB001211</t>
  </si>
  <si>
    <t xml:space="preserve">FB001212</t>
  </si>
  <si>
    <t xml:space="preserve">FB001213</t>
  </si>
  <si>
    <t xml:space="preserve">FB001214</t>
  </si>
  <si>
    <t xml:space="preserve">FB001215</t>
  </si>
  <si>
    <t xml:space="preserve">FB001216</t>
  </si>
  <si>
    <t xml:space="preserve">FB001217</t>
  </si>
  <si>
    <t xml:space="preserve">FB001218</t>
  </si>
  <si>
    <t xml:space="preserve">FB001219</t>
  </si>
  <si>
    <t xml:space="preserve">FB001220</t>
  </si>
  <si>
    <t xml:space="preserve">FB001221</t>
  </si>
  <si>
    <t xml:space="preserve">FB001222</t>
  </si>
  <si>
    <t xml:space="preserve">FB001223</t>
  </si>
  <si>
    <t xml:space="preserve">FB001224</t>
  </si>
  <si>
    <t xml:space="preserve">FB001225</t>
  </si>
  <si>
    <t xml:space="preserve">FB001226</t>
  </si>
  <si>
    <t xml:space="preserve">FB001227</t>
  </si>
  <si>
    <t xml:space="preserve">FB001228</t>
  </si>
  <si>
    <t xml:space="preserve">FB001229</t>
  </si>
  <si>
    <t xml:space="preserve">FB001230</t>
  </si>
  <si>
    <t xml:space="preserve">FB001231</t>
  </si>
  <si>
    <t xml:space="preserve">FB001232</t>
  </si>
  <si>
    <t xml:space="preserve">2025-02-07</t>
  </si>
  <si>
    <t xml:space="preserve">FB001233</t>
  </si>
  <si>
    <t xml:space="preserve">FB001234</t>
  </si>
  <si>
    <t xml:space="preserve">FB001235</t>
  </si>
  <si>
    <t xml:space="preserve">FB001236</t>
  </si>
  <si>
    <t xml:space="preserve">2025-05-18</t>
  </si>
  <si>
    <t xml:space="preserve">FB001237</t>
  </si>
  <si>
    <t xml:space="preserve">2025-02-26</t>
  </si>
  <si>
    <t xml:space="preserve">FB001238</t>
  </si>
  <si>
    <t xml:space="preserve">FB001239</t>
  </si>
  <si>
    <t xml:space="preserve">2024-12-17</t>
  </si>
  <si>
    <t xml:space="preserve">FB001240</t>
  </si>
  <si>
    <t xml:space="preserve">FB001241</t>
  </si>
  <si>
    <t xml:space="preserve">FB001242</t>
  </si>
  <si>
    <t xml:space="preserve">FB001243</t>
  </si>
  <si>
    <t xml:space="preserve">FB001244</t>
  </si>
  <si>
    <t xml:space="preserve">FB001245</t>
  </si>
  <si>
    <t xml:space="preserve">FB001246</t>
  </si>
  <si>
    <t xml:space="preserve">FB001247</t>
  </si>
  <si>
    <t xml:space="preserve">FB001248</t>
  </si>
  <si>
    <t xml:space="preserve">2025-02-16</t>
  </si>
  <si>
    <t xml:space="preserve">FB001249</t>
  </si>
  <si>
    <t xml:space="preserve">FB001250</t>
  </si>
  <si>
    <t xml:space="preserve">FB001251</t>
  </si>
  <si>
    <t xml:space="preserve">FB001252</t>
  </si>
  <si>
    <t xml:space="preserve">FB001253</t>
  </si>
  <si>
    <t xml:space="preserve">FB001254</t>
  </si>
  <si>
    <t xml:space="preserve">FB001255</t>
  </si>
  <si>
    <t xml:space="preserve">FB001256</t>
  </si>
  <si>
    <t xml:space="preserve">FB001257</t>
  </si>
  <si>
    <t xml:space="preserve">FB001258</t>
  </si>
  <si>
    <t xml:space="preserve">FB001259</t>
  </si>
  <si>
    <t xml:space="preserve">FB001260</t>
  </si>
  <si>
    <t xml:space="preserve">2025-05-30</t>
  </si>
  <si>
    <t xml:space="preserve">FB001261</t>
  </si>
  <si>
    <t xml:space="preserve">FB001262</t>
  </si>
  <si>
    <t xml:space="preserve">FB001263</t>
  </si>
  <si>
    <t xml:space="preserve">FB001264</t>
  </si>
  <si>
    <t xml:space="preserve">FB001265</t>
  </si>
  <si>
    <t xml:space="preserve">FB001266</t>
  </si>
  <si>
    <t xml:space="preserve">FB001267</t>
  </si>
  <si>
    <t xml:space="preserve">FB001268</t>
  </si>
  <si>
    <t xml:space="preserve">2024-08-12</t>
  </si>
  <si>
    <t xml:space="preserve">FB001269</t>
  </si>
  <si>
    <t xml:space="preserve">2025-05-11</t>
  </si>
  <si>
    <t xml:space="preserve">FB001270</t>
  </si>
  <si>
    <t xml:space="preserve">2025-02-20</t>
  </si>
  <si>
    <t xml:space="preserve">FB001271</t>
  </si>
  <si>
    <t xml:space="preserve">FB001272</t>
  </si>
  <si>
    <t xml:space="preserve">FB001273</t>
  </si>
  <si>
    <t xml:space="preserve">FB001274</t>
  </si>
  <si>
    <t xml:space="preserve">FB001275</t>
  </si>
  <si>
    <t xml:space="preserve">FB001276</t>
  </si>
  <si>
    <t xml:space="preserve">FB001277</t>
  </si>
  <si>
    <t xml:space="preserve">FB001278</t>
  </si>
  <si>
    <t xml:space="preserve">FB001279</t>
  </si>
  <si>
    <t xml:space="preserve">2024-12-10</t>
  </si>
  <si>
    <t xml:space="preserve">FB001280</t>
  </si>
  <si>
    <t xml:space="preserve">FB001281</t>
  </si>
  <si>
    <t xml:space="preserve">FB001282</t>
  </si>
  <si>
    <t xml:space="preserve">FB001283</t>
  </si>
  <si>
    <t xml:space="preserve">2025-03-11</t>
  </si>
  <si>
    <t xml:space="preserve">FB001284</t>
  </si>
  <si>
    <t xml:space="preserve">FB001285</t>
  </si>
  <si>
    <t xml:space="preserve">FB001286</t>
  </si>
  <si>
    <t xml:space="preserve">FB001287</t>
  </si>
  <si>
    <t xml:space="preserve">FB001288</t>
  </si>
  <si>
    <t xml:space="preserve">FB001289</t>
  </si>
  <si>
    <t xml:space="preserve">FB001290</t>
  </si>
  <si>
    <t xml:space="preserve">FB001291</t>
  </si>
  <si>
    <t xml:space="preserve">FB001292</t>
  </si>
  <si>
    <t xml:space="preserve">FB001293</t>
  </si>
  <si>
    <t xml:space="preserve">FB001294</t>
  </si>
  <si>
    <t xml:space="preserve">FB001295</t>
  </si>
  <si>
    <t xml:space="preserve">FB001296</t>
  </si>
  <si>
    <t xml:space="preserve">FB001297</t>
  </si>
  <si>
    <t xml:space="preserve">FB001298</t>
  </si>
  <si>
    <t xml:space="preserve">FB001299</t>
  </si>
  <si>
    <t xml:space="preserve">FB001300</t>
  </si>
  <si>
    <t xml:space="preserve">FB001301</t>
  </si>
  <si>
    <t xml:space="preserve">FB001302</t>
  </si>
  <si>
    <t xml:space="preserve">FB001303</t>
  </si>
  <si>
    <t xml:space="preserve">FB001304</t>
  </si>
  <si>
    <t xml:space="preserve">FB001305</t>
  </si>
  <si>
    <t xml:space="preserve">FB001306</t>
  </si>
  <si>
    <t xml:space="preserve">FB001307</t>
  </si>
  <si>
    <t xml:space="preserve">FB001308</t>
  </si>
  <si>
    <t xml:space="preserve">2025-03-03</t>
  </si>
  <si>
    <t xml:space="preserve">FB001309</t>
  </si>
  <si>
    <t xml:space="preserve">FB001310</t>
  </si>
  <si>
    <t xml:space="preserve">FB001311</t>
  </si>
  <si>
    <t xml:space="preserve">FB001312</t>
  </si>
  <si>
    <t xml:space="preserve">FB001313</t>
  </si>
  <si>
    <t xml:space="preserve">FB001314</t>
  </si>
  <si>
    <t xml:space="preserve">FB001315</t>
  </si>
  <si>
    <t xml:space="preserve">FB001316</t>
  </si>
  <si>
    <t xml:space="preserve">FB001317</t>
  </si>
  <si>
    <t xml:space="preserve">FB001318</t>
  </si>
  <si>
    <t xml:space="preserve">FB001319</t>
  </si>
  <si>
    <t xml:space="preserve">FB001320</t>
  </si>
  <si>
    <t xml:space="preserve">FB001321</t>
  </si>
  <si>
    <t xml:space="preserve">2024-12-05</t>
  </si>
  <si>
    <t xml:space="preserve">FB001322</t>
  </si>
  <si>
    <t xml:space="preserve">FB001323</t>
  </si>
  <si>
    <t xml:space="preserve">FB001324</t>
  </si>
  <si>
    <t xml:space="preserve">FB001325</t>
  </si>
  <si>
    <t xml:space="preserve">FB001326</t>
  </si>
  <si>
    <t xml:space="preserve">FB001327</t>
  </si>
  <si>
    <t xml:space="preserve">FB001328</t>
  </si>
  <si>
    <t xml:space="preserve">FB001329</t>
  </si>
  <si>
    <t xml:space="preserve">FB001330</t>
  </si>
  <si>
    <t xml:space="preserve">FB001331</t>
  </si>
  <si>
    <t xml:space="preserve">FB001332</t>
  </si>
  <si>
    <t xml:space="preserve">FB001333</t>
  </si>
  <si>
    <t xml:space="preserve">FB001334</t>
  </si>
  <si>
    <t xml:space="preserve">FB001335</t>
  </si>
  <si>
    <t xml:space="preserve">FB001336</t>
  </si>
  <si>
    <t xml:space="preserve">FB001337</t>
  </si>
  <si>
    <t xml:space="preserve">FB001338</t>
  </si>
  <si>
    <t xml:space="preserve">FB001339</t>
  </si>
  <si>
    <t xml:space="preserve">FB001340</t>
  </si>
  <si>
    <t xml:space="preserve">FB001341</t>
  </si>
  <si>
    <t xml:space="preserve">FB001342</t>
  </si>
  <si>
    <t xml:space="preserve">FB001343</t>
  </si>
  <si>
    <t xml:space="preserve">FB001344</t>
  </si>
  <si>
    <t xml:space="preserve">FB001345</t>
  </si>
  <si>
    <t xml:space="preserve">FB001346</t>
  </si>
  <si>
    <t xml:space="preserve">FB001347</t>
  </si>
  <si>
    <t xml:space="preserve">FB001348</t>
  </si>
  <si>
    <t xml:space="preserve">FB001349</t>
  </si>
  <si>
    <t xml:space="preserve">2024-08-26</t>
  </si>
  <si>
    <t xml:space="preserve">FB001350</t>
  </si>
  <si>
    <t xml:space="preserve">FB001351</t>
  </si>
  <si>
    <t xml:space="preserve">FB001352</t>
  </si>
  <si>
    <t xml:space="preserve">2025-05-01</t>
  </si>
  <si>
    <t xml:space="preserve">FB001353</t>
  </si>
  <si>
    <t xml:space="preserve">FB001354</t>
  </si>
  <si>
    <t xml:space="preserve">FB001355</t>
  </si>
  <si>
    <t xml:space="preserve">FB001356</t>
  </si>
  <si>
    <t xml:space="preserve">FB001357</t>
  </si>
  <si>
    <t xml:space="preserve">FB001358</t>
  </si>
  <si>
    <t xml:space="preserve">FB001359</t>
  </si>
  <si>
    <t xml:space="preserve">FB001360</t>
  </si>
  <si>
    <t xml:space="preserve">FB001361</t>
  </si>
  <si>
    <t xml:space="preserve">FB001362</t>
  </si>
  <si>
    <t xml:space="preserve">FB001363</t>
  </si>
  <si>
    <t xml:space="preserve">2025-07-26</t>
  </si>
  <si>
    <t xml:space="preserve">FB001364</t>
  </si>
  <si>
    <t xml:space="preserve">FB001365</t>
  </si>
  <si>
    <t xml:space="preserve">FB001366</t>
  </si>
  <si>
    <t xml:space="preserve">2024-11-11</t>
  </si>
  <si>
    <t xml:space="preserve">FB001367</t>
  </si>
  <si>
    <t xml:space="preserve">FB001368</t>
  </si>
  <si>
    <t xml:space="preserve">FB001369</t>
  </si>
  <si>
    <t xml:space="preserve">FB001370</t>
  </si>
  <si>
    <t xml:space="preserve">FB001371</t>
  </si>
  <si>
    <t xml:space="preserve">FB001372</t>
  </si>
  <si>
    <t xml:space="preserve">FB001373</t>
  </si>
  <si>
    <t xml:space="preserve">FB001374</t>
  </si>
  <si>
    <t xml:space="preserve">FB001375</t>
  </si>
  <si>
    <t xml:space="preserve">FB001376</t>
  </si>
  <si>
    <t xml:space="preserve">FB001377</t>
  </si>
  <si>
    <t xml:space="preserve">FB001378</t>
  </si>
  <si>
    <t xml:space="preserve">FB001379</t>
  </si>
  <si>
    <t xml:space="preserve">FB001380</t>
  </si>
  <si>
    <t xml:space="preserve">FB001381</t>
  </si>
  <si>
    <t xml:space="preserve">FB001382</t>
  </si>
  <si>
    <t xml:space="preserve">FB001383</t>
  </si>
  <si>
    <t xml:space="preserve">FB001384</t>
  </si>
  <si>
    <t xml:space="preserve">FB001385</t>
  </si>
  <si>
    <t xml:space="preserve">FB001386</t>
  </si>
  <si>
    <t xml:space="preserve">FB001387</t>
  </si>
  <si>
    <t xml:space="preserve">FB001388</t>
  </si>
  <si>
    <t xml:space="preserve">FB001389</t>
  </si>
  <si>
    <t xml:space="preserve">2025-01-08</t>
  </si>
  <si>
    <t xml:space="preserve">FB001390</t>
  </si>
  <si>
    <t xml:space="preserve">FB001391</t>
  </si>
  <si>
    <t xml:space="preserve">FB001392</t>
  </si>
  <si>
    <t xml:space="preserve">FB001393</t>
  </si>
  <si>
    <t xml:space="preserve">FB001394</t>
  </si>
  <si>
    <t xml:space="preserve">FB001395</t>
  </si>
  <si>
    <t xml:space="preserve">FB001396</t>
  </si>
  <si>
    <t xml:space="preserve">FB001397</t>
  </si>
  <si>
    <t xml:space="preserve">FB001398</t>
  </si>
  <si>
    <t xml:space="preserve">FB001399</t>
  </si>
  <si>
    <t xml:space="preserve">FB001400</t>
  </si>
  <si>
    <t xml:space="preserve">FB001401</t>
  </si>
  <si>
    <t xml:space="preserve">FB001402</t>
  </si>
  <si>
    <t xml:space="preserve">FB001403</t>
  </si>
  <si>
    <t xml:space="preserve">FB001404</t>
  </si>
  <si>
    <t xml:space="preserve">FB001405</t>
  </si>
  <si>
    <t xml:space="preserve">FB001406</t>
  </si>
  <si>
    <t xml:space="preserve">FB001407</t>
  </si>
  <si>
    <t xml:space="preserve">FB001408</t>
  </si>
  <si>
    <t xml:space="preserve">FB001409</t>
  </si>
  <si>
    <t xml:space="preserve">2024-08-15</t>
  </si>
  <si>
    <t xml:space="preserve">FB001410</t>
  </si>
  <si>
    <t xml:space="preserve">FB001411</t>
  </si>
  <si>
    <t xml:space="preserve">FB001412</t>
  </si>
  <si>
    <t xml:space="preserve">FB001413</t>
  </si>
  <si>
    <t xml:space="preserve">FB001414</t>
  </si>
  <si>
    <t xml:space="preserve">FB001415</t>
  </si>
  <si>
    <t xml:space="preserve">FB001416</t>
  </si>
  <si>
    <t xml:space="preserve">FB001417</t>
  </si>
  <si>
    <t xml:space="preserve">FB001418</t>
  </si>
  <si>
    <t xml:space="preserve">FB001419</t>
  </si>
  <si>
    <t xml:space="preserve">FB001420</t>
  </si>
  <si>
    <t xml:space="preserve">FB001421</t>
  </si>
  <si>
    <t xml:space="preserve">FB001422</t>
  </si>
  <si>
    <t xml:space="preserve">FB001423</t>
  </si>
  <si>
    <t xml:space="preserve">FB001424</t>
  </si>
  <si>
    <t xml:space="preserve">FB001425</t>
  </si>
  <si>
    <t xml:space="preserve">FB001426</t>
  </si>
  <si>
    <t xml:space="preserve">FB001427</t>
  </si>
  <si>
    <t xml:space="preserve">FB001428</t>
  </si>
  <si>
    <t xml:space="preserve">FB001429</t>
  </si>
  <si>
    <t xml:space="preserve">2024-08-19</t>
  </si>
  <si>
    <t xml:space="preserve">FB001430</t>
  </si>
  <si>
    <t xml:space="preserve">2025-04-07</t>
  </si>
  <si>
    <t xml:space="preserve">FB001431</t>
  </si>
  <si>
    <t xml:space="preserve">FB001432</t>
  </si>
  <si>
    <t xml:space="preserve">FB001433</t>
  </si>
  <si>
    <t xml:space="preserve">FB001434</t>
  </si>
  <si>
    <t xml:space="preserve">FB001435</t>
  </si>
  <si>
    <t xml:space="preserve">FB001436</t>
  </si>
  <si>
    <t xml:space="preserve">FB001437</t>
  </si>
  <si>
    <t xml:space="preserve">FB001438</t>
  </si>
  <si>
    <t xml:space="preserve">FB001439</t>
  </si>
  <si>
    <t xml:space="preserve">FB001440</t>
  </si>
  <si>
    <t xml:space="preserve">FB001441</t>
  </si>
  <si>
    <t xml:space="preserve">FB001442</t>
  </si>
  <si>
    <t xml:space="preserve">FB001443</t>
  </si>
  <si>
    <t xml:space="preserve">FB001444</t>
  </si>
  <si>
    <t xml:space="preserve">FB001445</t>
  </si>
  <si>
    <t xml:space="preserve">FB001446</t>
  </si>
  <si>
    <t xml:space="preserve">FB001447</t>
  </si>
  <si>
    <t xml:space="preserve">FB001448</t>
  </si>
  <si>
    <t xml:space="preserve">FB001449</t>
  </si>
  <si>
    <t xml:space="preserve">FB001450</t>
  </si>
  <si>
    <t xml:space="preserve">FB001451</t>
  </si>
  <si>
    <t xml:space="preserve">FB001452</t>
  </si>
  <si>
    <t xml:space="preserve">FB001453</t>
  </si>
  <si>
    <t xml:space="preserve">FB001454</t>
  </si>
  <si>
    <t xml:space="preserve">FB001455</t>
  </si>
  <si>
    <t xml:space="preserve">2024-11-12</t>
  </si>
  <si>
    <t xml:space="preserve">FB001456</t>
  </si>
  <si>
    <t xml:space="preserve">FB001457</t>
  </si>
  <si>
    <t xml:space="preserve">FB001458</t>
  </si>
  <si>
    <t xml:space="preserve">FB001459</t>
  </si>
  <si>
    <t xml:space="preserve">FB001460</t>
  </si>
  <si>
    <t xml:space="preserve">FB001461</t>
  </si>
  <si>
    <t xml:space="preserve">FB001462</t>
  </si>
  <si>
    <t xml:space="preserve">FB001463</t>
  </si>
  <si>
    <t xml:space="preserve">FB001464</t>
  </si>
  <si>
    <t xml:space="preserve">FB001465</t>
  </si>
  <si>
    <t xml:space="preserve">FB001466</t>
  </si>
  <si>
    <t xml:space="preserve">2024-12-12</t>
  </si>
  <si>
    <t xml:space="preserve">FB001467</t>
  </si>
  <si>
    <t xml:space="preserve">FB001468</t>
  </si>
  <si>
    <t xml:space="preserve">FB001469</t>
  </si>
  <si>
    <t xml:space="preserve">FB001470</t>
  </si>
  <si>
    <t xml:space="preserve">FB001471</t>
  </si>
  <si>
    <t xml:space="preserve">FB001472</t>
  </si>
  <si>
    <t xml:space="preserve">FB001473</t>
  </si>
  <si>
    <t xml:space="preserve">FB001474</t>
  </si>
  <si>
    <t xml:space="preserve">FB001475</t>
  </si>
  <si>
    <t xml:space="preserve">FB001476</t>
  </si>
  <si>
    <t xml:space="preserve">FB001477</t>
  </si>
  <si>
    <t xml:space="preserve">FB001478</t>
  </si>
  <si>
    <t xml:space="preserve">FB001479</t>
  </si>
  <si>
    <t xml:space="preserve">FB001480</t>
  </si>
  <si>
    <t xml:space="preserve">FB001481</t>
  </si>
  <si>
    <t xml:space="preserve">FB001482</t>
  </si>
  <si>
    <t xml:space="preserve">FB001483</t>
  </si>
  <si>
    <t xml:space="preserve">FB001484</t>
  </si>
  <si>
    <t xml:space="preserve">FB001485</t>
  </si>
  <si>
    <t xml:space="preserve">FB001486</t>
  </si>
  <si>
    <t xml:space="preserve">2024-12-07</t>
  </si>
  <si>
    <t xml:space="preserve">FB001487</t>
  </si>
  <si>
    <t xml:space="preserve">FB001488</t>
  </si>
  <si>
    <t xml:space="preserve">FB001489</t>
  </si>
  <si>
    <t xml:space="preserve">FB001490</t>
  </si>
  <si>
    <t xml:space="preserve">FB001491</t>
  </si>
  <si>
    <t xml:space="preserve">FB001492</t>
  </si>
  <si>
    <t xml:space="preserve">FB001493</t>
  </si>
  <si>
    <t xml:space="preserve">FB001494</t>
  </si>
  <si>
    <t xml:space="preserve">FB001495</t>
  </si>
  <si>
    <t xml:space="preserve">FB001496</t>
  </si>
  <si>
    <t xml:space="preserve">FB001497</t>
  </si>
  <si>
    <t xml:space="preserve">FB001498</t>
  </si>
  <si>
    <t xml:space="preserve">FB001499</t>
  </si>
  <si>
    <t xml:space="preserve">FB001500</t>
  </si>
  <si>
    <t xml:space="preserve">FB001501</t>
  </si>
  <si>
    <t xml:space="preserve">FB001502</t>
  </si>
  <si>
    <t xml:space="preserve">FB001503</t>
  </si>
  <si>
    <t xml:space="preserve">FB001504</t>
  </si>
  <si>
    <t xml:space="preserve">FB001505</t>
  </si>
  <si>
    <t xml:space="preserve">FB001506</t>
  </si>
  <si>
    <t xml:space="preserve">2024-11-20</t>
  </si>
  <si>
    <t xml:space="preserve">FB001507</t>
  </si>
  <si>
    <t xml:space="preserve">FB001508</t>
  </si>
  <si>
    <t xml:space="preserve">FB001509</t>
  </si>
  <si>
    <t xml:space="preserve">FB001510</t>
  </si>
  <si>
    <t xml:space="preserve">FB001511</t>
  </si>
  <si>
    <t xml:space="preserve">FB001512</t>
  </si>
  <si>
    <t xml:space="preserve">FB001513</t>
  </si>
  <si>
    <t xml:space="preserve">FB001514</t>
  </si>
  <si>
    <t xml:space="preserve">FB001515</t>
  </si>
  <si>
    <t xml:space="preserve">FB001516</t>
  </si>
  <si>
    <t xml:space="preserve">FB001517</t>
  </si>
  <si>
    <t xml:space="preserve">FB001518</t>
  </si>
  <si>
    <t xml:space="preserve">FB001519</t>
  </si>
  <si>
    <t xml:space="preserve">FB001520</t>
  </si>
  <si>
    <t xml:space="preserve">FB001521</t>
  </si>
  <si>
    <t xml:space="preserve">FB001522</t>
  </si>
  <si>
    <t xml:space="preserve">FB001523</t>
  </si>
  <si>
    <t xml:space="preserve">FB001524</t>
  </si>
  <si>
    <t xml:space="preserve">FB001525</t>
  </si>
  <si>
    <t xml:space="preserve">FB001526</t>
  </si>
  <si>
    <t xml:space="preserve">FB001527</t>
  </si>
  <si>
    <t xml:space="preserve">FB001528</t>
  </si>
  <si>
    <t xml:space="preserve">FB001529</t>
  </si>
  <si>
    <t xml:space="preserve">FB001530</t>
  </si>
  <si>
    <t xml:space="preserve">FB001531</t>
  </si>
  <si>
    <t xml:space="preserve">FB001532</t>
  </si>
  <si>
    <t xml:space="preserve">FB001533</t>
  </si>
  <si>
    <t xml:space="preserve">FB001534</t>
  </si>
  <si>
    <t xml:space="preserve">FB001535</t>
  </si>
  <si>
    <t xml:space="preserve">FB001536</t>
  </si>
  <si>
    <t xml:space="preserve">FB001537</t>
  </si>
  <si>
    <t xml:space="preserve">FB001538</t>
  </si>
  <si>
    <t xml:space="preserve">FB001539</t>
  </si>
  <si>
    <t xml:space="preserve">2025-05-17</t>
  </si>
  <si>
    <t xml:space="preserve">FB001540</t>
  </si>
  <si>
    <t xml:space="preserve">FB001541</t>
  </si>
  <si>
    <t xml:space="preserve">2025-02-13</t>
  </si>
  <si>
    <t xml:space="preserve">FB001542</t>
  </si>
  <si>
    <t xml:space="preserve">FB001543</t>
  </si>
  <si>
    <t xml:space="preserve">FB001544</t>
  </si>
  <si>
    <t xml:space="preserve">FB001545</t>
  </si>
  <si>
    <t xml:space="preserve">FB001546</t>
  </si>
  <si>
    <t xml:space="preserve">2025-01-02</t>
  </si>
  <si>
    <t xml:space="preserve">FB001547</t>
  </si>
  <si>
    <t xml:space="preserve">FB001548</t>
  </si>
  <si>
    <t xml:space="preserve">FB001549</t>
  </si>
  <si>
    <t xml:space="preserve">2025-06-15</t>
  </si>
  <si>
    <t xml:space="preserve">FB001550</t>
  </si>
  <si>
    <t xml:space="preserve">FB001551</t>
  </si>
  <si>
    <t xml:space="preserve">2024-11-13</t>
  </si>
  <si>
    <t xml:space="preserve">FB001552</t>
  </si>
  <si>
    <t xml:space="preserve">FB001553</t>
  </si>
  <si>
    <t xml:space="preserve">FB001554</t>
  </si>
  <si>
    <t xml:space="preserve">FB001555</t>
  </si>
  <si>
    <t xml:space="preserve">FB001556</t>
  </si>
  <si>
    <t xml:space="preserve">FB001557</t>
  </si>
  <si>
    <t xml:space="preserve">FB001558</t>
  </si>
  <si>
    <t xml:space="preserve">FB001559</t>
  </si>
  <si>
    <t xml:space="preserve">FB001560</t>
  </si>
  <si>
    <t xml:space="preserve">FB001561</t>
  </si>
  <si>
    <t xml:space="preserve">FB001562</t>
  </si>
  <si>
    <t xml:space="preserve">FB001563</t>
  </si>
  <si>
    <t xml:space="preserve">FB001564</t>
  </si>
  <si>
    <t xml:space="preserve">FB001565</t>
  </si>
  <si>
    <t xml:space="preserve">FB001566</t>
  </si>
  <si>
    <t xml:space="preserve">FB001567</t>
  </si>
  <si>
    <t xml:space="preserve">FB001568</t>
  </si>
  <si>
    <t xml:space="preserve">FB001569</t>
  </si>
  <si>
    <t xml:space="preserve">FB001570</t>
  </si>
  <si>
    <t xml:space="preserve">FB001571</t>
  </si>
  <si>
    <t xml:space="preserve">2025-05-14</t>
  </si>
  <si>
    <t xml:space="preserve">FB001572</t>
  </si>
  <si>
    <t xml:space="preserve">FB001573</t>
  </si>
  <si>
    <t xml:space="preserve">2024-09-30</t>
  </si>
  <si>
    <t xml:space="preserve">FB001574</t>
  </si>
  <si>
    <t xml:space="preserve">FB001575</t>
  </si>
  <si>
    <t xml:space="preserve">2025-01-24</t>
  </si>
  <si>
    <t xml:space="preserve">FB001576</t>
  </si>
  <si>
    <t xml:space="preserve">FB001577</t>
  </si>
  <si>
    <t xml:space="preserve">FB001578</t>
  </si>
  <si>
    <t xml:space="preserve">FB001579</t>
  </si>
  <si>
    <t xml:space="preserve">FB001580</t>
  </si>
  <si>
    <t xml:space="preserve">FB001581</t>
  </si>
  <si>
    <t xml:space="preserve">FB001582</t>
  </si>
  <si>
    <t xml:space="preserve">FB001583</t>
  </si>
  <si>
    <t xml:space="preserve">FB001584</t>
  </si>
  <si>
    <t xml:space="preserve">FB001585</t>
  </si>
  <si>
    <t xml:space="preserve">FB001586</t>
  </si>
  <si>
    <t xml:space="preserve">FB001587</t>
  </si>
  <si>
    <t xml:space="preserve">FB001588</t>
  </si>
  <si>
    <t xml:space="preserve">FB001589</t>
  </si>
  <si>
    <t xml:space="preserve">FB001590</t>
  </si>
  <si>
    <t xml:space="preserve">FB001591</t>
  </si>
  <si>
    <t xml:space="preserve">FB001592</t>
  </si>
  <si>
    <t xml:space="preserve">FB001593</t>
  </si>
  <si>
    <t xml:space="preserve">FB001594</t>
  </si>
  <si>
    <t xml:space="preserve">FB001595</t>
  </si>
  <si>
    <t xml:space="preserve">FB001596</t>
  </si>
  <si>
    <t xml:space="preserve">2024-09-03</t>
  </si>
  <si>
    <t xml:space="preserve">FB001597</t>
  </si>
  <si>
    <t xml:space="preserve">FB001598</t>
  </si>
  <si>
    <t xml:space="preserve">FB001599</t>
  </si>
  <si>
    <t xml:space="preserve">FB001600</t>
  </si>
  <si>
    <t xml:space="preserve">FB001601</t>
  </si>
  <si>
    <t xml:space="preserve">FB001602</t>
  </si>
  <si>
    <t xml:space="preserve">FB001603</t>
  </si>
  <si>
    <t xml:space="preserve">FB001604</t>
  </si>
  <si>
    <t xml:space="preserve">FB001605</t>
  </si>
  <si>
    <t xml:space="preserve">2024-09-05</t>
  </si>
  <si>
    <t xml:space="preserve">FB001606</t>
  </si>
  <si>
    <t xml:space="preserve">FB001607</t>
  </si>
  <si>
    <t xml:space="preserve">FB001608</t>
  </si>
  <si>
    <t xml:space="preserve">FB001609</t>
  </si>
  <si>
    <t xml:space="preserve">2024-08-22</t>
  </si>
  <si>
    <t xml:space="preserve">FB001610</t>
  </si>
  <si>
    <t xml:space="preserve">FB001611</t>
  </si>
  <si>
    <t xml:space="preserve">FB001612</t>
  </si>
  <si>
    <t xml:space="preserve">FB001613</t>
  </si>
  <si>
    <t xml:space="preserve">FB001614</t>
  </si>
  <si>
    <t xml:space="preserve">FB001615</t>
  </si>
  <si>
    <t xml:space="preserve">FB001616</t>
  </si>
  <si>
    <t xml:space="preserve">FB001617</t>
  </si>
  <si>
    <t xml:space="preserve">FB001618</t>
  </si>
  <si>
    <t xml:space="preserve">FB001619</t>
  </si>
  <si>
    <t xml:space="preserve">FB001620</t>
  </si>
  <si>
    <t xml:space="preserve">FB001621</t>
  </si>
  <si>
    <t xml:space="preserve">FB001622</t>
  </si>
  <si>
    <t xml:space="preserve">FB001623</t>
  </si>
  <si>
    <t xml:space="preserve">2025-05-20</t>
  </si>
  <si>
    <t xml:space="preserve">FB001624</t>
  </si>
  <si>
    <t xml:space="preserve">FB001625</t>
  </si>
  <si>
    <t xml:space="preserve">FB001626</t>
  </si>
  <si>
    <t xml:space="preserve">FB001627</t>
  </si>
  <si>
    <t xml:space="preserve">FB001628</t>
  </si>
  <si>
    <t xml:space="preserve">FB001629</t>
  </si>
  <si>
    <t xml:space="preserve">FB001630</t>
  </si>
  <si>
    <t xml:space="preserve">FB001631</t>
  </si>
  <si>
    <t xml:space="preserve">FB001632</t>
  </si>
  <si>
    <t xml:space="preserve">FB001633</t>
  </si>
  <si>
    <t xml:space="preserve">2025-04-28</t>
  </si>
  <si>
    <t xml:space="preserve">FB001634</t>
  </si>
  <si>
    <t xml:space="preserve">2024-08-27</t>
  </si>
  <si>
    <t xml:space="preserve">FB001635</t>
  </si>
  <si>
    <t xml:space="preserve">2025-02-12</t>
  </si>
  <si>
    <t xml:space="preserve">FB001636</t>
  </si>
  <si>
    <t xml:space="preserve">FB001637</t>
  </si>
  <si>
    <t xml:space="preserve">FB001638</t>
  </si>
  <si>
    <t xml:space="preserve">FB001639</t>
  </si>
  <si>
    <t xml:space="preserve">FB001640</t>
  </si>
  <si>
    <t xml:space="preserve">FB001641</t>
  </si>
  <si>
    <t xml:space="preserve">FB001642</t>
  </si>
  <si>
    <t xml:space="preserve">FB001643</t>
  </si>
  <si>
    <t xml:space="preserve">FB001644</t>
  </si>
  <si>
    <t xml:space="preserve">FB001645</t>
  </si>
  <si>
    <t xml:space="preserve">FB001646</t>
  </si>
  <si>
    <t xml:space="preserve">FB001647</t>
  </si>
  <si>
    <t xml:space="preserve">FB001648</t>
  </si>
  <si>
    <t xml:space="preserve">FB001649</t>
  </si>
  <si>
    <t xml:space="preserve">FB001650</t>
  </si>
  <si>
    <t xml:space="preserve">FB001651</t>
  </si>
  <si>
    <t xml:space="preserve">FB001652</t>
  </si>
  <si>
    <t xml:space="preserve">FB001653</t>
  </si>
  <si>
    <t xml:space="preserve">2025-03-09</t>
  </si>
  <si>
    <t xml:space="preserve">FB001654</t>
  </si>
  <si>
    <t xml:space="preserve">2025-04-24</t>
  </si>
  <si>
    <t xml:space="preserve">FB001655</t>
  </si>
  <si>
    <t xml:space="preserve">FB001656</t>
  </si>
  <si>
    <t xml:space="preserve">FB001657</t>
  </si>
  <si>
    <t xml:space="preserve">FB001658</t>
  </si>
  <si>
    <t xml:space="preserve">FB001659</t>
  </si>
  <si>
    <t xml:space="preserve">FB001660</t>
  </si>
  <si>
    <t xml:space="preserve">FB001661</t>
  </si>
  <si>
    <t xml:space="preserve">FB001662</t>
  </si>
  <si>
    <t xml:space="preserve">FB001663</t>
  </si>
  <si>
    <t xml:space="preserve">FB001664</t>
  </si>
  <si>
    <t xml:space="preserve">FB001665</t>
  </si>
  <si>
    <t xml:space="preserve">FB001666</t>
  </si>
  <si>
    <t xml:space="preserve">FB001667</t>
  </si>
  <si>
    <t xml:space="preserve">FB001668</t>
  </si>
  <si>
    <t xml:space="preserve">2025-07-13</t>
  </si>
  <si>
    <t xml:space="preserve">FB001669</t>
  </si>
  <si>
    <t xml:space="preserve">FB001670</t>
  </si>
  <si>
    <t xml:space="preserve">FB001671</t>
  </si>
  <si>
    <t xml:space="preserve">FB001672</t>
  </si>
  <si>
    <t xml:space="preserve">FB001673</t>
  </si>
  <si>
    <t xml:space="preserve">FB001674</t>
  </si>
  <si>
    <t xml:space="preserve">FB001675</t>
  </si>
  <si>
    <t xml:space="preserve">FB001676</t>
  </si>
  <si>
    <t xml:space="preserve">FB001677</t>
  </si>
  <si>
    <t xml:space="preserve">FB001678</t>
  </si>
  <si>
    <t xml:space="preserve">FB001679</t>
  </si>
  <si>
    <t xml:space="preserve">FB001680</t>
  </si>
  <si>
    <t xml:space="preserve">2024-08-25</t>
  </si>
  <si>
    <t xml:space="preserve">FB001681</t>
  </si>
  <si>
    <t xml:space="preserve">FB001682</t>
  </si>
  <si>
    <t xml:space="preserve">FB001683</t>
  </si>
  <si>
    <t xml:space="preserve">FB001684</t>
  </si>
  <si>
    <t xml:space="preserve">FB001685</t>
  </si>
  <si>
    <t xml:space="preserve">FB001686</t>
  </si>
  <si>
    <t xml:space="preserve">FB001687</t>
  </si>
  <si>
    <t xml:space="preserve">FB001688</t>
  </si>
  <si>
    <t xml:space="preserve">FB001689</t>
  </si>
  <si>
    <t xml:space="preserve">FB001690</t>
  </si>
  <si>
    <t xml:space="preserve">FB001691</t>
  </si>
  <si>
    <t xml:space="preserve">FB001692</t>
  </si>
  <si>
    <t xml:space="preserve">FB001693</t>
  </si>
  <si>
    <t xml:space="preserve">FB001694</t>
  </si>
  <si>
    <t xml:space="preserve">FB001695</t>
  </si>
  <si>
    <t xml:space="preserve">FB001696</t>
  </si>
  <si>
    <t xml:space="preserve">FB001697</t>
  </si>
  <si>
    <t xml:space="preserve">2025-06-14</t>
  </si>
  <si>
    <t xml:space="preserve">FB001698</t>
  </si>
  <si>
    <t xml:space="preserve">FB001699</t>
  </si>
  <si>
    <t xml:space="preserve">FB001700</t>
  </si>
  <si>
    <t xml:space="preserve">FB001701</t>
  </si>
  <si>
    <t xml:space="preserve">FB001702</t>
  </si>
  <si>
    <t xml:space="preserve">FB001703</t>
  </si>
  <si>
    <t xml:space="preserve">FB001704</t>
  </si>
  <si>
    <t xml:space="preserve">FB001705</t>
  </si>
  <si>
    <t xml:space="preserve">2025-08-03</t>
  </si>
  <si>
    <t xml:space="preserve">FB001706</t>
  </si>
  <si>
    <t xml:space="preserve">FB001707</t>
  </si>
  <si>
    <t xml:space="preserve">FB001708</t>
  </si>
  <si>
    <t xml:space="preserve">FB001709</t>
  </si>
  <si>
    <t xml:space="preserve">FB001710</t>
  </si>
  <si>
    <t xml:space="preserve">FB001711</t>
  </si>
  <si>
    <t xml:space="preserve">FB001712</t>
  </si>
  <si>
    <t xml:space="preserve">FB001713</t>
  </si>
  <si>
    <t xml:space="preserve">FB001714</t>
  </si>
  <si>
    <t xml:space="preserve">FB001715</t>
  </si>
  <si>
    <t xml:space="preserve">FB001716</t>
  </si>
  <si>
    <t xml:space="preserve">FB001717</t>
  </si>
  <si>
    <t xml:space="preserve">FB001718</t>
  </si>
  <si>
    <t xml:space="preserve">FB001719</t>
  </si>
  <si>
    <t xml:space="preserve">FB001720</t>
  </si>
  <si>
    <t xml:space="preserve">FB001721</t>
  </si>
  <si>
    <t xml:space="preserve">FB001722</t>
  </si>
  <si>
    <t xml:space="preserve">FB001723</t>
  </si>
  <si>
    <t xml:space="preserve">FB001724</t>
  </si>
  <si>
    <t xml:space="preserve">FB001725</t>
  </si>
  <si>
    <t xml:space="preserve">FB001726</t>
  </si>
  <si>
    <t xml:space="preserve">FB001727</t>
  </si>
  <si>
    <t xml:space="preserve">FB001728</t>
  </si>
  <si>
    <t xml:space="preserve">2025-05-27</t>
  </si>
  <si>
    <t xml:space="preserve">FB001729</t>
  </si>
  <si>
    <t xml:space="preserve">FB001730</t>
  </si>
  <si>
    <t xml:space="preserve">FB001731</t>
  </si>
  <si>
    <t xml:space="preserve">FB001732</t>
  </si>
  <si>
    <t xml:space="preserve">FB001733</t>
  </si>
  <si>
    <t xml:space="preserve">FB001734</t>
  </si>
  <si>
    <t xml:space="preserve">FB001735</t>
  </si>
  <si>
    <t xml:space="preserve">FB001736</t>
  </si>
  <si>
    <t xml:space="preserve">2024-11-24</t>
  </si>
  <si>
    <t xml:space="preserve">FB001737</t>
  </si>
  <si>
    <t xml:space="preserve">FB001738</t>
  </si>
  <si>
    <t xml:space="preserve">FB001739</t>
  </si>
  <si>
    <t xml:space="preserve">FB001740</t>
  </si>
  <si>
    <t xml:space="preserve">FB001741</t>
  </si>
  <si>
    <t xml:space="preserve">FB001742</t>
  </si>
  <si>
    <t xml:space="preserve">FB001743</t>
  </si>
  <si>
    <t xml:space="preserve">FB001744</t>
  </si>
  <si>
    <t xml:space="preserve">FB001745</t>
  </si>
  <si>
    <t xml:space="preserve">FB001746</t>
  </si>
  <si>
    <t xml:space="preserve">FB001747</t>
  </si>
  <si>
    <t xml:space="preserve">FB001748</t>
  </si>
  <si>
    <t xml:space="preserve">FB001749</t>
  </si>
  <si>
    <t xml:space="preserve">FB001750</t>
  </si>
  <si>
    <t xml:space="preserve">FB001751</t>
  </si>
  <si>
    <t xml:space="preserve">FB001752</t>
  </si>
  <si>
    <t xml:space="preserve">FB001753</t>
  </si>
  <si>
    <t xml:space="preserve">FB001754</t>
  </si>
  <si>
    <t xml:space="preserve">FB001755</t>
  </si>
  <si>
    <t xml:space="preserve">FB001756</t>
  </si>
  <si>
    <t xml:space="preserve">FB001757</t>
  </si>
  <si>
    <t xml:space="preserve">FB001758</t>
  </si>
  <si>
    <t xml:space="preserve">FB001759</t>
  </si>
  <si>
    <t xml:space="preserve">FB001760</t>
  </si>
  <si>
    <t xml:space="preserve">FB001761</t>
  </si>
  <si>
    <t xml:space="preserve">2024-10-27</t>
  </si>
  <si>
    <t xml:space="preserve">FB001762</t>
  </si>
  <si>
    <t xml:space="preserve">FB001763</t>
  </si>
  <si>
    <t xml:space="preserve">FB001764</t>
  </si>
  <si>
    <t xml:space="preserve">FB001765</t>
  </si>
  <si>
    <t xml:space="preserve">FB001766</t>
  </si>
  <si>
    <t xml:space="preserve">FB001767</t>
  </si>
  <si>
    <t xml:space="preserve">FB001768</t>
  </si>
  <si>
    <t xml:space="preserve">FB001769</t>
  </si>
  <si>
    <t xml:space="preserve">FB001770</t>
  </si>
  <si>
    <t xml:space="preserve">FB001771</t>
  </si>
  <si>
    <t xml:space="preserve">FB001772</t>
  </si>
  <si>
    <t xml:space="preserve">2024-12-31</t>
  </si>
  <si>
    <t xml:space="preserve">FB001773</t>
  </si>
  <si>
    <t xml:space="preserve">FB001774</t>
  </si>
  <si>
    <t xml:space="preserve">FB001775</t>
  </si>
  <si>
    <t xml:space="preserve">2024-10-15</t>
  </si>
  <si>
    <t xml:space="preserve">FB001776</t>
  </si>
  <si>
    <t xml:space="preserve">FB001777</t>
  </si>
  <si>
    <t xml:space="preserve">FB001778</t>
  </si>
  <si>
    <t xml:space="preserve">FB001779</t>
  </si>
  <si>
    <t xml:space="preserve">FB001780</t>
  </si>
  <si>
    <t xml:space="preserve">FB001781</t>
  </si>
  <si>
    <t xml:space="preserve">FB001782</t>
  </si>
  <si>
    <t xml:space="preserve">FB001783</t>
  </si>
  <si>
    <t xml:space="preserve">FB001784</t>
  </si>
  <si>
    <t xml:space="preserve">FB001785</t>
  </si>
  <si>
    <t xml:space="preserve">FB001786</t>
  </si>
  <si>
    <t xml:space="preserve">FB001787</t>
  </si>
  <si>
    <t xml:space="preserve">FB001788</t>
  </si>
  <si>
    <t xml:space="preserve">FB001789</t>
  </si>
  <si>
    <t xml:space="preserve">FB001790</t>
  </si>
  <si>
    <t xml:space="preserve">FB001791</t>
  </si>
  <si>
    <t xml:space="preserve">FB001792</t>
  </si>
  <si>
    <t xml:space="preserve">FB001793</t>
  </si>
  <si>
    <t xml:space="preserve">FB001794</t>
  </si>
  <si>
    <t xml:space="preserve">FB001795</t>
  </si>
  <si>
    <t xml:space="preserve">FB001796</t>
  </si>
  <si>
    <t xml:space="preserve">FB001797</t>
  </si>
  <si>
    <t xml:space="preserve">FB001798</t>
  </si>
  <si>
    <t xml:space="preserve">FB001799</t>
  </si>
  <si>
    <t xml:space="preserve">FB001800</t>
  </si>
  <si>
    <t xml:space="preserve">FB001801</t>
  </si>
  <si>
    <t xml:space="preserve">FB001802</t>
  </si>
  <si>
    <t xml:space="preserve">FB001803</t>
  </si>
  <si>
    <t xml:space="preserve">FB001804</t>
  </si>
  <si>
    <t xml:space="preserve">FB001805</t>
  </si>
  <si>
    <t xml:space="preserve">FB001806</t>
  </si>
  <si>
    <t xml:space="preserve">FB001807</t>
  </si>
  <si>
    <t xml:space="preserve">FB001808</t>
  </si>
  <si>
    <t xml:space="preserve">FB001809</t>
  </si>
  <si>
    <t xml:space="preserve">FB001810</t>
  </si>
  <si>
    <t xml:space="preserve">FB001811</t>
  </si>
  <si>
    <t xml:space="preserve">FB001812</t>
  </si>
  <si>
    <t xml:space="preserve">FB001813</t>
  </si>
  <si>
    <t xml:space="preserve">FB001814</t>
  </si>
  <si>
    <t xml:space="preserve">2025-05-02</t>
  </si>
  <si>
    <t xml:space="preserve">FB001815</t>
  </si>
  <si>
    <t xml:space="preserve">FB001816</t>
  </si>
  <si>
    <t xml:space="preserve">FB001817</t>
  </si>
  <si>
    <t xml:space="preserve">FB001818</t>
  </si>
  <si>
    <t xml:space="preserve">FB001819</t>
  </si>
  <si>
    <t xml:space="preserve">FB001820</t>
  </si>
  <si>
    <t xml:space="preserve">FB001821</t>
  </si>
  <si>
    <t xml:space="preserve">FB001822</t>
  </si>
  <si>
    <t xml:space="preserve">FB001823</t>
  </si>
  <si>
    <t xml:space="preserve">FB001824</t>
  </si>
  <si>
    <t xml:space="preserve">FB001825</t>
  </si>
  <si>
    <t xml:space="preserve">FB001826</t>
  </si>
  <si>
    <t xml:space="preserve">FB001827</t>
  </si>
  <si>
    <t xml:space="preserve">2025-05-29</t>
  </si>
  <si>
    <t xml:space="preserve">FB001828</t>
  </si>
  <si>
    <t xml:space="preserve">FB001829</t>
  </si>
  <si>
    <t xml:space="preserve">FB001830</t>
  </si>
  <si>
    <t xml:space="preserve">FB001831</t>
  </si>
  <si>
    <t xml:space="preserve">FB001832</t>
  </si>
  <si>
    <t xml:space="preserve">FB001833</t>
  </si>
  <si>
    <t xml:space="preserve">FB001834</t>
  </si>
  <si>
    <t xml:space="preserve">FB001835</t>
  </si>
  <si>
    <t xml:space="preserve">FB001836</t>
  </si>
  <si>
    <t xml:space="preserve">FB001837</t>
  </si>
  <si>
    <t xml:space="preserve">FB001838</t>
  </si>
  <si>
    <t xml:space="preserve">FB001839</t>
  </si>
  <si>
    <t xml:space="preserve">FB001840</t>
  </si>
  <si>
    <t xml:space="preserve">FB001841</t>
  </si>
  <si>
    <t xml:space="preserve">FB001842</t>
  </si>
  <si>
    <t xml:space="preserve">FB001843</t>
  </si>
  <si>
    <t xml:space="preserve">FB001844</t>
  </si>
  <si>
    <t xml:space="preserve">FB001845</t>
  </si>
  <si>
    <t xml:space="preserve">FB001846</t>
  </si>
  <si>
    <t xml:space="preserve">FB001847</t>
  </si>
  <si>
    <t xml:space="preserve">FB001848</t>
  </si>
  <si>
    <t xml:space="preserve">FB001849</t>
  </si>
  <si>
    <t xml:space="preserve">FB001850</t>
  </si>
  <si>
    <t xml:space="preserve">FB001851</t>
  </si>
  <si>
    <t xml:space="preserve">FB001852</t>
  </si>
  <si>
    <t xml:space="preserve">FB001853</t>
  </si>
  <si>
    <t xml:space="preserve">FB001854</t>
  </si>
  <si>
    <t xml:space="preserve">FB001855</t>
  </si>
  <si>
    <t xml:space="preserve">FB001856</t>
  </si>
  <si>
    <t xml:space="preserve">FB001857</t>
  </si>
  <si>
    <t xml:space="preserve">FB001858</t>
  </si>
  <si>
    <t xml:space="preserve">FB001859</t>
  </si>
  <si>
    <t xml:space="preserve">FB001860</t>
  </si>
  <si>
    <t xml:space="preserve">FB001861</t>
  </si>
  <si>
    <t xml:space="preserve">FB001862</t>
  </si>
  <si>
    <t xml:space="preserve">FB001863</t>
  </si>
  <si>
    <t xml:space="preserve">FB001864</t>
  </si>
  <si>
    <t xml:space="preserve">FB001865</t>
  </si>
  <si>
    <t xml:space="preserve">FB001866</t>
  </si>
  <si>
    <t xml:space="preserve">FB001867</t>
  </si>
  <si>
    <t xml:space="preserve">FB001868</t>
  </si>
  <si>
    <t xml:space="preserve">FB001869</t>
  </si>
  <si>
    <t xml:space="preserve">FB001870</t>
  </si>
  <si>
    <t xml:space="preserve">FB001871</t>
  </si>
  <si>
    <t xml:space="preserve">FB001872</t>
  </si>
  <si>
    <t xml:space="preserve">FB001873</t>
  </si>
  <si>
    <t xml:space="preserve">FB001874</t>
  </si>
  <si>
    <t xml:space="preserve">FB001875</t>
  </si>
  <si>
    <t xml:space="preserve">FB001876</t>
  </si>
  <si>
    <t xml:space="preserve">FB001877</t>
  </si>
  <si>
    <t xml:space="preserve">FB001878</t>
  </si>
  <si>
    <t xml:space="preserve">FB001879</t>
  </si>
  <si>
    <t xml:space="preserve">FB001880</t>
  </si>
  <si>
    <t xml:space="preserve">FB001881</t>
  </si>
  <si>
    <t xml:space="preserve">FB001882</t>
  </si>
  <si>
    <t xml:space="preserve">FB001883</t>
  </si>
  <si>
    <t xml:space="preserve">FB001884</t>
  </si>
  <si>
    <t xml:space="preserve">FB001885</t>
  </si>
  <si>
    <t xml:space="preserve">FB001886</t>
  </si>
  <si>
    <t xml:space="preserve">FB001887</t>
  </si>
  <si>
    <t xml:space="preserve">FB001888</t>
  </si>
  <si>
    <t xml:space="preserve">FB001889</t>
  </si>
  <si>
    <t xml:space="preserve">FB001890</t>
  </si>
  <si>
    <t xml:space="preserve">FB001891</t>
  </si>
  <si>
    <t xml:space="preserve">FB001892</t>
  </si>
  <si>
    <t xml:space="preserve">FB001893</t>
  </si>
  <si>
    <t xml:space="preserve">FB001894</t>
  </si>
  <si>
    <t xml:space="preserve">FB001895</t>
  </si>
  <si>
    <t xml:space="preserve">FB001896</t>
  </si>
  <si>
    <t xml:space="preserve">FB001897</t>
  </si>
  <si>
    <t xml:space="preserve">FB001898</t>
  </si>
  <si>
    <t xml:space="preserve">FB001899</t>
  </si>
  <si>
    <t xml:space="preserve">FB001900</t>
  </si>
  <si>
    <t xml:space="preserve">FB001901</t>
  </si>
  <si>
    <t xml:space="preserve">FB001902</t>
  </si>
  <si>
    <t xml:space="preserve">FB001903</t>
  </si>
  <si>
    <t xml:space="preserve">FB001904</t>
  </si>
  <si>
    <t xml:space="preserve">FB001905</t>
  </si>
  <si>
    <t xml:space="preserve">FB001906</t>
  </si>
  <si>
    <t xml:space="preserve">FB001907</t>
  </si>
  <si>
    <t xml:space="preserve">FB001908</t>
  </si>
  <si>
    <t xml:space="preserve">FB001909</t>
  </si>
  <si>
    <t xml:space="preserve">FB001910</t>
  </si>
  <si>
    <t xml:space="preserve">FB001911</t>
  </si>
  <si>
    <t xml:space="preserve">FB001912</t>
  </si>
  <si>
    <t xml:space="preserve">FB001913</t>
  </si>
  <si>
    <t xml:space="preserve">FB001914</t>
  </si>
  <si>
    <t xml:space="preserve">FB001915</t>
  </si>
  <si>
    <t xml:space="preserve">FB001916</t>
  </si>
  <si>
    <t xml:space="preserve">FB001917</t>
  </si>
  <si>
    <t xml:space="preserve">FB001918</t>
  </si>
  <si>
    <t xml:space="preserve">FB001919</t>
  </si>
  <si>
    <t xml:space="preserve">2025-01-09</t>
  </si>
  <si>
    <t xml:space="preserve">FB001920</t>
  </si>
  <si>
    <t xml:space="preserve">FB001921</t>
  </si>
  <si>
    <t xml:space="preserve">FB001922</t>
  </si>
  <si>
    <t xml:space="preserve">FB001923</t>
  </si>
  <si>
    <t xml:space="preserve">FB001924</t>
  </si>
  <si>
    <t xml:space="preserve">FB001925</t>
  </si>
  <si>
    <t xml:space="preserve">FB001926</t>
  </si>
  <si>
    <t xml:space="preserve">2025-03-15</t>
  </si>
  <si>
    <t xml:space="preserve">FB001927</t>
  </si>
  <si>
    <t xml:space="preserve">FB001928</t>
  </si>
  <si>
    <t xml:space="preserve">FB001929</t>
  </si>
  <si>
    <t xml:space="preserve">FB001930</t>
  </si>
  <si>
    <t xml:space="preserve">FB001931</t>
  </si>
  <si>
    <t xml:space="preserve">FB001932</t>
  </si>
  <si>
    <t xml:space="preserve">FB001933</t>
  </si>
  <si>
    <t xml:space="preserve">FB001934</t>
  </si>
  <si>
    <t xml:space="preserve">FB001935</t>
  </si>
  <si>
    <t xml:space="preserve">FB001936</t>
  </si>
  <si>
    <t xml:space="preserve">FB001937</t>
  </si>
  <si>
    <t xml:space="preserve">FB001938</t>
  </si>
  <si>
    <t xml:space="preserve">FB001939</t>
  </si>
  <si>
    <t xml:space="preserve">FB001940</t>
  </si>
  <si>
    <t xml:space="preserve">FB001941</t>
  </si>
  <si>
    <t xml:space="preserve">FB001942</t>
  </si>
  <si>
    <t xml:space="preserve">FB001943</t>
  </si>
  <si>
    <t xml:space="preserve">FB001944</t>
  </si>
  <si>
    <t xml:space="preserve">FB001945</t>
  </si>
  <si>
    <t xml:space="preserve">FB001946</t>
  </si>
  <si>
    <t xml:space="preserve">FB001947</t>
  </si>
  <si>
    <t xml:space="preserve">FB001948</t>
  </si>
  <si>
    <t xml:space="preserve">FB001949</t>
  </si>
  <si>
    <t xml:space="preserve">FB001950</t>
  </si>
  <si>
    <t xml:space="preserve">FB001951</t>
  </si>
  <si>
    <t xml:space="preserve">FB001952</t>
  </si>
  <si>
    <t xml:space="preserve">FB001953</t>
  </si>
  <si>
    <t xml:space="preserve">FB001954</t>
  </si>
  <si>
    <t xml:space="preserve">FB001955</t>
  </si>
  <si>
    <t xml:space="preserve">FB001956</t>
  </si>
  <si>
    <t xml:space="preserve">FB001957</t>
  </si>
  <si>
    <t xml:space="preserve">FB001958</t>
  </si>
  <si>
    <t xml:space="preserve">FB001959</t>
  </si>
  <si>
    <t xml:space="preserve">FB001960</t>
  </si>
  <si>
    <t xml:space="preserve">FB001961</t>
  </si>
  <si>
    <t xml:space="preserve">FB001962</t>
  </si>
  <si>
    <t xml:space="preserve">FB001963</t>
  </si>
  <si>
    <t xml:space="preserve">FB001964</t>
  </si>
  <si>
    <t xml:space="preserve">FB001965</t>
  </si>
  <si>
    <t xml:space="preserve">FB001966</t>
  </si>
  <si>
    <t xml:space="preserve">FB001967</t>
  </si>
  <si>
    <t xml:space="preserve">FB001968</t>
  </si>
  <si>
    <t xml:space="preserve">FB001969</t>
  </si>
  <si>
    <t xml:space="preserve">2025-03-26</t>
  </si>
  <si>
    <t xml:space="preserve">FB001970</t>
  </si>
  <si>
    <t xml:space="preserve">FB001971</t>
  </si>
  <si>
    <t xml:space="preserve">FB001972</t>
  </si>
  <si>
    <t xml:space="preserve">2025-06-08</t>
  </si>
  <si>
    <t xml:space="preserve">FB001973</t>
  </si>
  <si>
    <t xml:space="preserve">FB001974</t>
  </si>
  <si>
    <t xml:space="preserve">FB001975</t>
  </si>
  <si>
    <t xml:space="preserve">FB001976</t>
  </si>
  <si>
    <t xml:space="preserve">FB001977</t>
  </si>
  <si>
    <t xml:space="preserve">FB001978</t>
  </si>
  <si>
    <t xml:space="preserve">FB001979</t>
  </si>
  <si>
    <t xml:space="preserve">FB001980</t>
  </si>
  <si>
    <t xml:space="preserve">FB001981</t>
  </si>
  <si>
    <t xml:space="preserve">FB001982</t>
  </si>
  <si>
    <t xml:space="preserve">FB001983</t>
  </si>
  <si>
    <t xml:space="preserve">FB001984</t>
  </si>
  <si>
    <t xml:space="preserve">FB001985</t>
  </si>
  <si>
    <t xml:space="preserve">FB001986</t>
  </si>
  <si>
    <t xml:space="preserve">FB001987</t>
  </si>
  <si>
    <t xml:space="preserve">FB001988</t>
  </si>
  <si>
    <t xml:space="preserve">FB001989</t>
  </si>
  <si>
    <t xml:space="preserve">FB001990</t>
  </si>
  <si>
    <t xml:space="preserve">FB001991</t>
  </si>
  <si>
    <t xml:space="preserve">FB001992</t>
  </si>
  <si>
    <t xml:space="preserve">FB001993</t>
  </si>
  <si>
    <t xml:space="preserve">2024-09-20</t>
  </si>
  <si>
    <t xml:space="preserve">FB001994</t>
  </si>
  <si>
    <t xml:space="preserve">FB001995</t>
  </si>
  <si>
    <t xml:space="preserve">FB001996</t>
  </si>
  <si>
    <t xml:space="preserve">2025-01-15</t>
  </si>
  <si>
    <t xml:space="preserve">FB001997</t>
  </si>
  <si>
    <t xml:space="preserve">2025-01-10</t>
  </si>
  <si>
    <t xml:space="preserve">FB001998</t>
  </si>
  <si>
    <t xml:space="preserve">2024-08-30</t>
  </si>
  <si>
    <t xml:space="preserve">FB001999</t>
  </si>
  <si>
    <t xml:space="preserve">FB002000</t>
  </si>
  <si>
    <t xml:space="preserve">FB002001</t>
  </si>
  <si>
    <t xml:space="preserve">FB002002</t>
  </si>
  <si>
    <t xml:space="preserve">FB002003</t>
  </si>
  <si>
    <t xml:space="preserve">FB002004</t>
  </si>
  <si>
    <t xml:space="preserve">FB002005</t>
  </si>
  <si>
    <t xml:space="preserve">FB002006</t>
  </si>
  <si>
    <t xml:space="preserve">FB002007</t>
  </si>
  <si>
    <t xml:space="preserve">FB002008</t>
  </si>
  <si>
    <t xml:space="preserve">FB002009</t>
  </si>
  <si>
    <t xml:space="preserve">FB002010</t>
  </si>
  <si>
    <t xml:space="preserve">FB002011</t>
  </si>
  <si>
    <t xml:space="preserve">FB002012</t>
  </si>
  <si>
    <t xml:space="preserve">FB002013</t>
  </si>
  <si>
    <t xml:space="preserve">FB002014</t>
  </si>
  <si>
    <t xml:space="preserve">FB002015</t>
  </si>
  <si>
    <t xml:space="preserve">2025-07-09</t>
  </si>
  <si>
    <t xml:space="preserve">FB002016</t>
  </si>
  <si>
    <t xml:space="preserve">FB002017</t>
  </si>
  <si>
    <t xml:space="preserve">FB002018</t>
  </si>
  <si>
    <t xml:space="preserve">FB002019</t>
  </si>
  <si>
    <t xml:space="preserve">FB002020</t>
  </si>
  <si>
    <t xml:space="preserve">FB002021</t>
  </si>
  <si>
    <t xml:space="preserve">FB002022</t>
  </si>
  <si>
    <t xml:space="preserve">FB002023</t>
  </si>
  <si>
    <t xml:space="preserve">2024-10-19</t>
  </si>
  <si>
    <t xml:space="preserve">FB002024</t>
  </si>
  <si>
    <t xml:space="preserve">FB002025</t>
  </si>
  <si>
    <t xml:space="preserve">2025-05-24</t>
  </si>
  <si>
    <t xml:space="preserve">FB002026</t>
  </si>
  <si>
    <t xml:space="preserve">FB002027</t>
  </si>
  <si>
    <t xml:space="preserve">FB002028</t>
  </si>
  <si>
    <t xml:space="preserve">FB002029</t>
  </si>
  <si>
    <t xml:space="preserve">FB002030</t>
  </si>
  <si>
    <t xml:space="preserve">FB002031</t>
  </si>
  <si>
    <t xml:space="preserve">2025-06-03</t>
  </si>
  <si>
    <t xml:space="preserve">FB002032</t>
  </si>
  <si>
    <t xml:space="preserve">FB002033</t>
  </si>
  <si>
    <t xml:space="preserve">FB002034</t>
  </si>
  <si>
    <t xml:space="preserve">FB002035</t>
  </si>
  <si>
    <t xml:space="preserve">2024-10-31</t>
  </si>
  <si>
    <t xml:space="preserve">FB002036</t>
  </si>
  <si>
    <t xml:space="preserve">FB002037</t>
  </si>
  <si>
    <t xml:space="preserve">FB002038</t>
  </si>
  <si>
    <t xml:space="preserve">2024-12-22</t>
  </si>
  <si>
    <t xml:space="preserve">FB002039</t>
  </si>
  <si>
    <t xml:space="preserve">FB002040</t>
  </si>
  <si>
    <t xml:space="preserve">FB002041</t>
  </si>
  <si>
    <t xml:space="preserve">FB002042</t>
  </si>
  <si>
    <t xml:space="preserve">FB002043</t>
  </si>
  <si>
    <t xml:space="preserve">FB002044</t>
  </si>
  <si>
    <t xml:space="preserve">FB002045</t>
  </si>
  <si>
    <t xml:space="preserve">FB002046</t>
  </si>
  <si>
    <t xml:space="preserve">FB002047</t>
  </si>
  <si>
    <t xml:space="preserve">FB002048</t>
  </si>
  <si>
    <t xml:space="preserve">FB002049</t>
  </si>
  <si>
    <t xml:space="preserve">FB002050</t>
  </si>
  <si>
    <t xml:space="preserve">FB002051</t>
  </si>
  <si>
    <t xml:space="preserve">FB002052</t>
  </si>
  <si>
    <t xml:space="preserve">FB002053</t>
  </si>
  <si>
    <t xml:space="preserve">FB002054</t>
  </si>
  <si>
    <t xml:space="preserve">FB002055</t>
  </si>
  <si>
    <t xml:space="preserve">FB002056</t>
  </si>
  <si>
    <t xml:space="preserve">FB002057</t>
  </si>
  <si>
    <t xml:space="preserve">FB002058</t>
  </si>
  <si>
    <t xml:space="preserve">2025-06-19</t>
  </si>
  <si>
    <t xml:space="preserve">FB002059</t>
  </si>
  <si>
    <t xml:space="preserve">FB002060</t>
  </si>
  <si>
    <t xml:space="preserve">FB002061</t>
  </si>
  <si>
    <t xml:space="preserve">FB002062</t>
  </si>
  <si>
    <t xml:space="preserve">FB002063</t>
  </si>
  <si>
    <t xml:space="preserve">FB002064</t>
  </si>
  <si>
    <t xml:space="preserve">2025-03-08</t>
  </si>
  <si>
    <t xml:space="preserve">FB002065</t>
  </si>
  <si>
    <t xml:space="preserve">FB002066</t>
  </si>
  <si>
    <t xml:space="preserve">FB002067</t>
  </si>
  <si>
    <t xml:space="preserve">FB002068</t>
  </si>
  <si>
    <t xml:space="preserve">FB002069</t>
  </si>
  <si>
    <t xml:space="preserve">FB002070</t>
  </si>
  <si>
    <t xml:space="preserve">FB002071</t>
  </si>
  <si>
    <t xml:space="preserve">FB002072</t>
  </si>
  <si>
    <t xml:space="preserve">FB002073</t>
  </si>
  <si>
    <t xml:space="preserve">FB002074</t>
  </si>
  <si>
    <t xml:space="preserve">FB002075</t>
  </si>
  <si>
    <t xml:space="preserve">FB002076</t>
  </si>
  <si>
    <t xml:space="preserve">FB002077</t>
  </si>
  <si>
    <t xml:space="preserve">FB002078</t>
  </si>
  <si>
    <t xml:space="preserve">FB002079</t>
  </si>
  <si>
    <t xml:space="preserve">FB002080</t>
  </si>
  <si>
    <t xml:space="preserve">2024-08-23</t>
  </si>
  <si>
    <t xml:space="preserve">FB002081</t>
  </si>
  <si>
    <t xml:space="preserve">FB002082</t>
  </si>
  <si>
    <t xml:space="preserve">FB002083</t>
  </si>
  <si>
    <t xml:space="preserve">FB002084</t>
  </si>
  <si>
    <t xml:space="preserve">FB002085</t>
  </si>
  <si>
    <t xml:space="preserve">FB002086</t>
  </si>
  <si>
    <t xml:space="preserve">FB002087</t>
  </si>
  <si>
    <t xml:space="preserve">FB002088</t>
  </si>
  <si>
    <t xml:space="preserve">FB002089</t>
  </si>
  <si>
    <t xml:space="preserve">FB002090</t>
  </si>
  <si>
    <t xml:space="preserve">FB002091</t>
  </si>
  <si>
    <t xml:space="preserve">FB002092</t>
  </si>
  <si>
    <t xml:space="preserve">FB002093</t>
  </si>
  <si>
    <t xml:space="preserve">2024-09-29</t>
  </si>
  <si>
    <t xml:space="preserve">FB002094</t>
  </si>
  <si>
    <t xml:space="preserve">FB002095</t>
  </si>
  <si>
    <t xml:space="preserve">FB002096</t>
  </si>
  <si>
    <t xml:space="preserve">FB002097</t>
  </si>
  <si>
    <t xml:space="preserve">FB002098</t>
  </si>
  <si>
    <t xml:space="preserve">FB002099</t>
  </si>
  <si>
    <t xml:space="preserve">FB002100</t>
  </si>
  <si>
    <t xml:space="preserve">FB002101</t>
  </si>
  <si>
    <t xml:space="preserve">FB002102</t>
  </si>
  <si>
    <t xml:space="preserve">FB002103</t>
  </si>
  <si>
    <t xml:space="preserve">FB002104</t>
  </si>
  <si>
    <t xml:space="preserve">FB002105</t>
  </si>
  <si>
    <t xml:space="preserve">FB002106</t>
  </si>
  <si>
    <t xml:space="preserve">FB002107</t>
  </si>
  <si>
    <t xml:space="preserve">FB002108</t>
  </si>
  <si>
    <t xml:space="preserve">FB002109</t>
  </si>
  <si>
    <t xml:space="preserve">FB002110</t>
  </si>
  <si>
    <t xml:space="preserve">FB002111</t>
  </si>
  <si>
    <t xml:space="preserve">FB002112</t>
  </si>
  <si>
    <t xml:space="preserve">FB002113</t>
  </si>
  <si>
    <t xml:space="preserve">FB002114</t>
  </si>
  <si>
    <t xml:space="preserve">FB002115</t>
  </si>
  <si>
    <t xml:space="preserve">FB002116</t>
  </si>
  <si>
    <t xml:space="preserve">FB002117</t>
  </si>
  <si>
    <t xml:space="preserve">FB002118</t>
  </si>
  <si>
    <t xml:space="preserve">2025-01-28</t>
  </si>
  <si>
    <t xml:space="preserve">FB002119</t>
  </si>
  <si>
    <t xml:space="preserve">FB002120</t>
  </si>
  <si>
    <t xml:space="preserve">2025-05-07</t>
  </si>
  <si>
    <t xml:space="preserve">FB002121</t>
  </si>
  <si>
    <t xml:space="preserve">FB002122</t>
  </si>
  <si>
    <t xml:space="preserve">FB002123</t>
  </si>
  <si>
    <t xml:space="preserve">FB002124</t>
  </si>
  <si>
    <t xml:space="preserve">FB002125</t>
  </si>
  <si>
    <t xml:space="preserve">FB002126</t>
  </si>
  <si>
    <t xml:space="preserve">FB002127</t>
  </si>
  <si>
    <t xml:space="preserve">FB002128</t>
  </si>
  <si>
    <t xml:space="preserve">FB002129</t>
  </si>
  <si>
    <t xml:space="preserve">FB002130</t>
  </si>
  <si>
    <t xml:space="preserve">FB002131</t>
  </si>
  <si>
    <t xml:space="preserve">FB002132</t>
  </si>
  <si>
    <t xml:space="preserve">FB002133</t>
  </si>
  <si>
    <t xml:space="preserve">FB002134</t>
  </si>
  <si>
    <t xml:space="preserve">FB002135</t>
  </si>
  <si>
    <t xml:space="preserve">FB002136</t>
  </si>
  <si>
    <t xml:space="preserve">FB002137</t>
  </si>
  <si>
    <t xml:space="preserve">FB002138</t>
  </si>
  <si>
    <t xml:space="preserve">FB002139</t>
  </si>
  <si>
    <t xml:space="preserve">FB002140</t>
  </si>
  <si>
    <t xml:space="preserve">FB002141</t>
  </si>
  <si>
    <t xml:space="preserve">FB002142</t>
  </si>
  <si>
    <t xml:space="preserve">FB002143</t>
  </si>
  <si>
    <t xml:space="preserve">FB002144</t>
  </si>
  <si>
    <t xml:space="preserve">FB002145</t>
  </si>
  <si>
    <t xml:space="preserve">FB002146</t>
  </si>
  <si>
    <t xml:space="preserve">FB002147</t>
  </si>
  <si>
    <t xml:space="preserve">FB002148</t>
  </si>
  <si>
    <t xml:space="preserve">FB002149</t>
  </si>
  <si>
    <t xml:space="preserve">FB002150</t>
  </si>
  <si>
    <t xml:space="preserve">FB002151</t>
  </si>
  <si>
    <t xml:space="preserve">FB002152</t>
  </si>
  <si>
    <t xml:space="preserve">FB002153</t>
  </si>
  <si>
    <t xml:space="preserve">FB002154</t>
  </si>
  <si>
    <t xml:space="preserve">FB002155</t>
  </si>
  <si>
    <t xml:space="preserve">FB002156</t>
  </si>
  <si>
    <t xml:space="preserve">FB002157</t>
  </si>
  <si>
    <t xml:space="preserve">FB002158</t>
  </si>
  <si>
    <t xml:space="preserve">FB002159</t>
  </si>
  <si>
    <t xml:space="preserve">FB002160</t>
  </si>
  <si>
    <t xml:space="preserve">FB002161</t>
  </si>
  <si>
    <t xml:space="preserve">FB002162</t>
  </si>
  <si>
    <t xml:space="preserve">FB002163</t>
  </si>
  <si>
    <t xml:space="preserve">FB002164</t>
  </si>
  <si>
    <t xml:space="preserve">2025-03-16</t>
  </si>
  <si>
    <t xml:space="preserve">FB002165</t>
  </si>
  <si>
    <t xml:space="preserve">FB002166</t>
  </si>
  <si>
    <t xml:space="preserve">FB002167</t>
  </si>
  <si>
    <t xml:space="preserve">FB002168</t>
  </si>
  <si>
    <t xml:space="preserve">FB002169</t>
  </si>
  <si>
    <t xml:space="preserve">FB002170</t>
  </si>
  <si>
    <t xml:space="preserve">FB002171</t>
  </si>
  <si>
    <t xml:space="preserve">FB002172</t>
  </si>
  <si>
    <t xml:space="preserve">FB002173</t>
  </si>
  <si>
    <t xml:space="preserve">FB002174</t>
  </si>
  <si>
    <t xml:space="preserve">FB002175</t>
  </si>
  <si>
    <t xml:space="preserve">FB002176</t>
  </si>
  <si>
    <t xml:space="preserve">Assumption</t>
  </si>
  <si>
    <t xml:space="preserve">Value</t>
  </si>
  <si>
    <t xml:space="preserve">Stock P33 (tercile cutoff)</t>
  </si>
  <si>
    <t xml:space="preserve">Stock P67 (tercile cutoff)</t>
  </si>
  <si>
    <t xml:space="preserve">Markdown P75 (High cutoff)</t>
  </si>
  <si>
    <t xml:space="preserve">Overall Avg Markdown %</t>
  </si>
  <si>
    <t xml:space="preserve">Overall Return Rate</t>
  </si>
  <si>
    <t xml:space="preserve">Total Inventory</t>
  </si>
  <si>
    <t xml:space="preserve">Total Products</t>
  </si>
  <si>
    <t xml:space="preserve">Avg Current Price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</si>
</sst>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.00"/>
    <numFmt numFmtId="167" formatCode="0.0\%"/>
    <numFmt numFmtId="168" formatCode="0.0%"/>
    <numFmt numFmtId="169" formatCode="yyyy\-mm\-dd"/>
    <numFmt numFmtId="170" formatCode="0.0"/>
    <numFmt numFmtId="171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3E50"/>
      <name val="Arial"/>
      <family val="0"/>
      <charset val="1"/>
    </font>
    <font>
      <i val="true"/>
      <sz val="11"/>
      <color rgb="FF7F8C8D"/>
      <name val="Arial"/>
      <family val="0"/>
      <charset val="1"/>
    </font>
    <font>
      <b val="true"/>
      <sz val="10"/>
      <color rgb="FF7F8C8D"/>
      <name val="Arial"/>
      <family val="0"/>
      <charset val="1"/>
    </font>
    <font>
      <b val="true"/>
      <sz val="20"/>
      <color rgb="FF2C3E50"/>
      <name val="Arial"/>
      <family val="0"/>
      <charset val="1"/>
    </font>
    <font>
      <b val="true"/>
      <sz val="20"/>
      <color rgb="FFC0392B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b val="true"/>
      <sz val="13"/>
      <color rgb="FF2C3E5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C3E50"/>
        <bgColor rgb="FF3333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medium">
        <color rgb="FF2C3E50"/>
      </top>
      <bottom/>
      <diagonal/>
    </border>
    <border diagonalUp="false" diagonalDown="false">
      <left style="thin">
        <color rgb="FFD0D0D0"/>
      </left>
      <right style="thin">
        <color rgb="FFD0D0D0"/>
      </right>
      <top style="medium">
        <color rgb="FFC0392B"/>
      </top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FFC7CE"/>
        </patternFill>
      </fill>
    </dxf>
    <dxf>
      <fill>
        <patternFill patternType="solid">
          <fgColor rgb="FF2C3E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8064A2"/>
      <rgbColor rgb="FF7F8C8D"/>
      <rgbColor rgb="FF003366"/>
      <rgbColor rgb="FF339966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Inventory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'Pivot Summaries'!B2</c:f>
              <c:strCache>
                <c:ptCount val="1"/>
                <c:pt idx="0">
                  <c:v>Total Stock Quantity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Summaries'!$A$3:$A$8</c:f>
              <c:strCache>
                <c:ptCount val="6"/>
                <c:pt idx="0">
                  <c:v>Accessories</c:v>
                </c:pt>
                <c:pt idx="1">
                  <c:v>Bottoms</c:v>
                </c:pt>
                <c:pt idx="2">
                  <c:v>Dresses</c:v>
                </c:pt>
                <c:pt idx="3">
                  <c:v>Outerwear</c:v>
                </c:pt>
                <c:pt idx="4">
                  <c:v>Shoes</c:v>
                </c:pt>
                <c:pt idx="5">
                  <c:v>Tops</c:v>
                </c:pt>
              </c:strCache>
            </c:strRef>
          </c:cat>
          <c:val>
            <c:numRef>
              <c:f>'Pivot Summaries'!$B$3:$B$8</c:f>
              <c:numCache>
                <c:formatCode>General</c:formatCode>
                <c:ptCount val="6"/>
                <c:pt idx="0">
                  <c:v>10541</c:v>
                </c:pt>
                <c:pt idx="1">
                  <c:v>9442</c:v>
                </c:pt>
                <c:pt idx="2">
                  <c:v>7928</c:v>
                </c:pt>
                <c:pt idx="3">
                  <c:v>8368</c:v>
                </c:pt>
                <c:pt idx="4">
                  <c:v>9118</c:v>
                </c:pt>
                <c:pt idx="5">
                  <c:v>8868</c:v>
                </c:pt>
              </c:numCache>
            </c:numRef>
          </c:val>
        </c:ser>
        <c:gapWidth val="150"/>
        <c:overlap val="0"/>
        <c:axId val="80464885"/>
        <c:axId val="73179485"/>
      </c:barChart>
      <c:catAx>
        <c:axId val="8046488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79485"/>
        <c:crosses val="autoZero"/>
        <c:auto val="1"/>
        <c:lblAlgn val="ctr"/>
        <c:lblOffset val="100"/>
        <c:noMultiLvlLbl val="0"/>
      </c:catAx>
      <c:valAx>
        <c:axId val="731794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Stock Quantity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648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 Quantity vs. Markdown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"Products"</c:f>
              <c:strCache>
                <c:ptCount val="1"/>
                <c:pt idx="0">
                  <c:v>Products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'Raw Data'!$H$2:$H$2177</c:f>
              <c:numCache>
                <c:formatCode>0.0\%</c:formatCode>
                <c:ptCount val="21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35.4</c:v>
                </c:pt>
                <c:pt idx="6">
                  <c:v>54.5</c:v>
                </c:pt>
                <c:pt idx="7">
                  <c:v>22.1</c:v>
                </c:pt>
                <c:pt idx="8">
                  <c:v>12.8</c:v>
                </c:pt>
                <c:pt idx="9">
                  <c:v>10.9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58.5</c:v>
                </c:pt>
                <c:pt idx="19">
                  <c:v>0</c:v>
                </c:pt>
                <c:pt idx="20">
                  <c:v>21.8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29.1</c:v>
                </c:pt>
                <c:pt idx="25">
                  <c:v>34</c:v>
                </c:pt>
                <c:pt idx="26">
                  <c:v>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24.4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5.7</c:v>
                </c:pt>
                <c:pt idx="36">
                  <c:v>47.8</c:v>
                </c:pt>
                <c:pt idx="37">
                  <c:v>0</c:v>
                </c:pt>
                <c:pt idx="38">
                  <c:v>14.2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51.4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30.3</c:v>
                </c:pt>
                <c:pt idx="47">
                  <c:v>53.9</c:v>
                </c:pt>
                <c:pt idx="48">
                  <c:v>0</c:v>
                </c:pt>
                <c:pt idx="49">
                  <c:v>55.9</c:v>
                </c:pt>
                <c:pt idx="50">
                  <c:v>0</c:v>
                </c:pt>
                <c:pt idx="51">
                  <c:v>0</c:v>
                </c:pt>
                <c:pt idx="52">
                  <c:v>57.1</c:v>
                </c:pt>
                <c:pt idx="53">
                  <c:v>0</c:v>
                </c:pt>
                <c:pt idx="54">
                  <c:v>50.9</c:v>
                </c:pt>
                <c:pt idx="55">
                  <c:v>15.2</c:v>
                </c:pt>
                <c:pt idx="56">
                  <c:v>0</c:v>
                </c:pt>
                <c:pt idx="57">
                  <c:v>26.3</c:v>
                </c:pt>
                <c:pt idx="58">
                  <c:v>0</c:v>
                </c:pt>
                <c:pt idx="59">
                  <c:v>2.6</c:v>
                </c:pt>
                <c:pt idx="60">
                  <c:v>6.6</c:v>
                </c:pt>
                <c:pt idx="61">
                  <c:v>0</c:v>
                </c:pt>
                <c:pt idx="62">
                  <c:v>1.1</c:v>
                </c:pt>
                <c:pt idx="63">
                  <c:v>18</c:v>
                </c:pt>
                <c:pt idx="64">
                  <c:v>2.4</c:v>
                </c:pt>
                <c:pt idx="65">
                  <c:v>21.7</c:v>
                </c:pt>
                <c:pt idx="66">
                  <c:v>0</c:v>
                </c:pt>
                <c:pt idx="67">
                  <c:v>0</c:v>
                </c:pt>
                <c:pt idx="68">
                  <c:v>9.5</c:v>
                </c:pt>
                <c:pt idx="69">
                  <c:v>19.8</c:v>
                </c:pt>
                <c:pt idx="70">
                  <c:v>0</c:v>
                </c:pt>
                <c:pt idx="71">
                  <c:v>7.4</c:v>
                </c:pt>
                <c:pt idx="72">
                  <c:v>55.2</c:v>
                </c:pt>
                <c:pt idx="73">
                  <c:v>0</c:v>
                </c:pt>
                <c:pt idx="74">
                  <c:v>0</c:v>
                </c:pt>
                <c:pt idx="75">
                  <c:v>48</c:v>
                </c:pt>
                <c:pt idx="76">
                  <c:v>0</c:v>
                </c:pt>
                <c:pt idx="77">
                  <c:v>22.5</c:v>
                </c:pt>
                <c:pt idx="78">
                  <c:v>0</c:v>
                </c:pt>
                <c:pt idx="79">
                  <c:v>0</c:v>
                </c:pt>
                <c:pt idx="80">
                  <c:v>19.1</c:v>
                </c:pt>
                <c:pt idx="81">
                  <c:v>19.1</c:v>
                </c:pt>
                <c:pt idx="82">
                  <c:v>0</c:v>
                </c:pt>
                <c:pt idx="83">
                  <c:v>0</c:v>
                </c:pt>
                <c:pt idx="84">
                  <c:v>22.6</c:v>
                </c:pt>
                <c:pt idx="85">
                  <c:v>11.9</c:v>
                </c:pt>
                <c:pt idx="86">
                  <c:v>0</c:v>
                </c:pt>
                <c:pt idx="87">
                  <c:v>0</c:v>
                </c:pt>
                <c:pt idx="88">
                  <c:v>55.3</c:v>
                </c:pt>
                <c:pt idx="89">
                  <c:v>40</c:v>
                </c:pt>
                <c:pt idx="90">
                  <c:v>6.4</c:v>
                </c:pt>
                <c:pt idx="91">
                  <c:v>0</c:v>
                </c:pt>
                <c:pt idx="92">
                  <c:v>49.5</c:v>
                </c:pt>
                <c:pt idx="93">
                  <c:v>0</c:v>
                </c:pt>
                <c:pt idx="94">
                  <c:v>52.4</c:v>
                </c:pt>
                <c:pt idx="95">
                  <c:v>0</c:v>
                </c:pt>
                <c:pt idx="96">
                  <c:v>56.4</c:v>
                </c:pt>
                <c:pt idx="97">
                  <c:v>0</c:v>
                </c:pt>
                <c:pt idx="98">
                  <c:v>3</c:v>
                </c:pt>
                <c:pt idx="99">
                  <c:v>0</c:v>
                </c:pt>
                <c:pt idx="100">
                  <c:v>19.5</c:v>
                </c:pt>
                <c:pt idx="101">
                  <c:v>0</c:v>
                </c:pt>
                <c:pt idx="102">
                  <c:v>0</c:v>
                </c:pt>
                <c:pt idx="103">
                  <c:v>58.2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59.5</c:v>
                </c:pt>
                <c:pt idx="110">
                  <c:v>0</c:v>
                </c:pt>
                <c:pt idx="111">
                  <c:v>0</c:v>
                </c:pt>
                <c:pt idx="112">
                  <c:v>50</c:v>
                </c:pt>
                <c:pt idx="113">
                  <c:v>33.8</c:v>
                </c:pt>
                <c:pt idx="114">
                  <c:v>25.5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45.9</c:v>
                </c:pt>
                <c:pt idx="123">
                  <c:v>10.9</c:v>
                </c:pt>
                <c:pt idx="124">
                  <c:v>51.5</c:v>
                </c:pt>
                <c:pt idx="125">
                  <c:v>45.9</c:v>
                </c:pt>
                <c:pt idx="126">
                  <c:v>0</c:v>
                </c:pt>
                <c:pt idx="127">
                  <c:v>21.5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27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58.8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45.3</c:v>
                </c:pt>
                <c:pt idx="145">
                  <c:v>15.8</c:v>
                </c:pt>
                <c:pt idx="146">
                  <c:v>25.4</c:v>
                </c:pt>
                <c:pt idx="147">
                  <c:v>57.3</c:v>
                </c:pt>
                <c:pt idx="148">
                  <c:v>46</c:v>
                </c:pt>
                <c:pt idx="149">
                  <c:v>0</c:v>
                </c:pt>
                <c:pt idx="150">
                  <c:v>0</c:v>
                </c:pt>
                <c:pt idx="151">
                  <c:v>11.4</c:v>
                </c:pt>
                <c:pt idx="152">
                  <c:v>29.4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28.3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40.6</c:v>
                </c:pt>
                <c:pt idx="162">
                  <c:v>1.1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18</c:v>
                </c:pt>
                <c:pt idx="168">
                  <c:v>21.4</c:v>
                </c:pt>
                <c:pt idx="169">
                  <c:v>0</c:v>
                </c:pt>
                <c:pt idx="170">
                  <c:v>1.7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20</c:v>
                </c:pt>
                <c:pt idx="178">
                  <c:v>39.2</c:v>
                </c:pt>
                <c:pt idx="179">
                  <c:v>39.8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3.9</c:v>
                </c:pt>
                <c:pt idx="186">
                  <c:v>35.9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7.1</c:v>
                </c:pt>
                <c:pt idx="191">
                  <c:v>0</c:v>
                </c:pt>
                <c:pt idx="192">
                  <c:v>12.3</c:v>
                </c:pt>
                <c:pt idx="193">
                  <c:v>13</c:v>
                </c:pt>
                <c:pt idx="194">
                  <c:v>0</c:v>
                </c:pt>
                <c:pt idx="195">
                  <c:v>29.4</c:v>
                </c:pt>
                <c:pt idx="196">
                  <c:v>51.7</c:v>
                </c:pt>
                <c:pt idx="197">
                  <c:v>42.7</c:v>
                </c:pt>
                <c:pt idx="198">
                  <c:v>57.5</c:v>
                </c:pt>
                <c:pt idx="199">
                  <c:v>56.1</c:v>
                </c:pt>
                <c:pt idx="200">
                  <c:v>33.3</c:v>
                </c:pt>
                <c:pt idx="201">
                  <c:v>17</c:v>
                </c:pt>
                <c:pt idx="202">
                  <c:v>23.9</c:v>
                </c:pt>
                <c:pt idx="203">
                  <c:v>0</c:v>
                </c:pt>
                <c:pt idx="204">
                  <c:v>50.9</c:v>
                </c:pt>
                <c:pt idx="205">
                  <c:v>0</c:v>
                </c:pt>
                <c:pt idx="206">
                  <c:v>36.4</c:v>
                </c:pt>
                <c:pt idx="207">
                  <c:v>8.8</c:v>
                </c:pt>
                <c:pt idx="208">
                  <c:v>0</c:v>
                </c:pt>
                <c:pt idx="209">
                  <c:v>0</c:v>
                </c:pt>
                <c:pt idx="210">
                  <c:v>16.7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18.4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54.8</c:v>
                </c:pt>
                <c:pt idx="226">
                  <c:v>1.4</c:v>
                </c:pt>
                <c:pt idx="227">
                  <c:v>15.8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43.3</c:v>
                </c:pt>
                <c:pt idx="232">
                  <c:v>22.4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19.1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41.7</c:v>
                </c:pt>
                <c:pt idx="242">
                  <c:v>0</c:v>
                </c:pt>
                <c:pt idx="243">
                  <c:v>47.6</c:v>
                </c:pt>
                <c:pt idx="244">
                  <c:v>50.5</c:v>
                </c:pt>
                <c:pt idx="245">
                  <c:v>54.6</c:v>
                </c:pt>
                <c:pt idx="246">
                  <c:v>50.9</c:v>
                </c:pt>
                <c:pt idx="247">
                  <c:v>0</c:v>
                </c:pt>
                <c:pt idx="248">
                  <c:v>0</c:v>
                </c:pt>
                <c:pt idx="249">
                  <c:v>14.6</c:v>
                </c:pt>
                <c:pt idx="250">
                  <c:v>48.8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17.8</c:v>
                </c:pt>
                <c:pt idx="255">
                  <c:v>0</c:v>
                </c:pt>
                <c:pt idx="256">
                  <c:v>0</c:v>
                </c:pt>
                <c:pt idx="257">
                  <c:v>4.3</c:v>
                </c:pt>
                <c:pt idx="258">
                  <c:v>0</c:v>
                </c:pt>
                <c:pt idx="259">
                  <c:v>44.7</c:v>
                </c:pt>
                <c:pt idx="260">
                  <c:v>0</c:v>
                </c:pt>
                <c:pt idx="261">
                  <c:v>0</c:v>
                </c:pt>
                <c:pt idx="262">
                  <c:v>9.2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0.4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37.1</c:v>
                </c:pt>
                <c:pt idx="276">
                  <c:v>0</c:v>
                </c:pt>
                <c:pt idx="277">
                  <c:v>0</c:v>
                </c:pt>
                <c:pt idx="278">
                  <c:v>10.2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23</c:v>
                </c:pt>
                <c:pt idx="283">
                  <c:v>39.4</c:v>
                </c:pt>
                <c:pt idx="284">
                  <c:v>0</c:v>
                </c:pt>
                <c:pt idx="285">
                  <c:v>14.1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24.3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36</c:v>
                </c:pt>
                <c:pt idx="295">
                  <c:v>0</c:v>
                </c:pt>
                <c:pt idx="296">
                  <c:v>13</c:v>
                </c:pt>
                <c:pt idx="297">
                  <c:v>50.4</c:v>
                </c:pt>
                <c:pt idx="298">
                  <c:v>0</c:v>
                </c:pt>
                <c:pt idx="299">
                  <c:v>6.6</c:v>
                </c:pt>
                <c:pt idx="300">
                  <c:v>0</c:v>
                </c:pt>
                <c:pt idx="301">
                  <c:v>0</c:v>
                </c:pt>
                <c:pt idx="302">
                  <c:v>5.4</c:v>
                </c:pt>
                <c:pt idx="303">
                  <c:v>42.2</c:v>
                </c:pt>
                <c:pt idx="304">
                  <c:v>35.2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9.1</c:v>
                </c:pt>
                <c:pt idx="311">
                  <c:v>0</c:v>
                </c:pt>
                <c:pt idx="312">
                  <c:v>0</c:v>
                </c:pt>
                <c:pt idx="313">
                  <c:v>57.4</c:v>
                </c:pt>
                <c:pt idx="314">
                  <c:v>0</c:v>
                </c:pt>
                <c:pt idx="315">
                  <c:v>7.5</c:v>
                </c:pt>
                <c:pt idx="316">
                  <c:v>26.1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16.2</c:v>
                </c:pt>
                <c:pt idx="321">
                  <c:v>10.8</c:v>
                </c:pt>
                <c:pt idx="322">
                  <c:v>0</c:v>
                </c:pt>
                <c:pt idx="323">
                  <c:v>36.8</c:v>
                </c:pt>
                <c:pt idx="324">
                  <c:v>50.2</c:v>
                </c:pt>
                <c:pt idx="325">
                  <c:v>8.8</c:v>
                </c:pt>
                <c:pt idx="326">
                  <c:v>46.5</c:v>
                </c:pt>
                <c:pt idx="327">
                  <c:v>44.7</c:v>
                </c:pt>
                <c:pt idx="328">
                  <c:v>29.5</c:v>
                </c:pt>
                <c:pt idx="329">
                  <c:v>0</c:v>
                </c:pt>
                <c:pt idx="330">
                  <c:v>0</c:v>
                </c:pt>
                <c:pt idx="331">
                  <c:v>52.1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11.1</c:v>
                </c:pt>
                <c:pt idx="337">
                  <c:v>36.9</c:v>
                </c:pt>
                <c:pt idx="338">
                  <c:v>0</c:v>
                </c:pt>
                <c:pt idx="339">
                  <c:v>40.6</c:v>
                </c:pt>
                <c:pt idx="340">
                  <c:v>40.7</c:v>
                </c:pt>
                <c:pt idx="341">
                  <c:v>0</c:v>
                </c:pt>
                <c:pt idx="342">
                  <c:v>0</c:v>
                </c:pt>
                <c:pt idx="343">
                  <c:v>54</c:v>
                </c:pt>
                <c:pt idx="344">
                  <c:v>0.9</c:v>
                </c:pt>
                <c:pt idx="345">
                  <c:v>0</c:v>
                </c:pt>
                <c:pt idx="346">
                  <c:v>4.2</c:v>
                </c:pt>
                <c:pt idx="347">
                  <c:v>0</c:v>
                </c:pt>
                <c:pt idx="348">
                  <c:v>29.2</c:v>
                </c:pt>
                <c:pt idx="349">
                  <c:v>46.7</c:v>
                </c:pt>
                <c:pt idx="350">
                  <c:v>16.4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29.4</c:v>
                </c:pt>
                <c:pt idx="358">
                  <c:v>56.5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39.8</c:v>
                </c:pt>
                <c:pt idx="363">
                  <c:v>0</c:v>
                </c:pt>
                <c:pt idx="364">
                  <c:v>28.7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35.2</c:v>
                </c:pt>
                <c:pt idx="369">
                  <c:v>37.6</c:v>
                </c:pt>
                <c:pt idx="370">
                  <c:v>20.2</c:v>
                </c:pt>
                <c:pt idx="371">
                  <c:v>0</c:v>
                </c:pt>
                <c:pt idx="372">
                  <c:v>0</c:v>
                </c:pt>
                <c:pt idx="373">
                  <c:v>55.3</c:v>
                </c:pt>
                <c:pt idx="374">
                  <c:v>0</c:v>
                </c:pt>
                <c:pt idx="375">
                  <c:v>9.5</c:v>
                </c:pt>
                <c:pt idx="376">
                  <c:v>0</c:v>
                </c:pt>
                <c:pt idx="377">
                  <c:v>0</c:v>
                </c:pt>
                <c:pt idx="378">
                  <c:v>45.8</c:v>
                </c:pt>
                <c:pt idx="379">
                  <c:v>0</c:v>
                </c:pt>
                <c:pt idx="380">
                  <c:v>0</c:v>
                </c:pt>
                <c:pt idx="381">
                  <c:v>27.8</c:v>
                </c:pt>
                <c:pt idx="382">
                  <c:v>1.4</c:v>
                </c:pt>
                <c:pt idx="383">
                  <c:v>0</c:v>
                </c:pt>
                <c:pt idx="384">
                  <c:v>0</c:v>
                </c:pt>
                <c:pt idx="385">
                  <c:v>49.6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24.3</c:v>
                </c:pt>
                <c:pt idx="390">
                  <c:v>0</c:v>
                </c:pt>
                <c:pt idx="391">
                  <c:v>0</c:v>
                </c:pt>
                <c:pt idx="392">
                  <c:v>35.4</c:v>
                </c:pt>
                <c:pt idx="393">
                  <c:v>27.9</c:v>
                </c:pt>
                <c:pt idx="394">
                  <c:v>33.3</c:v>
                </c:pt>
                <c:pt idx="395">
                  <c:v>47.6</c:v>
                </c:pt>
                <c:pt idx="396">
                  <c:v>57.1</c:v>
                </c:pt>
                <c:pt idx="397">
                  <c:v>0</c:v>
                </c:pt>
                <c:pt idx="398">
                  <c:v>42.9</c:v>
                </c:pt>
                <c:pt idx="399">
                  <c:v>40.8</c:v>
                </c:pt>
                <c:pt idx="400">
                  <c:v>46.8</c:v>
                </c:pt>
                <c:pt idx="401">
                  <c:v>21.5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56.7</c:v>
                </c:pt>
                <c:pt idx="406">
                  <c:v>0</c:v>
                </c:pt>
                <c:pt idx="407">
                  <c:v>3.4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26.9</c:v>
                </c:pt>
                <c:pt idx="414">
                  <c:v>0</c:v>
                </c:pt>
                <c:pt idx="415">
                  <c:v>0</c:v>
                </c:pt>
                <c:pt idx="416">
                  <c:v>35.4</c:v>
                </c:pt>
                <c:pt idx="417">
                  <c:v>0</c:v>
                </c:pt>
                <c:pt idx="418">
                  <c:v>0</c:v>
                </c:pt>
                <c:pt idx="419">
                  <c:v>35.7</c:v>
                </c:pt>
                <c:pt idx="420">
                  <c:v>44.6</c:v>
                </c:pt>
                <c:pt idx="421">
                  <c:v>0</c:v>
                </c:pt>
                <c:pt idx="422">
                  <c:v>32</c:v>
                </c:pt>
                <c:pt idx="423">
                  <c:v>26.3</c:v>
                </c:pt>
                <c:pt idx="424">
                  <c:v>0</c:v>
                </c:pt>
                <c:pt idx="425">
                  <c:v>0</c:v>
                </c:pt>
                <c:pt idx="426">
                  <c:v>11.6</c:v>
                </c:pt>
                <c:pt idx="427">
                  <c:v>0</c:v>
                </c:pt>
                <c:pt idx="428">
                  <c:v>0</c:v>
                </c:pt>
                <c:pt idx="429">
                  <c:v>20.6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4.2</c:v>
                </c:pt>
                <c:pt idx="435">
                  <c:v>41.7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3.3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15.6</c:v>
                </c:pt>
                <c:pt idx="449">
                  <c:v>0</c:v>
                </c:pt>
                <c:pt idx="450">
                  <c:v>0</c:v>
                </c:pt>
                <c:pt idx="451">
                  <c:v>59.4</c:v>
                </c:pt>
                <c:pt idx="452">
                  <c:v>0</c:v>
                </c:pt>
                <c:pt idx="453">
                  <c:v>0</c:v>
                </c:pt>
                <c:pt idx="454">
                  <c:v>55</c:v>
                </c:pt>
                <c:pt idx="455">
                  <c:v>0</c:v>
                </c:pt>
                <c:pt idx="456">
                  <c:v>52.9</c:v>
                </c:pt>
                <c:pt idx="457">
                  <c:v>31.7</c:v>
                </c:pt>
                <c:pt idx="458">
                  <c:v>0</c:v>
                </c:pt>
                <c:pt idx="459">
                  <c:v>50.6</c:v>
                </c:pt>
                <c:pt idx="460">
                  <c:v>56.4</c:v>
                </c:pt>
                <c:pt idx="461">
                  <c:v>0</c:v>
                </c:pt>
                <c:pt idx="462">
                  <c:v>58.2</c:v>
                </c:pt>
                <c:pt idx="463">
                  <c:v>0</c:v>
                </c:pt>
                <c:pt idx="464">
                  <c:v>0.3</c:v>
                </c:pt>
                <c:pt idx="465">
                  <c:v>0</c:v>
                </c:pt>
                <c:pt idx="466">
                  <c:v>0</c:v>
                </c:pt>
                <c:pt idx="467">
                  <c:v>1.4</c:v>
                </c:pt>
                <c:pt idx="468">
                  <c:v>11.8</c:v>
                </c:pt>
                <c:pt idx="469">
                  <c:v>0</c:v>
                </c:pt>
                <c:pt idx="470">
                  <c:v>0</c:v>
                </c:pt>
                <c:pt idx="471">
                  <c:v>54.3</c:v>
                </c:pt>
                <c:pt idx="472">
                  <c:v>0</c:v>
                </c:pt>
                <c:pt idx="473">
                  <c:v>9.9</c:v>
                </c:pt>
                <c:pt idx="474">
                  <c:v>0</c:v>
                </c:pt>
                <c:pt idx="475">
                  <c:v>54.1</c:v>
                </c:pt>
                <c:pt idx="476">
                  <c:v>0</c:v>
                </c:pt>
                <c:pt idx="477">
                  <c:v>0</c:v>
                </c:pt>
                <c:pt idx="478">
                  <c:v>19.1</c:v>
                </c:pt>
                <c:pt idx="479">
                  <c:v>0</c:v>
                </c:pt>
                <c:pt idx="480">
                  <c:v>0</c:v>
                </c:pt>
                <c:pt idx="481">
                  <c:v>30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27.6</c:v>
                </c:pt>
                <c:pt idx="486">
                  <c:v>0</c:v>
                </c:pt>
                <c:pt idx="487">
                  <c:v>37.7</c:v>
                </c:pt>
                <c:pt idx="488">
                  <c:v>6.3</c:v>
                </c:pt>
                <c:pt idx="489">
                  <c:v>0</c:v>
                </c:pt>
                <c:pt idx="490">
                  <c:v>33.3</c:v>
                </c:pt>
                <c:pt idx="491">
                  <c:v>53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33.4</c:v>
                </c:pt>
                <c:pt idx="496">
                  <c:v>0</c:v>
                </c:pt>
                <c:pt idx="497">
                  <c:v>38.8</c:v>
                </c:pt>
                <c:pt idx="498">
                  <c:v>38.1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3</c:v>
                </c:pt>
                <c:pt idx="504">
                  <c:v>5.9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31.8</c:v>
                </c:pt>
                <c:pt idx="511">
                  <c:v>0</c:v>
                </c:pt>
                <c:pt idx="512">
                  <c:v>0</c:v>
                </c:pt>
                <c:pt idx="513">
                  <c:v>51.3</c:v>
                </c:pt>
                <c:pt idx="514">
                  <c:v>0</c:v>
                </c:pt>
                <c:pt idx="515">
                  <c:v>0</c:v>
                </c:pt>
                <c:pt idx="516">
                  <c:v>42.5</c:v>
                </c:pt>
                <c:pt idx="517">
                  <c:v>43.8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56.7</c:v>
                </c:pt>
                <c:pt idx="525">
                  <c:v>0</c:v>
                </c:pt>
                <c:pt idx="526">
                  <c:v>7.4</c:v>
                </c:pt>
                <c:pt idx="527">
                  <c:v>0</c:v>
                </c:pt>
                <c:pt idx="528">
                  <c:v>48.2</c:v>
                </c:pt>
                <c:pt idx="529">
                  <c:v>36.7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38.9</c:v>
                </c:pt>
                <c:pt idx="534">
                  <c:v>22</c:v>
                </c:pt>
                <c:pt idx="535">
                  <c:v>0</c:v>
                </c:pt>
                <c:pt idx="536">
                  <c:v>0</c:v>
                </c:pt>
                <c:pt idx="537">
                  <c:v>49.4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32.6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28.4</c:v>
                </c:pt>
                <c:pt idx="550">
                  <c:v>0</c:v>
                </c:pt>
                <c:pt idx="551">
                  <c:v>34.5</c:v>
                </c:pt>
                <c:pt idx="552">
                  <c:v>0</c:v>
                </c:pt>
                <c:pt idx="553">
                  <c:v>49.5</c:v>
                </c:pt>
                <c:pt idx="554">
                  <c:v>18.9</c:v>
                </c:pt>
                <c:pt idx="555">
                  <c:v>0</c:v>
                </c:pt>
                <c:pt idx="556">
                  <c:v>37.7</c:v>
                </c:pt>
                <c:pt idx="557">
                  <c:v>0</c:v>
                </c:pt>
                <c:pt idx="558">
                  <c:v>0</c:v>
                </c:pt>
                <c:pt idx="559">
                  <c:v>42.7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42.7</c:v>
                </c:pt>
                <c:pt idx="567">
                  <c:v>26.3</c:v>
                </c:pt>
                <c:pt idx="568">
                  <c:v>45</c:v>
                </c:pt>
                <c:pt idx="569">
                  <c:v>32.7</c:v>
                </c:pt>
                <c:pt idx="570">
                  <c:v>0</c:v>
                </c:pt>
                <c:pt idx="571">
                  <c:v>30.3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38.9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6.6</c:v>
                </c:pt>
                <c:pt idx="583">
                  <c:v>59.4</c:v>
                </c:pt>
                <c:pt idx="584">
                  <c:v>14</c:v>
                </c:pt>
                <c:pt idx="585">
                  <c:v>47.1</c:v>
                </c:pt>
                <c:pt idx="586">
                  <c:v>40.5</c:v>
                </c:pt>
                <c:pt idx="587">
                  <c:v>16.6</c:v>
                </c:pt>
                <c:pt idx="588">
                  <c:v>0</c:v>
                </c:pt>
                <c:pt idx="589">
                  <c:v>28</c:v>
                </c:pt>
                <c:pt idx="590">
                  <c:v>33.7</c:v>
                </c:pt>
                <c:pt idx="591">
                  <c:v>0</c:v>
                </c:pt>
                <c:pt idx="592">
                  <c:v>13.6</c:v>
                </c:pt>
                <c:pt idx="593">
                  <c:v>33.6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35.4</c:v>
                </c:pt>
                <c:pt idx="606">
                  <c:v>0</c:v>
                </c:pt>
                <c:pt idx="607">
                  <c:v>0</c:v>
                </c:pt>
                <c:pt idx="608">
                  <c:v>29.1</c:v>
                </c:pt>
                <c:pt idx="609">
                  <c:v>0</c:v>
                </c:pt>
                <c:pt idx="610">
                  <c:v>0</c:v>
                </c:pt>
                <c:pt idx="611">
                  <c:v>27.9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12.4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2.6</c:v>
                </c:pt>
                <c:pt idx="632">
                  <c:v>6.4</c:v>
                </c:pt>
                <c:pt idx="633">
                  <c:v>18.3</c:v>
                </c:pt>
                <c:pt idx="634">
                  <c:v>0</c:v>
                </c:pt>
                <c:pt idx="635">
                  <c:v>0</c:v>
                </c:pt>
                <c:pt idx="636">
                  <c:v>11.3</c:v>
                </c:pt>
                <c:pt idx="637">
                  <c:v>0</c:v>
                </c:pt>
                <c:pt idx="638">
                  <c:v>10.6</c:v>
                </c:pt>
                <c:pt idx="639">
                  <c:v>18</c:v>
                </c:pt>
                <c:pt idx="640">
                  <c:v>0</c:v>
                </c:pt>
                <c:pt idx="641">
                  <c:v>46.2</c:v>
                </c:pt>
                <c:pt idx="642">
                  <c:v>0</c:v>
                </c:pt>
                <c:pt idx="643">
                  <c:v>0</c:v>
                </c:pt>
                <c:pt idx="644">
                  <c:v>40.4</c:v>
                </c:pt>
                <c:pt idx="645">
                  <c:v>0</c:v>
                </c:pt>
                <c:pt idx="646">
                  <c:v>53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18.4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45.2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44.8</c:v>
                </c:pt>
                <c:pt idx="661">
                  <c:v>2.1</c:v>
                </c:pt>
                <c:pt idx="662">
                  <c:v>0</c:v>
                </c:pt>
                <c:pt idx="663">
                  <c:v>36.5</c:v>
                </c:pt>
                <c:pt idx="664">
                  <c:v>11</c:v>
                </c:pt>
                <c:pt idx="665">
                  <c:v>0</c:v>
                </c:pt>
                <c:pt idx="666">
                  <c:v>0</c:v>
                </c:pt>
                <c:pt idx="667">
                  <c:v>42.2</c:v>
                </c:pt>
                <c:pt idx="668">
                  <c:v>51.9</c:v>
                </c:pt>
                <c:pt idx="669">
                  <c:v>0</c:v>
                </c:pt>
                <c:pt idx="670">
                  <c:v>58.6</c:v>
                </c:pt>
                <c:pt idx="671">
                  <c:v>13.9</c:v>
                </c:pt>
                <c:pt idx="672">
                  <c:v>26.4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58.3</c:v>
                </c:pt>
                <c:pt idx="678">
                  <c:v>7.1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0.5</c:v>
                </c:pt>
                <c:pt idx="687">
                  <c:v>12.6</c:v>
                </c:pt>
                <c:pt idx="688">
                  <c:v>11.8</c:v>
                </c:pt>
                <c:pt idx="689">
                  <c:v>52</c:v>
                </c:pt>
                <c:pt idx="690">
                  <c:v>46.4</c:v>
                </c:pt>
                <c:pt idx="691">
                  <c:v>0</c:v>
                </c:pt>
                <c:pt idx="692">
                  <c:v>45.4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22.5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34.9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7.9</c:v>
                </c:pt>
                <c:pt idx="707">
                  <c:v>0</c:v>
                </c:pt>
                <c:pt idx="708">
                  <c:v>35.4</c:v>
                </c:pt>
                <c:pt idx="709">
                  <c:v>19.7</c:v>
                </c:pt>
                <c:pt idx="710">
                  <c:v>45.4</c:v>
                </c:pt>
                <c:pt idx="711">
                  <c:v>0</c:v>
                </c:pt>
                <c:pt idx="712">
                  <c:v>35.8</c:v>
                </c:pt>
                <c:pt idx="713">
                  <c:v>0</c:v>
                </c:pt>
                <c:pt idx="714">
                  <c:v>0</c:v>
                </c:pt>
                <c:pt idx="715">
                  <c:v>27.8</c:v>
                </c:pt>
                <c:pt idx="716">
                  <c:v>0</c:v>
                </c:pt>
                <c:pt idx="717">
                  <c:v>43.7</c:v>
                </c:pt>
                <c:pt idx="718">
                  <c:v>39.7</c:v>
                </c:pt>
                <c:pt idx="719">
                  <c:v>0</c:v>
                </c:pt>
                <c:pt idx="720">
                  <c:v>0</c:v>
                </c:pt>
                <c:pt idx="721">
                  <c:v>54.9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57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15.7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35.5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21.8</c:v>
                </c:pt>
                <c:pt idx="742">
                  <c:v>34</c:v>
                </c:pt>
                <c:pt idx="743">
                  <c:v>6</c:v>
                </c:pt>
                <c:pt idx="744">
                  <c:v>0</c:v>
                </c:pt>
                <c:pt idx="745">
                  <c:v>0</c:v>
                </c:pt>
                <c:pt idx="746">
                  <c:v>23</c:v>
                </c:pt>
                <c:pt idx="747">
                  <c:v>0</c:v>
                </c:pt>
                <c:pt idx="748">
                  <c:v>9.6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9.6</c:v>
                </c:pt>
                <c:pt idx="761">
                  <c:v>44.6</c:v>
                </c:pt>
                <c:pt idx="762">
                  <c:v>0.3</c:v>
                </c:pt>
                <c:pt idx="763">
                  <c:v>7.5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36.8</c:v>
                </c:pt>
                <c:pt idx="768">
                  <c:v>0</c:v>
                </c:pt>
                <c:pt idx="769">
                  <c:v>1.6</c:v>
                </c:pt>
                <c:pt idx="770">
                  <c:v>0</c:v>
                </c:pt>
                <c:pt idx="771">
                  <c:v>0</c:v>
                </c:pt>
                <c:pt idx="772">
                  <c:v>25.9</c:v>
                </c:pt>
                <c:pt idx="773">
                  <c:v>52.8</c:v>
                </c:pt>
                <c:pt idx="774">
                  <c:v>0</c:v>
                </c:pt>
                <c:pt idx="775">
                  <c:v>27.3</c:v>
                </c:pt>
                <c:pt idx="776">
                  <c:v>0</c:v>
                </c:pt>
                <c:pt idx="777">
                  <c:v>45.5</c:v>
                </c:pt>
                <c:pt idx="778">
                  <c:v>50.7</c:v>
                </c:pt>
                <c:pt idx="779">
                  <c:v>0</c:v>
                </c:pt>
                <c:pt idx="780">
                  <c:v>0</c:v>
                </c:pt>
                <c:pt idx="781">
                  <c:v>35.3</c:v>
                </c:pt>
                <c:pt idx="782">
                  <c:v>38.8</c:v>
                </c:pt>
                <c:pt idx="783">
                  <c:v>59.9</c:v>
                </c:pt>
                <c:pt idx="784">
                  <c:v>17.3</c:v>
                </c:pt>
                <c:pt idx="785">
                  <c:v>0</c:v>
                </c:pt>
                <c:pt idx="786">
                  <c:v>27.8</c:v>
                </c:pt>
                <c:pt idx="787">
                  <c:v>0</c:v>
                </c:pt>
                <c:pt idx="788">
                  <c:v>53.5</c:v>
                </c:pt>
                <c:pt idx="789">
                  <c:v>0</c:v>
                </c:pt>
                <c:pt idx="790">
                  <c:v>23</c:v>
                </c:pt>
                <c:pt idx="791">
                  <c:v>37.5</c:v>
                </c:pt>
                <c:pt idx="792">
                  <c:v>43</c:v>
                </c:pt>
                <c:pt idx="793">
                  <c:v>20.7</c:v>
                </c:pt>
                <c:pt idx="794">
                  <c:v>0</c:v>
                </c:pt>
                <c:pt idx="795">
                  <c:v>36.6</c:v>
                </c:pt>
                <c:pt idx="796">
                  <c:v>0</c:v>
                </c:pt>
                <c:pt idx="797">
                  <c:v>0</c:v>
                </c:pt>
                <c:pt idx="798">
                  <c:v>12.7</c:v>
                </c:pt>
                <c:pt idx="799">
                  <c:v>58.4</c:v>
                </c:pt>
                <c:pt idx="800">
                  <c:v>0.8</c:v>
                </c:pt>
                <c:pt idx="801">
                  <c:v>18.9</c:v>
                </c:pt>
                <c:pt idx="802">
                  <c:v>30.8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57.3</c:v>
                </c:pt>
                <c:pt idx="807">
                  <c:v>56.7</c:v>
                </c:pt>
                <c:pt idx="808">
                  <c:v>9.9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13.7</c:v>
                </c:pt>
                <c:pt idx="815">
                  <c:v>0</c:v>
                </c:pt>
                <c:pt idx="816">
                  <c:v>0</c:v>
                </c:pt>
                <c:pt idx="817">
                  <c:v>57.5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39.4</c:v>
                </c:pt>
                <c:pt idx="823">
                  <c:v>16.1</c:v>
                </c:pt>
                <c:pt idx="824">
                  <c:v>20.5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8.7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38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32.2</c:v>
                </c:pt>
                <c:pt idx="844">
                  <c:v>0</c:v>
                </c:pt>
                <c:pt idx="845">
                  <c:v>18</c:v>
                </c:pt>
                <c:pt idx="846">
                  <c:v>10.6</c:v>
                </c:pt>
                <c:pt idx="847">
                  <c:v>18.7</c:v>
                </c:pt>
                <c:pt idx="848">
                  <c:v>17.6</c:v>
                </c:pt>
                <c:pt idx="849">
                  <c:v>53.7</c:v>
                </c:pt>
                <c:pt idx="850">
                  <c:v>0</c:v>
                </c:pt>
                <c:pt idx="851">
                  <c:v>23.1</c:v>
                </c:pt>
                <c:pt idx="852">
                  <c:v>0</c:v>
                </c:pt>
                <c:pt idx="853">
                  <c:v>3</c:v>
                </c:pt>
                <c:pt idx="854">
                  <c:v>0</c:v>
                </c:pt>
                <c:pt idx="855">
                  <c:v>0</c:v>
                </c:pt>
                <c:pt idx="856">
                  <c:v>1.2</c:v>
                </c:pt>
                <c:pt idx="857">
                  <c:v>44.1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16.8</c:v>
                </c:pt>
                <c:pt idx="862">
                  <c:v>44.3</c:v>
                </c:pt>
                <c:pt idx="863">
                  <c:v>0</c:v>
                </c:pt>
                <c:pt idx="864">
                  <c:v>44.9</c:v>
                </c:pt>
                <c:pt idx="865">
                  <c:v>51.3</c:v>
                </c:pt>
                <c:pt idx="866">
                  <c:v>0</c:v>
                </c:pt>
                <c:pt idx="867">
                  <c:v>10.4</c:v>
                </c:pt>
                <c:pt idx="868">
                  <c:v>0</c:v>
                </c:pt>
                <c:pt idx="869">
                  <c:v>31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33.1</c:v>
                </c:pt>
                <c:pt idx="874">
                  <c:v>56.1</c:v>
                </c:pt>
                <c:pt idx="875">
                  <c:v>8.2</c:v>
                </c:pt>
                <c:pt idx="876">
                  <c:v>0</c:v>
                </c:pt>
                <c:pt idx="877">
                  <c:v>1.7</c:v>
                </c:pt>
                <c:pt idx="878">
                  <c:v>28.4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22.8</c:v>
                </c:pt>
                <c:pt idx="885">
                  <c:v>0</c:v>
                </c:pt>
                <c:pt idx="886">
                  <c:v>52.8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43</c:v>
                </c:pt>
                <c:pt idx="892">
                  <c:v>0</c:v>
                </c:pt>
                <c:pt idx="893">
                  <c:v>57.8</c:v>
                </c:pt>
                <c:pt idx="894">
                  <c:v>49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12.2</c:v>
                </c:pt>
                <c:pt idx="901">
                  <c:v>0</c:v>
                </c:pt>
                <c:pt idx="902">
                  <c:v>16</c:v>
                </c:pt>
                <c:pt idx="903">
                  <c:v>0</c:v>
                </c:pt>
                <c:pt idx="904">
                  <c:v>0</c:v>
                </c:pt>
                <c:pt idx="905">
                  <c:v>37.8</c:v>
                </c:pt>
                <c:pt idx="906">
                  <c:v>50.1</c:v>
                </c:pt>
                <c:pt idx="907">
                  <c:v>53.2</c:v>
                </c:pt>
                <c:pt idx="908">
                  <c:v>16.6</c:v>
                </c:pt>
                <c:pt idx="909">
                  <c:v>0</c:v>
                </c:pt>
                <c:pt idx="910">
                  <c:v>23.7</c:v>
                </c:pt>
                <c:pt idx="911">
                  <c:v>16.2</c:v>
                </c:pt>
                <c:pt idx="912">
                  <c:v>0</c:v>
                </c:pt>
                <c:pt idx="913">
                  <c:v>37</c:v>
                </c:pt>
                <c:pt idx="914">
                  <c:v>0</c:v>
                </c:pt>
                <c:pt idx="915">
                  <c:v>19.9</c:v>
                </c:pt>
                <c:pt idx="916">
                  <c:v>0</c:v>
                </c:pt>
                <c:pt idx="917">
                  <c:v>28.5</c:v>
                </c:pt>
                <c:pt idx="918">
                  <c:v>56.4</c:v>
                </c:pt>
                <c:pt idx="919">
                  <c:v>59.1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39</c:v>
                </c:pt>
                <c:pt idx="926">
                  <c:v>12.9</c:v>
                </c:pt>
                <c:pt idx="927">
                  <c:v>0</c:v>
                </c:pt>
                <c:pt idx="928">
                  <c:v>0</c:v>
                </c:pt>
                <c:pt idx="929">
                  <c:v>41.2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13.3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44.8</c:v>
                </c:pt>
                <c:pt idx="938">
                  <c:v>0</c:v>
                </c:pt>
                <c:pt idx="939">
                  <c:v>48.4</c:v>
                </c:pt>
                <c:pt idx="940">
                  <c:v>29.4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19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16.9</c:v>
                </c:pt>
                <c:pt idx="951">
                  <c:v>0</c:v>
                </c:pt>
                <c:pt idx="952">
                  <c:v>34</c:v>
                </c:pt>
                <c:pt idx="953">
                  <c:v>0</c:v>
                </c:pt>
                <c:pt idx="954">
                  <c:v>0</c:v>
                </c:pt>
                <c:pt idx="955">
                  <c:v>51.9</c:v>
                </c:pt>
                <c:pt idx="956">
                  <c:v>0</c:v>
                </c:pt>
                <c:pt idx="957">
                  <c:v>0</c:v>
                </c:pt>
                <c:pt idx="958">
                  <c:v>38.8</c:v>
                </c:pt>
                <c:pt idx="959">
                  <c:v>5.5</c:v>
                </c:pt>
                <c:pt idx="960">
                  <c:v>0</c:v>
                </c:pt>
                <c:pt idx="961">
                  <c:v>0</c:v>
                </c:pt>
                <c:pt idx="962">
                  <c:v>42.1</c:v>
                </c:pt>
                <c:pt idx="963">
                  <c:v>0</c:v>
                </c:pt>
                <c:pt idx="964">
                  <c:v>23.6</c:v>
                </c:pt>
                <c:pt idx="965">
                  <c:v>56.6</c:v>
                </c:pt>
                <c:pt idx="966">
                  <c:v>6.3</c:v>
                </c:pt>
                <c:pt idx="967">
                  <c:v>47.4</c:v>
                </c:pt>
                <c:pt idx="968">
                  <c:v>28.8</c:v>
                </c:pt>
                <c:pt idx="969">
                  <c:v>18.7</c:v>
                </c:pt>
                <c:pt idx="970">
                  <c:v>54.5</c:v>
                </c:pt>
                <c:pt idx="971">
                  <c:v>6.6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34.3</c:v>
                </c:pt>
                <c:pt idx="976">
                  <c:v>0</c:v>
                </c:pt>
                <c:pt idx="977">
                  <c:v>0</c:v>
                </c:pt>
                <c:pt idx="978">
                  <c:v>50.2</c:v>
                </c:pt>
                <c:pt idx="979">
                  <c:v>27.6</c:v>
                </c:pt>
                <c:pt idx="980">
                  <c:v>40.2</c:v>
                </c:pt>
                <c:pt idx="981">
                  <c:v>0</c:v>
                </c:pt>
                <c:pt idx="982">
                  <c:v>58.2</c:v>
                </c:pt>
                <c:pt idx="983">
                  <c:v>0</c:v>
                </c:pt>
                <c:pt idx="984">
                  <c:v>0</c:v>
                </c:pt>
                <c:pt idx="985">
                  <c:v>45.3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20.7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9.5</c:v>
                </c:pt>
                <c:pt idx="998">
                  <c:v>3</c:v>
                </c:pt>
                <c:pt idx="999">
                  <c:v>28.3</c:v>
                </c:pt>
                <c:pt idx="1000">
                  <c:v>47.7</c:v>
                </c:pt>
                <c:pt idx="1001">
                  <c:v>0</c:v>
                </c:pt>
                <c:pt idx="1002">
                  <c:v>38.3</c:v>
                </c:pt>
                <c:pt idx="1003">
                  <c:v>29</c:v>
                </c:pt>
                <c:pt idx="1004">
                  <c:v>0</c:v>
                </c:pt>
                <c:pt idx="1005">
                  <c:v>0</c:v>
                </c:pt>
                <c:pt idx="1006">
                  <c:v>34.6</c:v>
                </c:pt>
                <c:pt idx="1007">
                  <c:v>25.9</c:v>
                </c:pt>
                <c:pt idx="1008">
                  <c:v>24.2</c:v>
                </c:pt>
                <c:pt idx="1009">
                  <c:v>0</c:v>
                </c:pt>
                <c:pt idx="1010">
                  <c:v>0</c:v>
                </c:pt>
                <c:pt idx="1011">
                  <c:v>57.4</c:v>
                </c:pt>
                <c:pt idx="1012">
                  <c:v>0</c:v>
                </c:pt>
                <c:pt idx="1013">
                  <c:v>0</c:v>
                </c:pt>
                <c:pt idx="1014">
                  <c:v>15.6</c:v>
                </c:pt>
                <c:pt idx="1015">
                  <c:v>47.5</c:v>
                </c:pt>
                <c:pt idx="1016">
                  <c:v>0</c:v>
                </c:pt>
                <c:pt idx="1017">
                  <c:v>12.1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38.6</c:v>
                </c:pt>
                <c:pt idx="1025">
                  <c:v>32.2</c:v>
                </c:pt>
                <c:pt idx="1026">
                  <c:v>0</c:v>
                </c:pt>
                <c:pt idx="1027">
                  <c:v>0</c:v>
                </c:pt>
                <c:pt idx="1028">
                  <c:v>55.4</c:v>
                </c:pt>
                <c:pt idx="1029">
                  <c:v>41.3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40.4</c:v>
                </c:pt>
                <c:pt idx="1034">
                  <c:v>22.6</c:v>
                </c:pt>
                <c:pt idx="1035">
                  <c:v>0</c:v>
                </c:pt>
                <c:pt idx="1036">
                  <c:v>0</c:v>
                </c:pt>
                <c:pt idx="1037">
                  <c:v>8.1</c:v>
                </c:pt>
                <c:pt idx="1038">
                  <c:v>0</c:v>
                </c:pt>
                <c:pt idx="1039">
                  <c:v>16.5</c:v>
                </c:pt>
                <c:pt idx="1040">
                  <c:v>0</c:v>
                </c:pt>
                <c:pt idx="1041">
                  <c:v>29.2</c:v>
                </c:pt>
                <c:pt idx="1042">
                  <c:v>0</c:v>
                </c:pt>
                <c:pt idx="1043">
                  <c:v>0</c:v>
                </c:pt>
                <c:pt idx="1044">
                  <c:v>56.3</c:v>
                </c:pt>
                <c:pt idx="1045">
                  <c:v>11.2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18.1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1.1</c:v>
                </c:pt>
                <c:pt idx="1058">
                  <c:v>0</c:v>
                </c:pt>
                <c:pt idx="1059">
                  <c:v>59.5</c:v>
                </c:pt>
                <c:pt idx="1060">
                  <c:v>0</c:v>
                </c:pt>
                <c:pt idx="1061">
                  <c:v>57.9</c:v>
                </c:pt>
                <c:pt idx="1062">
                  <c:v>38.1</c:v>
                </c:pt>
                <c:pt idx="1063">
                  <c:v>10.1</c:v>
                </c:pt>
                <c:pt idx="1064">
                  <c:v>55.5</c:v>
                </c:pt>
                <c:pt idx="1065">
                  <c:v>49.7</c:v>
                </c:pt>
                <c:pt idx="1066">
                  <c:v>55.9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7.6</c:v>
                </c:pt>
                <c:pt idx="1072">
                  <c:v>0</c:v>
                </c:pt>
                <c:pt idx="1073">
                  <c:v>0</c:v>
                </c:pt>
                <c:pt idx="1074">
                  <c:v>14.7</c:v>
                </c:pt>
                <c:pt idx="1075">
                  <c:v>0</c:v>
                </c:pt>
                <c:pt idx="1076">
                  <c:v>3.3</c:v>
                </c:pt>
                <c:pt idx="1077">
                  <c:v>47</c:v>
                </c:pt>
                <c:pt idx="1078">
                  <c:v>0</c:v>
                </c:pt>
                <c:pt idx="1079">
                  <c:v>54.2</c:v>
                </c:pt>
                <c:pt idx="1080">
                  <c:v>0</c:v>
                </c:pt>
                <c:pt idx="1081">
                  <c:v>54.8</c:v>
                </c:pt>
                <c:pt idx="1082">
                  <c:v>16.8</c:v>
                </c:pt>
                <c:pt idx="1083">
                  <c:v>57.4</c:v>
                </c:pt>
                <c:pt idx="1084">
                  <c:v>0</c:v>
                </c:pt>
                <c:pt idx="1085">
                  <c:v>0</c:v>
                </c:pt>
                <c:pt idx="1086">
                  <c:v>33.8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28.7</c:v>
                </c:pt>
                <c:pt idx="1092">
                  <c:v>0</c:v>
                </c:pt>
                <c:pt idx="1093">
                  <c:v>10.8</c:v>
                </c:pt>
                <c:pt idx="1094">
                  <c:v>17.5</c:v>
                </c:pt>
                <c:pt idx="1095">
                  <c:v>46.2</c:v>
                </c:pt>
                <c:pt idx="1096">
                  <c:v>47.1</c:v>
                </c:pt>
                <c:pt idx="1097">
                  <c:v>20.7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39</c:v>
                </c:pt>
                <c:pt idx="1102">
                  <c:v>0</c:v>
                </c:pt>
                <c:pt idx="1103">
                  <c:v>18.9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49.4</c:v>
                </c:pt>
                <c:pt idx="1112">
                  <c:v>0</c:v>
                </c:pt>
                <c:pt idx="1113">
                  <c:v>0</c:v>
                </c:pt>
                <c:pt idx="1114">
                  <c:v>16.5</c:v>
                </c:pt>
                <c:pt idx="1115">
                  <c:v>26.8</c:v>
                </c:pt>
                <c:pt idx="1116">
                  <c:v>0</c:v>
                </c:pt>
                <c:pt idx="1117">
                  <c:v>0</c:v>
                </c:pt>
                <c:pt idx="1118">
                  <c:v>20.2</c:v>
                </c:pt>
                <c:pt idx="1119">
                  <c:v>0</c:v>
                </c:pt>
                <c:pt idx="1120">
                  <c:v>6.8</c:v>
                </c:pt>
                <c:pt idx="1121">
                  <c:v>32.1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40.9</c:v>
                </c:pt>
                <c:pt idx="1127">
                  <c:v>5.1</c:v>
                </c:pt>
                <c:pt idx="1128">
                  <c:v>48.7</c:v>
                </c:pt>
                <c:pt idx="1129">
                  <c:v>59.8</c:v>
                </c:pt>
                <c:pt idx="1130">
                  <c:v>11.9</c:v>
                </c:pt>
                <c:pt idx="1131">
                  <c:v>50.3</c:v>
                </c:pt>
                <c:pt idx="1132">
                  <c:v>0</c:v>
                </c:pt>
                <c:pt idx="1133">
                  <c:v>22.4</c:v>
                </c:pt>
                <c:pt idx="1134">
                  <c:v>0</c:v>
                </c:pt>
                <c:pt idx="1135">
                  <c:v>0</c:v>
                </c:pt>
                <c:pt idx="1136">
                  <c:v>8.8</c:v>
                </c:pt>
                <c:pt idx="1137">
                  <c:v>0</c:v>
                </c:pt>
                <c:pt idx="1138">
                  <c:v>21.6</c:v>
                </c:pt>
                <c:pt idx="1139">
                  <c:v>37.6</c:v>
                </c:pt>
                <c:pt idx="1140">
                  <c:v>0</c:v>
                </c:pt>
                <c:pt idx="1141">
                  <c:v>0</c:v>
                </c:pt>
                <c:pt idx="1142">
                  <c:v>35.9</c:v>
                </c:pt>
                <c:pt idx="1143">
                  <c:v>0</c:v>
                </c:pt>
                <c:pt idx="1144">
                  <c:v>33.3</c:v>
                </c:pt>
                <c:pt idx="1145">
                  <c:v>0</c:v>
                </c:pt>
                <c:pt idx="1146">
                  <c:v>19.8</c:v>
                </c:pt>
                <c:pt idx="1147">
                  <c:v>0</c:v>
                </c:pt>
                <c:pt idx="1148">
                  <c:v>2.9</c:v>
                </c:pt>
                <c:pt idx="1149">
                  <c:v>3.1</c:v>
                </c:pt>
                <c:pt idx="1150">
                  <c:v>0</c:v>
                </c:pt>
                <c:pt idx="1151">
                  <c:v>40.8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8.4</c:v>
                </c:pt>
                <c:pt idx="1156">
                  <c:v>0</c:v>
                </c:pt>
                <c:pt idx="1157">
                  <c:v>0</c:v>
                </c:pt>
                <c:pt idx="1158">
                  <c:v>13.5</c:v>
                </c:pt>
                <c:pt idx="1159">
                  <c:v>0</c:v>
                </c:pt>
                <c:pt idx="1160">
                  <c:v>0</c:v>
                </c:pt>
                <c:pt idx="1161">
                  <c:v>39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49.4</c:v>
                </c:pt>
                <c:pt idx="1166">
                  <c:v>0</c:v>
                </c:pt>
                <c:pt idx="1167">
                  <c:v>35.7</c:v>
                </c:pt>
                <c:pt idx="1168">
                  <c:v>33.6</c:v>
                </c:pt>
                <c:pt idx="1169">
                  <c:v>41.9</c:v>
                </c:pt>
                <c:pt idx="1170">
                  <c:v>53.5</c:v>
                </c:pt>
                <c:pt idx="1171">
                  <c:v>43.7</c:v>
                </c:pt>
                <c:pt idx="1172">
                  <c:v>0</c:v>
                </c:pt>
                <c:pt idx="1173">
                  <c:v>15.7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13.9</c:v>
                </c:pt>
                <c:pt idx="1184">
                  <c:v>0</c:v>
                </c:pt>
                <c:pt idx="1185">
                  <c:v>26.2</c:v>
                </c:pt>
                <c:pt idx="1186">
                  <c:v>0</c:v>
                </c:pt>
                <c:pt idx="1187">
                  <c:v>16.8</c:v>
                </c:pt>
                <c:pt idx="1188">
                  <c:v>42.7</c:v>
                </c:pt>
                <c:pt idx="1189">
                  <c:v>20.9</c:v>
                </c:pt>
                <c:pt idx="1190">
                  <c:v>24.3</c:v>
                </c:pt>
                <c:pt idx="1191">
                  <c:v>58.6</c:v>
                </c:pt>
                <c:pt idx="1192">
                  <c:v>52.6</c:v>
                </c:pt>
                <c:pt idx="1193">
                  <c:v>8.3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45.9</c:v>
                </c:pt>
                <c:pt idx="1198">
                  <c:v>0</c:v>
                </c:pt>
                <c:pt idx="1199">
                  <c:v>0</c:v>
                </c:pt>
                <c:pt idx="1200">
                  <c:v>9.6</c:v>
                </c:pt>
                <c:pt idx="1201">
                  <c:v>14.1</c:v>
                </c:pt>
                <c:pt idx="1202">
                  <c:v>0</c:v>
                </c:pt>
                <c:pt idx="1203">
                  <c:v>56.8</c:v>
                </c:pt>
                <c:pt idx="1204">
                  <c:v>0</c:v>
                </c:pt>
                <c:pt idx="1205">
                  <c:v>0</c:v>
                </c:pt>
                <c:pt idx="1206">
                  <c:v>24.6</c:v>
                </c:pt>
                <c:pt idx="1207">
                  <c:v>42.2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23</c:v>
                </c:pt>
                <c:pt idx="1214">
                  <c:v>0</c:v>
                </c:pt>
                <c:pt idx="1215">
                  <c:v>47.5</c:v>
                </c:pt>
                <c:pt idx="1216">
                  <c:v>0</c:v>
                </c:pt>
                <c:pt idx="1217">
                  <c:v>5.4</c:v>
                </c:pt>
                <c:pt idx="1218">
                  <c:v>0</c:v>
                </c:pt>
                <c:pt idx="1219">
                  <c:v>27.9</c:v>
                </c:pt>
                <c:pt idx="1220">
                  <c:v>28.8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10.2</c:v>
                </c:pt>
                <c:pt idx="1225">
                  <c:v>0</c:v>
                </c:pt>
                <c:pt idx="1226">
                  <c:v>8.3</c:v>
                </c:pt>
                <c:pt idx="1227">
                  <c:v>0</c:v>
                </c:pt>
                <c:pt idx="1228">
                  <c:v>42.5</c:v>
                </c:pt>
                <c:pt idx="1229">
                  <c:v>36.7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15</c:v>
                </c:pt>
                <c:pt idx="1240">
                  <c:v>0</c:v>
                </c:pt>
                <c:pt idx="1241">
                  <c:v>9.8</c:v>
                </c:pt>
                <c:pt idx="1242">
                  <c:v>0</c:v>
                </c:pt>
                <c:pt idx="1243">
                  <c:v>21.1</c:v>
                </c:pt>
                <c:pt idx="1244">
                  <c:v>0</c:v>
                </c:pt>
                <c:pt idx="1245">
                  <c:v>0</c:v>
                </c:pt>
                <c:pt idx="1246">
                  <c:v>9.3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8.8</c:v>
                </c:pt>
                <c:pt idx="1251">
                  <c:v>0</c:v>
                </c:pt>
                <c:pt idx="1252">
                  <c:v>0</c:v>
                </c:pt>
                <c:pt idx="1253">
                  <c:v>20.1</c:v>
                </c:pt>
                <c:pt idx="1254">
                  <c:v>23.3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42.2</c:v>
                </c:pt>
                <c:pt idx="1260">
                  <c:v>58</c:v>
                </c:pt>
                <c:pt idx="1261">
                  <c:v>22.9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26.4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8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41.7</c:v>
                </c:pt>
                <c:pt idx="1280">
                  <c:v>0</c:v>
                </c:pt>
                <c:pt idx="1281">
                  <c:v>44.8</c:v>
                </c:pt>
                <c:pt idx="1282">
                  <c:v>36.8</c:v>
                </c:pt>
                <c:pt idx="1283">
                  <c:v>0</c:v>
                </c:pt>
                <c:pt idx="1284">
                  <c:v>51.6</c:v>
                </c:pt>
                <c:pt idx="1285">
                  <c:v>42.9</c:v>
                </c:pt>
                <c:pt idx="1286">
                  <c:v>0</c:v>
                </c:pt>
                <c:pt idx="1287">
                  <c:v>0</c:v>
                </c:pt>
                <c:pt idx="1288">
                  <c:v>24.4</c:v>
                </c:pt>
                <c:pt idx="1289">
                  <c:v>0</c:v>
                </c:pt>
                <c:pt idx="1290">
                  <c:v>19.6</c:v>
                </c:pt>
                <c:pt idx="1291">
                  <c:v>56.3</c:v>
                </c:pt>
                <c:pt idx="1292">
                  <c:v>19.2</c:v>
                </c:pt>
                <c:pt idx="1293">
                  <c:v>12.5</c:v>
                </c:pt>
                <c:pt idx="1294">
                  <c:v>1.7</c:v>
                </c:pt>
                <c:pt idx="1295">
                  <c:v>0</c:v>
                </c:pt>
                <c:pt idx="1296">
                  <c:v>25.7</c:v>
                </c:pt>
                <c:pt idx="1297">
                  <c:v>27.4</c:v>
                </c:pt>
                <c:pt idx="1298">
                  <c:v>23.3</c:v>
                </c:pt>
                <c:pt idx="1299">
                  <c:v>0</c:v>
                </c:pt>
                <c:pt idx="1300">
                  <c:v>4.2</c:v>
                </c:pt>
                <c:pt idx="1301">
                  <c:v>0</c:v>
                </c:pt>
                <c:pt idx="1302">
                  <c:v>9.2</c:v>
                </c:pt>
                <c:pt idx="1303">
                  <c:v>27.7</c:v>
                </c:pt>
                <c:pt idx="1304">
                  <c:v>30.9</c:v>
                </c:pt>
                <c:pt idx="1305">
                  <c:v>54.2</c:v>
                </c:pt>
                <c:pt idx="1306">
                  <c:v>3.7</c:v>
                </c:pt>
                <c:pt idx="1307">
                  <c:v>18.4</c:v>
                </c:pt>
                <c:pt idx="1308">
                  <c:v>43.3</c:v>
                </c:pt>
                <c:pt idx="1309">
                  <c:v>15.8</c:v>
                </c:pt>
                <c:pt idx="1310">
                  <c:v>23.4</c:v>
                </c:pt>
                <c:pt idx="1311">
                  <c:v>0</c:v>
                </c:pt>
                <c:pt idx="1312">
                  <c:v>0</c:v>
                </c:pt>
                <c:pt idx="1313">
                  <c:v>1.1</c:v>
                </c:pt>
                <c:pt idx="1314">
                  <c:v>49.8</c:v>
                </c:pt>
                <c:pt idx="1315">
                  <c:v>5.4</c:v>
                </c:pt>
                <c:pt idx="1316">
                  <c:v>0</c:v>
                </c:pt>
                <c:pt idx="1317">
                  <c:v>0</c:v>
                </c:pt>
                <c:pt idx="1318">
                  <c:v>40.4</c:v>
                </c:pt>
                <c:pt idx="1319">
                  <c:v>0</c:v>
                </c:pt>
                <c:pt idx="1320">
                  <c:v>36.9</c:v>
                </c:pt>
                <c:pt idx="1321">
                  <c:v>3.5</c:v>
                </c:pt>
                <c:pt idx="1322">
                  <c:v>11.4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23.1</c:v>
                </c:pt>
                <c:pt idx="1329">
                  <c:v>0</c:v>
                </c:pt>
                <c:pt idx="1330">
                  <c:v>23.7</c:v>
                </c:pt>
                <c:pt idx="1331">
                  <c:v>7.9</c:v>
                </c:pt>
                <c:pt idx="1332">
                  <c:v>32.2</c:v>
                </c:pt>
                <c:pt idx="1333">
                  <c:v>24.6</c:v>
                </c:pt>
                <c:pt idx="1334">
                  <c:v>0</c:v>
                </c:pt>
                <c:pt idx="1335">
                  <c:v>10.7</c:v>
                </c:pt>
                <c:pt idx="1336">
                  <c:v>34.2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24.4</c:v>
                </c:pt>
                <c:pt idx="1344">
                  <c:v>31.6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41</c:v>
                </c:pt>
                <c:pt idx="1349">
                  <c:v>23.2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29.9</c:v>
                </c:pt>
                <c:pt idx="1354">
                  <c:v>1</c:v>
                </c:pt>
                <c:pt idx="1355">
                  <c:v>28.3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8</c:v>
                </c:pt>
                <c:pt idx="1360">
                  <c:v>5.5</c:v>
                </c:pt>
                <c:pt idx="1361">
                  <c:v>0</c:v>
                </c:pt>
                <c:pt idx="1362">
                  <c:v>35.1</c:v>
                </c:pt>
                <c:pt idx="1363">
                  <c:v>0</c:v>
                </c:pt>
                <c:pt idx="1364">
                  <c:v>0</c:v>
                </c:pt>
                <c:pt idx="1365">
                  <c:v>48.4</c:v>
                </c:pt>
                <c:pt idx="1366">
                  <c:v>0</c:v>
                </c:pt>
                <c:pt idx="1367">
                  <c:v>0</c:v>
                </c:pt>
                <c:pt idx="1368">
                  <c:v>25.2</c:v>
                </c:pt>
                <c:pt idx="1369">
                  <c:v>0</c:v>
                </c:pt>
                <c:pt idx="1370">
                  <c:v>0</c:v>
                </c:pt>
                <c:pt idx="1371">
                  <c:v>35.3</c:v>
                </c:pt>
                <c:pt idx="1372">
                  <c:v>0</c:v>
                </c:pt>
                <c:pt idx="1373">
                  <c:v>44</c:v>
                </c:pt>
                <c:pt idx="1374">
                  <c:v>0</c:v>
                </c:pt>
                <c:pt idx="1375">
                  <c:v>59.8</c:v>
                </c:pt>
                <c:pt idx="1376">
                  <c:v>0</c:v>
                </c:pt>
                <c:pt idx="1377">
                  <c:v>0</c:v>
                </c:pt>
                <c:pt idx="1378">
                  <c:v>41</c:v>
                </c:pt>
                <c:pt idx="1379">
                  <c:v>17</c:v>
                </c:pt>
                <c:pt idx="1380">
                  <c:v>0</c:v>
                </c:pt>
                <c:pt idx="1381">
                  <c:v>52.8</c:v>
                </c:pt>
                <c:pt idx="1382">
                  <c:v>0.9</c:v>
                </c:pt>
                <c:pt idx="1383">
                  <c:v>0</c:v>
                </c:pt>
                <c:pt idx="1384">
                  <c:v>37</c:v>
                </c:pt>
                <c:pt idx="1385">
                  <c:v>0</c:v>
                </c:pt>
                <c:pt idx="1386">
                  <c:v>4.6</c:v>
                </c:pt>
                <c:pt idx="1387">
                  <c:v>44.1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55.2</c:v>
                </c:pt>
                <c:pt idx="1395">
                  <c:v>58.4</c:v>
                </c:pt>
                <c:pt idx="1396">
                  <c:v>58.8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43.6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29.2</c:v>
                </c:pt>
                <c:pt idx="1409">
                  <c:v>0</c:v>
                </c:pt>
                <c:pt idx="1410">
                  <c:v>14.8</c:v>
                </c:pt>
                <c:pt idx="1411">
                  <c:v>20.9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40.6</c:v>
                </c:pt>
                <c:pt idx="1416">
                  <c:v>0</c:v>
                </c:pt>
                <c:pt idx="1417">
                  <c:v>1.8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25.8</c:v>
                </c:pt>
                <c:pt idx="1424">
                  <c:v>0</c:v>
                </c:pt>
                <c:pt idx="1425">
                  <c:v>0</c:v>
                </c:pt>
                <c:pt idx="1426">
                  <c:v>56.8</c:v>
                </c:pt>
                <c:pt idx="1427">
                  <c:v>11.1</c:v>
                </c:pt>
                <c:pt idx="1428">
                  <c:v>40.4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8.8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49.9</c:v>
                </c:pt>
                <c:pt idx="1440">
                  <c:v>0</c:v>
                </c:pt>
                <c:pt idx="1441">
                  <c:v>0</c:v>
                </c:pt>
                <c:pt idx="1442">
                  <c:v>14.2</c:v>
                </c:pt>
                <c:pt idx="1443">
                  <c:v>0</c:v>
                </c:pt>
                <c:pt idx="1444">
                  <c:v>0</c:v>
                </c:pt>
                <c:pt idx="1445">
                  <c:v>14.9</c:v>
                </c:pt>
                <c:pt idx="1446">
                  <c:v>0</c:v>
                </c:pt>
                <c:pt idx="1447">
                  <c:v>30.5</c:v>
                </c:pt>
                <c:pt idx="1448">
                  <c:v>0</c:v>
                </c:pt>
                <c:pt idx="1449">
                  <c:v>0</c:v>
                </c:pt>
                <c:pt idx="1450">
                  <c:v>6.2</c:v>
                </c:pt>
                <c:pt idx="1451">
                  <c:v>0</c:v>
                </c:pt>
                <c:pt idx="1452">
                  <c:v>0</c:v>
                </c:pt>
                <c:pt idx="1453">
                  <c:v>1.3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43.4</c:v>
                </c:pt>
                <c:pt idx="1458">
                  <c:v>55.4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20.3</c:v>
                </c:pt>
                <c:pt idx="1471">
                  <c:v>54.2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35.3</c:v>
                </c:pt>
                <c:pt idx="1477">
                  <c:v>0</c:v>
                </c:pt>
                <c:pt idx="1478">
                  <c:v>29.8</c:v>
                </c:pt>
                <c:pt idx="1479">
                  <c:v>0</c:v>
                </c:pt>
                <c:pt idx="1480">
                  <c:v>0</c:v>
                </c:pt>
                <c:pt idx="1481">
                  <c:v>43.5</c:v>
                </c:pt>
                <c:pt idx="1482">
                  <c:v>19</c:v>
                </c:pt>
                <c:pt idx="1483">
                  <c:v>0</c:v>
                </c:pt>
                <c:pt idx="1484">
                  <c:v>21.5</c:v>
                </c:pt>
                <c:pt idx="1485">
                  <c:v>0</c:v>
                </c:pt>
                <c:pt idx="1486">
                  <c:v>47.5</c:v>
                </c:pt>
                <c:pt idx="1487">
                  <c:v>2.5</c:v>
                </c:pt>
                <c:pt idx="1488">
                  <c:v>0</c:v>
                </c:pt>
                <c:pt idx="1489">
                  <c:v>0</c:v>
                </c:pt>
                <c:pt idx="1490">
                  <c:v>19.5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10.2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44.3</c:v>
                </c:pt>
                <c:pt idx="1506">
                  <c:v>0</c:v>
                </c:pt>
                <c:pt idx="1507">
                  <c:v>0</c:v>
                </c:pt>
                <c:pt idx="1508">
                  <c:v>46.1</c:v>
                </c:pt>
                <c:pt idx="1509">
                  <c:v>5.3</c:v>
                </c:pt>
                <c:pt idx="1510">
                  <c:v>0</c:v>
                </c:pt>
                <c:pt idx="1511">
                  <c:v>39.9</c:v>
                </c:pt>
                <c:pt idx="1512">
                  <c:v>10.9</c:v>
                </c:pt>
                <c:pt idx="1513">
                  <c:v>0</c:v>
                </c:pt>
                <c:pt idx="1514">
                  <c:v>12.3</c:v>
                </c:pt>
                <c:pt idx="1515">
                  <c:v>0</c:v>
                </c:pt>
                <c:pt idx="1516">
                  <c:v>0</c:v>
                </c:pt>
                <c:pt idx="1517">
                  <c:v>37.9</c:v>
                </c:pt>
                <c:pt idx="1518">
                  <c:v>47.3</c:v>
                </c:pt>
                <c:pt idx="1519">
                  <c:v>16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49.8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21.8</c:v>
                </c:pt>
                <c:pt idx="1530">
                  <c:v>40.9</c:v>
                </c:pt>
                <c:pt idx="1531">
                  <c:v>48.2</c:v>
                </c:pt>
                <c:pt idx="1532">
                  <c:v>53.9</c:v>
                </c:pt>
                <c:pt idx="1533">
                  <c:v>0</c:v>
                </c:pt>
                <c:pt idx="1534">
                  <c:v>28.2</c:v>
                </c:pt>
                <c:pt idx="1535">
                  <c:v>52.3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11.2</c:v>
                </c:pt>
                <c:pt idx="1540">
                  <c:v>49.8</c:v>
                </c:pt>
                <c:pt idx="1541">
                  <c:v>0</c:v>
                </c:pt>
                <c:pt idx="1542">
                  <c:v>0</c:v>
                </c:pt>
                <c:pt idx="1543">
                  <c:v>14.9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39.8</c:v>
                </c:pt>
                <c:pt idx="1548">
                  <c:v>24.4</c:v>
                </c:pt>
                <c:pt idx="1549">
                  <c:v>6.3</c:v>
                </c:pt>
                <c:pt idx="1550">
                  <c:v>0</c:v>
                </c:pt>
                <c:pt idx="1551">
                  <c:v>5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45.2</c:v>
                </c:pt>
                <c:pt idx="1562">
                  <c:v>10.3</c:v>
                </c:pt>
                <c:pt idx="1563">
                  <c:v>8.9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29.2</c:v>
                </c:pt>
                <c:pt idx="1570">
                  <c:v>54.7</c:v>
                </c:pt>
                <c:pt idx="1571">
                  <c:v>36.6</c:v>
                </c:pt>
                <c:pt idx="1572">
                  <c:v>12</c:v>
                </c:pt>
                <c:pt idx="1573">
                  <c:v>12.2</c:v>
                </c:pt>
                <c:pt idx="1574">
                  <c:v>34.4</c:v>
                </c:pt>
                <c:pt idx="1575">
                  <c:v>0</c:v>
                </c:pt>
                <c:pt idx="1576">
                  <c:v>16.5</c:v>
                </c:pt>
                <c:pt idx="1577">
                  <c:v>0.7</c:v>
                </c:pt>
                <c:pt idx="1578">
                  <c:v>0</c:v>
                </c:pt>
                <c:pt idx="1579">
                  <c:v>53.9</c:v>
                </c:pt>
                <c:pt idx="1580">
                  <c:v>48.9</c:v>
                </c:pt>
                <c:pt idx="1581">
                  <c:v>0</c:v>
                </c:pt>
                <c:pt idx="1582">
                  <c:v>15.8</c:v>
                </c:pt>
                <c:pt idx="1583">
                  <c:v>0</c:v>
                </c:pt>
                <c:pt idx="1584">
                  <c:v>48.8</c:v>
                </c:pt>
                <c:pt idx="1585">
                  <c:v>0</c:v>
                </c:pt>
                <c:pt idx="1586">
                  <c:v>38.4</c:v>
                </c:pt>
                <c:pt idx="1587">
                  <c:v>6.8</c:v>
                </c:pt>
                <c:pt idx="1588">
                  <c:v>29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8.1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49.5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7.3</c:v>
                </c:pt>
                <c:pt idx="1610">
                  <c:v>5.2</c:v>
                </c:pt>
                <c:pt idx="1611">
                  <c:v>0</c:v>
                </c:pt>
                <c:pt idx="1612">
                  <c:v>40.3</c:v>
                </c:pt>
                <c:pt idx="1613">
                  <c:v>43.2</c:v>
                </c:pt>
                <c:pt idx="1614">
                  <c:v>0</c:v>
                </c:pt>
                <c:pt idx="1615">
                  <c:v>44.1</c:v>
                </c:pt>
                <c:pt idx="1616">
                  <c:v>0</c:v>
                </c:pt>
                <c:pt idx="1617">
                  <c:v>0</c:v>
                </c:pt>
                <c:pt idx="1618">
                  <c:v>11.9</c:v>
                </c:pt>
                <c:pt idx="1619">
                  <c:v>0</c:v>
                </c:pt>
                <c:pt idx="1620">
                  <c:v>0</c:v>
                </c:pt>
                <c:pt idx="1621">
                  <c:v>28.8</c:v>
                </c:pt>
                <c:pt idx="1622">
                  <c:v>53.6</c:v>
                </c:pt>
                <c:pt idx="1623">
                  <c:v>0</c:v>
                </c:pt>
                <c:pt idx="1624">
                  <c:v>40.3</c:v>
                </c:pt>
                <c:pt idx="1625">
                  <c:v>27.3</c:v>
                </c:pt>
                <c:pt idx="1626">
                  <c:v>30.9</c:v>
                </c:pt>
                <c:pt idx="1627">
                  <c:v>30.9</c:v>
                </c:pt>
                <c:pt idx="1628">
                  <c:v>58</c:v>
                </c:pt>
                <c:pt idx="1629">
                  <c:v>0</c:v>
                </c:pt>
                <c:pt idx="1630">
                  <c:v>0</c:v>
                </c:pt>
                <c:pt idx="1631">
                  <c:v>17.8</c:v>
                </c:pt>
                <c:pt idx="1632">
                  <c:v>0</c:v>
                </c:pt>
                <c:pt idx="1633">
                  <c:v>10.9</c:v>
                </c:pt>
                <c:pt idx="1634">
                  <c:v>0</c:v>
                </c:pt>
                <c:pt idx="1635">
                  <c:v>44.1</c:v>
                </c:pt>
                <c:pt idx="1636">
                  <c:v>45.9</c:v>
                </c:pt>
                <c:pt idx="1637">
                  <c:v>45.5</c:v>
                </c:pt>
                <c:pt idx="1638">
                  <c:v>3.6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10.1</c:v>
                </c:pt>
                <c:pt idx="1644">
                  <c:v>29</c:v>
                </c:pt>
                <c:pt idx="1645">
                  <c:v>0</c:v>
                </c:pt>
                <c:pt idx="1646">
                  <c:v>34.6</c:v>
                </c:pt>
                <c:pt idx="1647">
                  <c:v>40.2</c:v>
                </c:pt>
                <c:pt idx="1648">
                  <c:v>7.8</c:v>
                </c:pt>
                <c:pt idx="1649">
                  <c:v>4.8</c:v>
                </c:pt>
                <c:pt idx="1650">
                  <c:v>0</c:v>
                </c:pt>
                <c:pt idx="1651">
                  <c:v>47.7</c:v>
                </c:pt>
                <c:pt idx="1652">
                  <c:v>0</c:v>
                </c:pt>
                <c:pt idx="1653">
                  <c:v>59.5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27.1</c:v>
                </c:pt>
                <c:pt idx="1658">
                  <c:v>59.1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8.9</c:v>
                </c:pt>
                <c:pt idx="1665">
                  <c:v>0</c:v>
                </c:pt>
                <c:pt idx="1666">
                  <c:v>0</c:v>
                </c:pt>
                <c:pt idx="1667">
                  <c:v>24.1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59.7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34.7</c:v>
                </c:pt>
                <c:pt idx="1683">
                  <c:v>0</c:v>
                </c:pt>
                <c:pt idx="1684">
                  <c:v>51.5</c:v>
                </c:pt>
                <c:pt idx="1685">
                  <c:v>49.4</c:v>
                </c:pt>
                <c:pt idx="1686">
                  <c:v>42.9</c:v>
                </c:pt>
                <c:pt idx="1687">
                  <c:v>27.5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19.2</c:v>
                </c:pt>
                <c:pt idx="1692">
                  <c:v>29.1</c:v>
                </c:pt>
                <c:pt idx="1693">
                  <c:v>50.2</c:v>
                </c:pt>
                <c:pt idx="1694">
                  <c:v>19.2</c:v>
                </c:pt>
                <c:pt idx="1695">
                  <c:v>0</c:v>
                </c:pt>
                <c:pt idx="1696">
                  <c:v>24.3</c:v>
                </c:pt>
                <c:pt idx="1697">
                  <c:v>19.6</c:v>
                </c:pt>
                <c:pt idx="1698">
                  <c:v>19.6</c:v>
                </c:pt>
                <c:pt idx="1699">
                  <c:v>0</c:v>
                </c:pt>
                <c:pt idx="1700">
                  <c:v>5.7</c:v>
                </c:pt>
                <c:pt idx="1701">
                  <c:v>7.1</c:v>
                </c:pt>
                <c:pt idx="1702">
                  <c:v>0</c:v>
                </c:pt>
                <c:pt idx="1703">
                  <c:v>31.8</c:v>
                </c:pt>
                <c:pt idx="1704">
                  <c:v>0</c:v>
                </c:pt>
                <c:pt idx="1705">
                  <c:v>39.1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53.9</c:v>
                </c:pt>
                <c:pt idx="1713">
                  <c:v>31.7</c:v>
                </c:pt>
                <c:pt idx="1714">
                  <c:v>21.7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58.5</c:v>
                </c:pt>
                <c:pt idx="1722">
                  <c:v>41.5</c:v>
                </c:pt>
                <c:pt idx="1723">
                  <c:v>55.9</c:v>
                </c:pt>
                <c:pt idx="1724">
                  <c:v>59.7</c:v>
                </c:pt>
                <c:pt idx="1725">
                  <c:v>17.4</c:v>
                </c:pt>
                <c:pt idx="1726">
                  <c:v>24.8</c:v>
                </c:pt>
                <c:pt idx="1727">
                  <c:v>0</c:v>
                </c:pt>
                <c:pt idx="1728">
                  <c:v>6.4</c:v>
                </c:pt>
                <c:pt idx="1729">
                  <c:v>0</c:v>
                </c:pt>
                <c:pt idx="1730">
                  <c:v>12.3</c:v>
                </c:pt>
                <c:pt idx="1731">
                  <c:v>46.7</c:v>
                </c:pt>
                <c:pt idx="1732">
                  <c:v>26.8</c:v>
                </c:pt>
                <c:pt idx="1733">
                  <c:v>56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14.3</c:v>
                </c:pt>
                <c:pt idx="1742">
                  <c:v>5.9</c:v>
                </c:pt>
                <c:pt idx="1743">
                  <c:v>5.3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50</c:v>
                </c:pt>
                <c:pt idx="1748">
                  <c:v>50</c:v>
                </c:pt>
                <c:pt idx="1749">
                  <c:v>30.9</c:v>
                </c:pt>
                <c:pt idx="1750">
                  <c:v>48.1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40</c:v>
                </c:pt>
                <c:pt idx="1759">
                  <c:v>16.1</c:v>
                </c:pt>
                <c:pt idx="1760">
                  <c:v>0</c:v>
                </c:pt>
                <c:pt idx="1761">
                  <c:v>23.1</c:v>
                </c:pt>
                <c:pt idx="1762">
                  <c:v>57.1</c:v>
                </c:pt>
                <c:pt idx="1763">
                  <c:v>3.6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29.6</c:v>
                </c:pt>
                <c:pt idx="1769">
                  <c:v>0</c:v>
                </c:pt>
                <c:pt idx="1770">
                  <c:v>39.4</c:v>
                </c:pt>
                <c:pt idx="1771">
                  <c:v>0</c:v>
                </c:pt>
                <c:pt idx="1772">
                  <c:v>40.8</c:v>
                </c:pt>
                <c:pt idx="1773">
                  <c:v>0</c:v>
                </c:pt>
                <c:pt idx="1774">
                  <c:v>4.2</c:v>
                </c:pt>
                <c:pt idx="1775">
                  <c:v>0</c:v>
                </c:pt>
                <c:pt idx="1776">
                  <c:v>32.7</c:v>
                </c:pt>
                <c:pt idx="1777">
                  <c:v>18</c:v>
                </c:pt>
                <c:pt idx="1778">
                  <c:v>0</c:v>
                </c:pt>
                <c:pt idx="1779">
                  <c:v>0</c:v>
                </c:pt>
                <c:pt idx="1780">
                  <c:v>55.9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40.1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1.4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28.9</c:v>
                </c:pt>
                <c:pt idx="1797">
                  <c:v>27.3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32.6</c:v>
                </c:pt>
                <c:pt idx="1803">
                  <c:v>54.3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8.8</c:v>
                </c:pt>
                <c:pt idx="1811">
                  <c:v>0</c:v>
                </c:pt>
                <c:pt idx="1812">
                  <c:v>1.2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57.9</c:v>
                </c:pt>
                <c:pt idx="1817">
                  <c:v>55</c:v>
                </c:pt>
                <c:pt idx="1818">
                  <c:v>0</c:v>
                </c:pt>
                <c:pt idx="1819">
                  <c:v>15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49.4</c:v>
                </c:pt>
                <c:pt idx="1824">
                  <c:v>6.7</c:v>
                </c:pt>
                <c:pt idx="1825">
                  <c:v>48.3</c:v>
                </c:pt>
                <c:pt idx="1826">
                  <c:v>16.8</c:v>
                </c:pt>
                <c:pt idx="1827">
                  <c:v>19.9</c:v>
                </c:pt>
                <c:pt idx="1828">
                  <c:v>27.1</c:v>
                </c:pt>
                <c:pt idx="1829">
                  <c:v>5.9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50.2</c:v>
                </c:pt>
                <c:pt idx="1836">
                  <c:v>0</c:v>
                </c:pt>
                <c:pt idx="1837">
                  <c:v>43.1</c:v>
                </c:pt>
                <c:pt idx="1838">
                  <c:v>38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54.6</c:v>
                </c:pt>
                <c:pt idx="1848">
                  <c:v>12.9</c:v>
                </c:pt>
                <c:pt idx="1849">
                  <c:v>43</c:v>
                </c:pt>
                <c:pt idx="1850">
                  <c:v>6.1</c:v>
                </c:pt>
                <c:pt idx="1851">
                  <c:v>0</c:v>
                </c:pt>
                <c:pt idx="1852">
                  <c:v>6.4</c:v>
                </c:pt>
                <c:pt idx="1853">
                  <c:v>7.4</c:v>
                </c:pt>
                <c:pt idx="1854">
                  <c:v>0</c:v>
                </c:pt>
                <c:pt idx="1855">
                  <c:v>56.3</c:v>
                </c:pt>
                <c:pt idx="1856">
                  <c:v>0</c:v>
                </c:pt>
                <c:pt idx="1857">
                  <c:v>14.7</c:v>
                </c:pt>
                <c:pt idx="1858">
                  <c:v>34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40</c:v>
                </c:pt>
                <c:pt idx="1863">
                  <c:v>0</c:v>
                </c:pt>
                <c:pt idx="1864">
                  <c:v>35</c:v>
                </c:pt>
                <c:pt idx="1865">
                  <c:v>21.6</c:v>
                </c:pt>
                <c:pt idx="1866">
                  <c:v>0</c:v>
                </c:pt>
                <c:pt idx="1867">
                  <c:v>0</c:v>
                </c:pt>
                <c:pt idx="1868">
                  <c:v>48.5</c:v>
                </c:pt>
                <c:pt idx="1869">
                  <c:v>33.8</c:v>
                </c:pt>
                <c:pt idx="1870">
                  <c:v>7.8</c:v>
                </c:pt>
                <c:pt idx="1871">
                  <c:v>0</c:v>
                </c:pt>
                <c:pt idx="1872">
                  <c:v>38.1</c:v>
                </c:pt>
                <c:pt idx="1873">
                  <c:v>5.1</c:v>
                </c:pt>
                <c:pt idx="1874">
                  <c:v>0</c:v>
                </c:pt>
                <c:pt idx="1875">
                  <c:v>9.7</c:v>
                </c:pt>
                <c:pt idx="1876">
                  <c:v>0</c:v>
                </c:pt>
                <c:pt idx="1877">
                  <c:v>0</c:v>
                </c:pt>
                <c:pt idx="1878">
                  <c:v>40.3</c:v>
                </c:pt>
                <c:pt idx="1879">
                  <c:v>10.2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2.7</c:v>
                </c:pt>
                <c:pt idx="1885">
                  <c:v>0</c:v>
                </c:pt>
                <c:pt idx="1886">
                  <c:v>0</c:v>
                </c:pt>
                <c:pt idx="1887">
                  <c:v>58.1</c:v>
                </c:pt>
                <c:pt idx="1888">
                  <c:v>0</c:v>
                </c:pt>
                <c:pt idx="1889">
                  <c:v>0</c:v>
                </c:pt>
                <c:pt idx="1890">
                  <c:v>18.1</c:v>
                </c:pt>
                <c:pt idx="1891">
                  <c:v>18.9</c:v>
                </c:pt>
                <c:pt idx="1892">
                  <c:v>0</c:v>
                </c:pt>
                <c:pt idx="1893">
                  <c:v>16.2</c:v>
                </c:pt>
                <c:pt idx="1894">
                  <c:v>0</c:v>
                </c:pt>
                <c:pt idx="1895">
                  <c:v>27.3</c:v>
                </c:pt>
                <c:pt idx="1896">
                  <c:v>0</c:v>
                </c:pt>
                <c:pt idx="1897">
                  <c:v>2.7</c:v>
                </c:pt>
                <c:pt idx="1898">
                  <c:v>7.8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37.7</c:v>
                </c:pt>
                <c:pt idx="1903">
                  <c:v>24.2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26</c:v>
                </c:pt>
                <c:pt idx="1909">
                  <c:v>0</c:v>
                </c:pt>
                <c:pt idx="1910">
                  <c:v>53.7</c:v>
                </c:pt>
                <c:pt idx="1911">
                  <c:v>0</c:v>
                </c:pt>
                <c:pt idx="1912">
                  <c:v>24.2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58.7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24.3</c:v>
                </c:pt>
                <c:pt idx="1922">
                  <c:v>0</c:v>
                </c:pt>
                <c:pt idx="1923">
                  <c:v>59.3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56.4</c:v>
                </c:pt>
                <c:pt idx="1931">
                  <c:v>17.4</c:v>
                </c:pt>
                <c:pt idx="1932">
                  <c:v>0</c:v>
                </c:pt>
                <c:pt idx="1933">
                  <c:v>0</c:v>
                </c:pt>
                <c:pt idx="1934">
                  <c:v>28.1</c:v>
                </c:pt>
                <c:pt idx="1935">
                  <c:v>50.7</c:v>
                </c:pt>
                <c:pt idx="1936">
                  <c:v>5.1</c:v>
                </c:pt>
                <c:pt idx="1937">
                  <c:v>29.3</c:v>
                </c:pt>
                <c:pt idx="1938">
                  <c:v>57.9</c:v>
                </c:pt>
                <c:pt idx="1939">
                  <c:v>52.8</c:v>
                </c:pt>
                <c:pt idx="1940">
                  <c:v>45.4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59.8</c:v>
                </c:pt>
                <c:pt idx="1950">
                  <c:v>0</c:v>
                </c:pt>
                <c:pt idx="1951">
                  <c:v>32</c:v>
                </c:pt>
                <c:pt idx="1952">
                  <c:v>20.3</c:v>
                </c:pt>
                <c:pt idx="1953">
                  <c:v>0</c:v>
                </c:pt>
                <c:pt idx="1954">
                  <c:v>14.4</c:v>
                </c:pt>
                <c:pt idx="1955">
                  <c:v>0</c:v>
                </c:pt>
                <c:pt idx="1956">
                  <c:v>0</c:v>
                </c:pt>
                <c:pt idx="1957">
                  <c:v>56.4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32.8</c:v>
                </c:pt>
                <c:pt idx="1965">
                  <c:v>0</c:v>
                </c:pt>
                <c:pt idx="1966">
                  <c:v>0</c:v>
                </c:pt>
                <c:pt idx="1967">
                  <c:v>31.1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10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37.9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8.9</c:v>
                </c:pt>
                <c:pt idx="1988">
                  <c:v>19</c:v>
                </c:pt>
                <c:pt idx="1989">
                  <c:v>17.4</c:v>
                </c:pt>
                <c:pt idx="1990">
                  <c:v>0</c:v>
                </c:pt>
                <c:pt idx="1991">
                  <c:v>18.4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45.4</c:v>
                </c:pt>
                <c:pt idx="1998">
                  <c:v>0</c:v>
                </c:pt>
                <c:pt idx="1999">
                  <c:v>41.3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42.2</c:v>
                </c:pt>
                <c:pt idx="2005">
                  <c:v>0</c:v>
                </c:pt>
                <c:pt idx="2006">
                  <c:v>5.7</c:v>
                </c:pt>
                <c:pt idx="2007">
                  <c:v>0</c:v>
                </c:pt>
                <c:pt idx="2008">
                  <c:v>3.2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18.8</c:v>
                </c:pt>
                <c:pt idx="2013">
                  <c:v>50.7</c:v>
                </c:pt>
                <c:pt idx="2014">
                  <c:v>0</c:v>
                </c:pt>
                <c:pt idx="2015">
                  <c:v>0</c:v>
                </c:pt>
                <c:pt idx="2016">
                  <c:v>7.4</c:v>
                </c:pt>
                <c:pt idx="2017">
                  <c:v>5.5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24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20.3</c:v>
                </c:pt>
                <c:pt idx="2031">
                  <c:v>44.7</c:v>
                </c:pt>
                <c:pt idx="2032">
                  <c:v>0</c:v>
                </c:pt>
                <c:pt idx="2033">
                  <c:v>26.5</c:v>
                </c:pt>
                <c:pt idx="2034">
                  <c:v>27.6</c:v>
                </c:pt>
                <c:pt idx="2035">
                  <c:v>14.6</c:v>
                </c:pt>
                <c:pt idx="2036">
                  <c:v>41.2</c:v>
                </c:pt>
                <c:pt idx="2037">
                  <c:v>34.3</c:v>
                </c:pt>
                <c:pt idx="2038">
                  <c:v>0</c:v>
                </c:pt>
                <c:pt idx="2039">
                  <c:v>0</c:v>
                </c:pt>
                <c:pt idx="2040">
                  <c:v>55.7</c:v>
                </c:pt>
                <c:pt idx="2041">
                  <c:v>26.4</c:v>
                </c:pt>
                <c:pt idx="2042">
                  <c:v>0</c:v>
                </c:pt>
                <c:pt idx="2043">
                  <c:v>0</c:v>
                </c:pt>
                <c:pt idx="2044">
                  <c:v>56.1</c:v>
                </c:pt>
                <c:pt idx="2045">
                  <c:v>0</c:v>
                </c:pt>
                <c:pt idx="2046">
                  <c:v>31.6</c:v>
                </c:pt>
                <c:pt idx="2047">
                  <c:v>24.5</c:v>
                </c:pt>
                <c:pt idx="2048">
                  <c:v>10.8</c:v>
                </c:pt>
                <c:pt idx="2049">
                  <c:v>48.2</c:v>
                </c:pt>
                <c:pt idx="2050">
                  <c:v>0</c:v>
                </c:pt>
                <c:pt idx="2051">
                  <c:v>20.8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12</c:v>
                </c:pt>
                <c:pt idx="2056">
                  <c:v>43.8</c:v>
                </c:pt>
                <c:pt idx="2057">
                  <c:v>0</c:v>
                </c:pt>
                <c:pt idx="2058">
                  <c:v>54.1</c:v>
                </c:pt>
                <c:pt idx="2059">
                  <c:v>0</c:v>
                </c:pt>
                <c:pt idx="2060">
                  <c:v>44.6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31</c:v>
                </c:pt>
                <c:pt idx="2068">
                  <c:v>0</c:v>
                </c:pt>
                <c:pt idx="2069">
                  <c:v>11.2</c:v>
                </c:pt>
                <c:pt idx="2070">
                  <c:v>17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36.7</c:v>
                </c:pt>
                <c:pt idx="2082">
                  <c:v>58.5</c:v>
                </c:pt>
                <c:pt idx="2083">
                  <c:v>35.3</c:v>
                </c:pt>
                <c:pt idx="2084">
                  <c:v>0</c:v>
                </c:pt>
                <c:pt idx="2085">
                  <c:v>47.6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22.2</c:v>
                </c:pt>
                <c:pt idx="2094">
                  <c:v>0</c:v>
                </c:pt>
                <c:pt idx="2095">
                  <c:v>30.7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38.5</c:v>
                </c:pt>
                <c:pt idx="2107">
                  <c:v>0</c:v>
                </c:pt>
                <c:pt idx="2108">
                  <c:v>0</c:v>
                </c:pt>
                <c:pt idx="2109">
                  <c:v>7.7</c:v>
                </c:pt>
                <c:pt idx="2110">
                  <c:v>8.3</c:v>
                </c:pt>
                <c:pt idx="2111">
                  <c:v>0</c:v>
                </c:pt>
                <c:pt idx="2112">
                  <c:v>5.8</c:v>
                </c:pt>
                <c:pt idx="2113">
                  <c:v>51</c:v>
                </c:pt>
                <c:pt idx="2114">
                  <c:v>14.5</c:v>
                </c:pt>
                <c:pt idx="2115">
                  <c:v>49.9</c:v>
                </c:pt>
                <c:pt idx="2116">
                  <c:v>39.9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6.6</c:v>
                </c:pt>
                <c:pt idx="2121">
                  <c:v>0</c:v>
                </c:pt>
                <c:pt idx="2122">
                  <c:v>0</c:v>
                </c:pt>
                <c:pt idx="2123">
                  <c:v>44.1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26.6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9.5</c:v>
                </c:pt>
                <c:pt idx="2134">
                  <c:v>58.1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6.3</c:v>
                </c:pt>
                <c:pt idx="2141">
                  <c:v>17.3</c:v>
                </c:pt>
                <c:pt idx="2142">
                  <c:v>8.6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8.9</c:v>
                </c:pt>
                <c:pt idx="2148">
                  <c:v>37.7</c:v>
                </c:pt>
                <c:pt idx="2149">
                  <c:v>0</c:v>
                </c:pt>
                <c:pt idx="2150">
                  <c:v>55.3</c:v>
                </c:pt>
                <c:pt idx="2151">
                  <c:v>43.5</c:v>
                </c:pt>
                <c:pt idx="2152">
                  <c:v>36.8</c:v>
                </c:pt>
                <c:pt idx="2153">
                  <c:v>51.8</c:v>
                </c:pt>
                <c:pt idx="2154">
                  <c:v>19.2</c:v>
                </c:pt>
                <c:pt idx="2155">
                  <c:v>15.2</c:v>
                </c:pt>
                <c:pt idx="2156">
                  <c:v>0</c:v>
                </c:pt>
                <c:pt idx="2157">
                  <c:v>46.9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31.4</c:v>
                </c:pt>
                <c:pt idx="2165">
                  <c:v>0</c:v>
                </c:pt>
                <c:pt idx="2166">
                  <c:v>16.5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54.8</c:v>
                </c:pt>
                <c:pt idx="2174">
                  <c:v>0</c:v>
                </c:pt>
                <c:pt idx="2175">
                  <c:v>0</c:v>
                </c:pt>
              </c:numCache>
            </c:numRef>
          </c:xVal>
          <c:yVal>
            <c:numRef>
              <c:f>'Raw Data'!$K$2:$K$2177</c:f>
              <c:numCache>
                <c:formatCode>General</c:formatCode>
                <c:ptCount val="2176"/>
                <c:pt idx="0">
                  <c:v>37</c:v>
                </c:pt>
                <c:pt idx="1">
                  <c:v>2</c:v>
                </c:pt>
                <c:pt idx="2">
                  <c:v>22</c:v>
                </c:pt>
                <c:pt idx="3">
                  <c:v>48</c:v>
                </c:pt>
                <c:pt idx="4">
                  <c:v>10</c:v>
                </c:pt>
                <c:pt idx="5">
                  <c:v>38</c:v>
                </c:pt>
                <c:pt idx="6">
                  <c:v>38</c:v>
                </c:pt>
                <c:pt idx="7">
                  <c:v>47</c:v>
                </c:pt>
                <c:pt idx="8">
                  <c:v>14</c:v>
                </c:pt>
                <c:pt idx="9">
                  <c:v>37</c:v>
                </c:pt>
                <c:pt idx="10">
                  <c:v>3</c:v>
                </c:pt>
                <c:pt idx="11">
                  <c:v>2</c:v>
                </c:pt>
                <c:pt idx="12">
                  <c:v>43</c:v>
                </c:pt>
                <c:pt idx="13">
                  <c:v>39</c:v>
                </c:pt>
                <c:pt idx="14">
                  <c:v>7</c:v>
                </c:pt>
                <c:pt idx="15">
                  <c:v>17</c:v>
                </c:pt>
                <c:pt idx="16">
                  <c:v>14</c:v>
                </c:pt>
                <c:pt idx="17">
                  <c:v>14</c:v>
                </c:pt>
                <c:pt idx="18">
                  <c:v>16</c:v>
                </c:pt>
                <c:pt idx="19">
                  <c:v>1</c:v>
                </c:pt>
                <c:pt idx="20">
                  <c:v>42</c:v>
                </c:pt>
                <c:pt idx="21">
                  <c:v>10</c:v>
                </c:pt>
                <c:pt idx="22">
                  <c:v>46</c:v>
                </c:pt>
                <c:pt idx="23">
                  <c:v>37</c:v>
                </c:pt>
                <c:pt idx="24">
                  <c:v>38</c:v>
                </c:pt>
                <c:pt idx="25">
                  <c:v>16</c:v>
                </c:pt>
                <c:pt idx="26">
                  <c:v>25</c:v>
                </c:pt>
                <c:pt idx="27">
                  <c:v>28</c:v>
                </c:pt>
                <c:pt idx="28">
                  <c:v>6</c:v>
                </c:pt>
                <c:pt idx="29">
                  <c:v>1</c:v>
                </c:pt>
                <c:pt idx="30">
                  <c:v>37</c:v>
                </c:pt>
                <c:pt idx="31">
                  <c:v>5</c:v>
                </c:pt>
                <c:pt idx="32">
                  <c:v>43</c:v>
                </c:pt>
                <c:pt idx="33">
                  <c:v>44</c:v>
                </c:pt>
                <c:pt idx="34">
                  <c:v>38</c:v>
                </c:pt>
                <c:pt idx="35">
                  <c:v>37</c:v>
                </c:pt>
                <c:pt idx="36">
                  <c:v>31</c:v>
                </c:pt>
                <c:pt idx="37">
                  <c:v>32</c:v>
                </c:pt>
                <c:pt idx="38">
                  <c:v>10</c:v>
                </c:pt>
                <c:pt idx="39">
                  <c:v>40</c:v>
                </c:pt>
                <c:pt idx="40">
                  <c:v>6</c:v>
                </c:pt>
                <c:pt idx="41">
                  <c:v>22</c:v>
                </c:pt>
                <c:pt idx="42">
                  <c:v>36</c:v>
                </c:pt>
                <c:pt idx="43">
                  <c:v>36</c:v>
                </c:pt>
                <c:pt idx="44">
                  <c:v>11</c:v>
                </c:pt>
                <c:pt idx="45">
                  <c:v>33</c:v>
                </c:pt>
                <c:pt idx="46">
                  <c:v>13</c:v>
                </c:pt>
                <c:pt idx="47">
                  <c:v>42</c:v>
                </c:pt>
                <c:pt idx="48">
                  <c:v>7</c:v>
                </c:pt>
                <c:pt idx="49">
                  <c:v>43</c:v>
                </c:pt>
                <c:pt idx="50">
                  <c:v>3</c:v>
                </c:pt>
                <c:pt idx="51">
                  <c:v>50</c:v>
                </c:pt>
                <c:pt idx="52">
                  <c:v>14</c:v>
                </c:pt>
                <c:pt idx="53">
                  <c:v>21</c:v>
                </c:pt>
                <c:pt idx="54">
                  <c:v>21</c:v>
                </c:pt>
                <c:pt idx="55">
                  <c:v>42</c:v>
                </c:pt>
                <c:pt idx="56">
                  <c:v>35</c:v>
                </c:pt>
                <c:pt idx="57">
                  <c:v>19</c:v>
                </c:pt>
                <c:pt idx="58">
                  <c:v>39</c:v>
                </c:pt>
                <c:pt idx="59">
                  <c:v>27</c:v>
                </c:pt>
                <c:pt idx="60">
                  <c:v>15</c:v>
                </c:pt>
                <c:pt idx="61">
                  <c:v>33</c:v>
                </c:pt>
                <c:pt idx="62">
                  <c:v>30</c:v>
                </c:pt>
                <c:pt idx="63">
                  <c:v>11</c:v>
                </c:pt>
                <c:pt idx="64">
                  <c:v>20</c:v>
                </c:pt>
                <c:pt idx="65">
                  <c:v>21</c:v>
                </c:pt>
                <c:pt idx="66">
                  <c:v>44</c:v>
                </c:pt>
                <c:pt idx="67">
                  <c:v>17</c:v>
                </c:pt>
                <c:pt idx="68">
                  <c:v>17</c:v>
                </c:pt>
                <c:pt idx="69">
                  <c:v>17</c:v>
                </c:pt>
                <c:pt idx="70">
                  <c:v>46</c:v>
                </c:pt>
                <c:pt idx="71">
                  <c:v>49</c:v>
                </c:pt>
                <c:pt idx="72">
                  <c:v>21</c:v>
                </c:pt>
                <c:pt idx="73">
                  <c:v>8</c:v>
                </c:pt>
                <c:pt idx="74">
                  <c:v>32</c:v>
                </c:pt>
                <c:pt idx="75">
                  <c:v>22</c:v>
                </c:pt>
                <c:pt idx="76">
                  <c:v>43</c:v>
                </c:pt>
                <c:pt idx="77">
                  <c:v>7</c:v>
                </c:pt>
                <c:pt idx="78">
                  <c:v>36</c:v>
                </c:pt>
                <c:pt idx="79">
                  <c:v>38</c:v>
                </c:pt>
                <c:pt idx="80">
                  <c:v>23</c:v>
                </c:pt>
                <c:pt idx="81">
                  <c:v>15</c:v>
                </c:pt>
                <c:pt idx="82">
                  <c:v>34</c:v>
                </c:pt>
                <c:pt idx="83">
                  <c:v>50</c:v>
                </c:pt>
                <c:pt idx="84">
                  <c:v>50</c:v>
                </c:pt>
                <c:pt idx="85">
                  <c:v>45</c:v>
                </c:pt>
                <c:pt idx="86">
                  <c:v>26</c:v>
                </c:pt>
                <c:pt idx="87">
                  <c:v>17</c:v>
                </c:pt>
                <c:pt idx="88">
                  <c:v>47</c:v>
                </c:pt>
                <c:pt idx="89">
                  <c:v>46</c:v>
                </c:pt>
                <c:pt idx="90">
                  <c:v>50</c:v>
                </c:pt>
                <c:pt idx="91">
                  <c:v>27</c:v>
                </c:pt>
                <c:pt idx="92">
                  <c:v>7</c:v>
                </c:pt>
                <c:pt idx="93">
                  <c:v>26</c:v>
                </c:pt>
                <c:pt idx="94">
                  <c:v>14</c:v>
                </c:pt>
                <c:pt idx="95">
                  <c:v>12</c:v>
                </c:pt>
                <c:pt idx="96">
                  <c:v>12</c:v>
                </c:pt>
                <c:pt idx="97">
                  <c:v>36</c:v>
                </c:pt>
                <c:pt idx="98">
                  <c:v>40</c:v>
                </c:pt>
                <c:pt idx="99">
                  <c:v>39</c:v>
                </c:pt>
                <c:pt idx="100">
                  <c:v>42</c:v>
                </c:pt>
                <c:pt idx="101">
                  <c:v>34</c:v>
                </c:pt>
                <c:pt idx="102">
                  <c:v>25</c:v>
                </c:pt>
                <c:pt idx="103">
                  <c:v>32</c:v>
                </c:pt>
                <c:pt idx="104">
                  <c:v>10</c:v>
                </c:pt>
                <c:pt idx="105">
                  <c:v>21</c:v>
                </c:pt>
                <c:pt idx="106">
                  <c:v>44</c:v>
                </c:pt>
                <c:pt idx="107">
                  <c:v>41</c:v>
                </c:pt>
                <c:pt idx="108">
                  <c:v>23</c:v>
                </c:pt>
                <c:pt idx="109">
                  <c:v>5</c:v>
                </c:pt>
                <c:pt idx="110">
                  <c:v>9</c:v>
                </c:pt>
                <c:pt idx="111">
                  <c:v>4</c:v>
                </c:pt>
                <c:pt idx="112">
                  <c:v>28</c:v>
                </c:pt>
                <c:pt idx="113">
                  <c:v>27</c:v>
                </c:pt>
                <c:pt idx="114">
                  <c:v>8</c:v>
                </c:pt>
                <c:pt idx="115">
                  <c:v>37</c:v>
                </c:pt>
                <c:pt idx="116">
                  <c:v>48</c:v>
                </c:pt>
                <c:pt idx="117">
                  <c:v>12</c:v>
                </c:pt>
                <c:pt idx="118">
                  <c:v>49</c:v>
                </c:pt>
                <c:pt idx="119">
                  <c:v>27</c:v>
                </c:pt>
                <c:pt idx="120">
                  <c:v>27</c:v>
                </c:pt>
                <c:pt idx="121">
                  <c:v>34</c:v>
                </c:pt>
                <c:pt idx="122">
                  <c:v>24</c:v>
                </c:pt>
                <c:pt idx="123">
                  <c:v>40</c:v>
                </c:pt>
                <c:pt idx="124">
                  <c:v>28</c:v>
                </c:pt>
                <c:pt idx="125">
                  <c:v>37</c:v>
                </c:pt>
                <c:pt idx="126">
                  <c:v>50</c:v>
                </c:pt>
                <c:pt idx="127">
                  <c:v>7</c:v>
                </c:pt>
                <c:pt idx="128">
                  <c:v>1</c:v>
                </c:pt>
                <c:pt idx="129">
                  <c:v>36</c:v>
                </c:pt>
                <c:pt idx="130">
                  <c:v>11</c:v>
                </c:pt>
                <c:pt idx="131">
                  <c:v>13</c:v>
                </c:pt>
                <c:pt idx="132">
                  <c:v>31</c:v>
                </c:pt>
                <c:pt idx="133">
                  <c:v>9</c:v>
                </c:pt>
                <c:pt idx="134">
                  <c:v>9</c:v>
                </c:pt>
                <c:pt idx="135">
                  <c:v>50</c:v>
                </c:pt>
                <c:pt idx="136">
                  <c:v>24</c:v>
                </c:pt>
                <c:pt idx="137">
                  <c:v>16</c:v>
                </c:pt>
                <c:pt idx="138">
                  <c:v>50</c:v>
                </c:pt>
                <c:pt idx="139">
                  <c:v>31</c:v>
                </c:pt>
                <c:pt idx="140">
                  <c:v>5</c:v>
                </c:pt>
                <c:pt idx="141">
                  <c:v>29</c:v>
                </c:pt>
                <c:pt idx="142">
                  <c:v>21</c:v>
                </c:pt>
                <c:pt idx="143">
                  <c:v>41</c:v>
                </c:pt>
                <c:pt idx="144">
                  <c:v>34</c:v>
                </c:pt>
                <c:pt idx="145">
                  <c:v>30</c:v>
                </c:pt>
                <c:pt idx="146">
                  <c:v>50</c:v>
                </c:pt>
                <c:pt idx="147">
                  <c:v>50</c:v>
                </c:pt>
                <c:pt idx="148">
                  <c:v>3</c:v>
                </c:pt>
                <c:pt idx="149">
                  <c:v>18</c:v>
                </c:pt>
                <c:pt idx="150">
                  <c:v>46</c:v>
                </c:pt>
                <c:pt idx="151">
                  <c:v>15</c:v>
                </c:pt>
                <c:pt idx="152">
                  <c:v>5</c:v>
                </c:pt>
                <c:pt idx="153">
                  <c:v>1</c:v>
                </c:pt>
                <c:pt idx="154">
                  <c:v>28</c:v>
                </c:pt>
                <c:pt idx="155">
                  <c:v>21</c:v>
                </c:pt>
                <c:pt idx="156">
                  <c:v>49</c:v>
                </c:pt>
                <c:pt idx="157">
                  <c:v>17</c:v>
                </c:pt>
                <c:pt idx="158">
                  <c:v>4</c:v>
                </c:pt>
                <c:pt idx="159">
                  <c:v>30</c:v>
                </c:pt>
                <c:pt idx="160">
                  <c:v>41</c:v>
                </c:pt>
                <c:pt idx="161">
                  <c:v>18</c:v>
                </c:pt>
                <c:pt idx="162">
                  <c:v>35</c:v>
                </c:pt>
                <c:pt idx="163">
                  <c:v>2</c:v>
                </c:pt>
                <c:pt idx="164">
                  <c:v>47</c:v>
                </c:pt>
                <c:pt idx="165">
                  <c:v>33</c:v>
                </c:pt>
                <c:pt idx="166">
                  <c:v>40</c:v>
                </c:pt>
                <c:pt idx="167">
                  <c:v>34</c:v>
                </c:pt>
                <c:pt idx="168">
                  <c:v>4</c:v>
                </c:pt>
                <c:pt idx="169">
                  <c:v>33</c:v>
                </c:pt>
                <c:pt idx="170">
                  <c:v>40</c:v>
                </c:pt>
                <c:pt idx="171">
                  <c:v>13</c:v>
                </c:pt>
                <c:pt idx="172">
                  <c:v>47</c:v>
                </c:pt>
                <c:pt idx="173">
                  <c:v>41</c:v>
                </c:pt>
                <c:pt idx="174">
                  <c:v>37</c:v>
                </c:pt>
                <c:pt idx="175">
                  <c:v>4</c:v>
                </c:pt>
                <c:pt idx="176">
                  <c:v>5</c:v>
                </c:pt>
                <c:pt idx="177">
                  <c:v>47</c:v>
                </c:pt>
                <c:pt idx="178">
                  <c:v>16</c:v>
                </c:pt>
                <c:pt idx="179">
                  <c:v>18</c:v>
                </c:pt>
                <c:pt idx="180">
                  <c:v>34</c:v>
                </c:pt>
                <c:pt idx="181">
                  <c:v>7</c:v>
                </c:pt>
                <c:pt idx="182">
                  <c:v>23</c:v>
                </c:pt>
                <c:pt idx="183">
                  <c:v>48</c:v>
                </c:pt>
                <c:pt idx="184">
                  <c:v>9</c:v>
                </c:pt>
                <c:pt idx="185">
                  <c:v>37</c:v>
                </c:pt>
                <c:pt idx="186">
                  <c:v>20</c:v>
                </c:pt>
                <c:pt idx="187">
                  <c:v>39</c:v>
                </c:pt>
                <c:pt idx="188">
                  <c:v>47</c:v>
                </c:pt>
                <c:pt idx="189">
                  <c:v>32</c:v>
                </c:pt>
                <c:pt idx="190">
                  <c:v>10</c:v>
                </c:pt>
                <c:pt idx="191">
                  <c:v>3</c:v>
                </c:pt>
                <c:pt idx="192">
                  <c:v>42</c:v>
                </c:pt>
                <c:pt idx="193">
                  <c:v>12</c:v>
                </c:pt>
                <c:pt idx="194">
                  <c:v>25</c:v>
                </c:pt>
                <c:pt idx="195">
                  <c:v>41</c:v>
                </c:pt>
                <c:pt idx="196">
                  <c:v>27</c:v>
                </c:pt>
                <c:pt idx="197">
                  <c:v>22</c:v>
                </c:pt>
                <c:pt idx="198">
                  <c:v>23</c:v>
                </c:pt>
                <c:pt idx="199">
                  <c:v>4</c:v>
                </c:pt>
                <c:pt idx="200">
                  <c:v>18</c:v>
                </c:pt>
                <c:pt idx="201">
                  <c:v>32</c:v>
                </c:pt>
                <c:pt idx="202">
                  <c:v>10</c:v>
                </c:pt>
                <c:pt idx="203">
                  <c:v>20</c:v>
                </c:pt>
                <c:pt idx="204">
                  <c:v>43</c:v>
                </c:pt>
                <c:pt idx="205">
                  <c:v>12</c:v>
                </c:pt>
                <c:pt idx="206">
                  <c:v>44</c:v>
                </c:pt>
                <c:pt idx="207">
                  <c:v>33</c:v>
                </c:pt>
                <c:pt idx="208">
                  <c:v>49</c:v>
                </c:pt>
                <c:pt idx="209">
                  <c:v>40</c:v>
                </c:pt>
                <c:pt idx="210">
                  <c:v>32</c:v>
                </c:pt>
                <c:pt idx="211">
                  <c:v>46</c:v>
                </c:pt>
                <c:pt idx="212">
                  <c:v>23</c:v>
                </c:pt>
                <c:pt idx="213">
                  <c:v>11</c:v>
                </c:pt>
                <c:pt idx="214">
                  <c:v>12</c:v>
                </c:pt>
                <c:pt idx="215">
                  <c:v>4</c:v>
                </c:pt>
                <c:pt idx="216">
                  <c:v>4</c:v>
                </c:pt>
                <c:pt idx="217">
                  <c:v>25</c:v>
                </c:pt>
                <c:pt idx="218">
                  <c:v>39</c:v>
                </c:pt>
                <c:pt idx="219">
                  <c:v>41</c:v>
                </c:pt>
                <c:pt idx="220">
                  <c:v>26</c:v>
                </c:pt>
                <c:pt idx="221">
                  <c:v>32</c:v>
                </c:pt>
                <c:pt idx="222">
                  <c:v>17</c:v>
                </c:pt>
                <c:pt idx="223">
                  <c:v>34</c:v>
                </c:pt>
                <c:pt idx="224">
                  <c:v>29</c:v>
                </c:pt>
                <c:pt idx="225">
                  <c:v>3</c:v>
                </c:pt>
                <c:pt idx="226">
                  <c:v>0</c:v>
                </c:pt>
                <c:pt idx="227">
                  <c:v>11</c:v>
                </c:pt>
                <c:pt idx="228">
                  <c:v>18</c:v>
                </c:pt>
                <c:pt idx="229">
                  <c:v>15</c:v>
                </c:pt>
                <c:pt idx="230">
                  <c:v>16</c:v>
                </c:pt>
                <c:pt idx="231">
                  <c:v>24</c:v>
                </c:pt>
                <c:pt idx="232">
                  <c:v>37</c:v>
                </c:pt>
                <c:pt idx="233">
                  <c:v>24</c:v>
                </c:pt>
                <c:pt idx="234">
                  <c:v>2</c:v>
                </c:pt>
                <c:pt idx="235">
                  <c:v>25</c:v>
                </c:pt>
                <c:pt idx="236">
                  <c:v>4</c:v>
                </c:pt>
                <c:pt idx="237">
                  <c:v>14</c:v>
                </c:pt>
                <c:pt idx="238">
                  <c:v>46</c:v>
                </c:pt>
                <c:pt idx="239">
                  <c:v>24</c:v>
                </c:pt>
                <c:pt idx="240">
                  <c:v>33</c:v>
                </c:pt>
                <c:pt idx="241">
                  <c:v>43</c:v>
                </c:pt>
                <c:pt idx="242">
                  <c:v>34</c:v>
                </c:pt>
                <c:pt idx="243">
                  <c:v>12</c:v>
                </c:pt>
                <c:pt idx="244">
                  <c:v>46</c:v>
                </c:pt>
                <c:pt idx="245">
                  <c:v>42</c:v>
                </c:pt>
                <c:pt idx="246">
                  <c:v>45</c:v>
                </c:pt>
                <c:pt idx="247">
                  <c:v>20</c:v>
                </c:pt>
                <c:pt idx="248">
                  <c:v>42</c:v>
                </c:pt>
                <c:pt idx="249">
                  <c:v>33</c:v>
                </c:pt>
                <c:pt idx="250">
                  <c:v>36</c:v>
                </c:pt>
                <c:pt idx="251">
                  <c:v>14</c:v>
                </c:pt>
                <c:pt idx="252">
                  <c:v>48</c:v>
                </c:pt>
                <c:pt idx="253">
                  <c:v>29</c:v>
                </c:pt>
                <c:pt idx="254">
                  <c:v>32</c:v>
                </c:pt>
                <c:pt idx="255">
                  <c:v>20</c:v>
                </c:pt>
                <c:pt idx="256">
                  <c:v>26</c:v>
                </c:pt>
                <c:pt idx="257">
                  <c:v>25</c:v>
                </c:pt>
                <c:pt idx="258">
                  <c:v>39</c:v>
                </c:pt>
                <c:pt idx="259">
                  <c:v>44</c:v>
                </c:pt>
                <c:pt idx="260">
                  <c:v>45</c:v>
                </c:pt>
                <c:pt idx="261">
                  <c:v>44</c:v>
                </c:pt>
                <c:pt idx="262">
                  <c:v>23</c:v>
                </c:pt>
                <c:pt idx="263">
                  <c:v>23</c:v>
                </c:pt>
                <c:pt idx="264">
                  <c:v>8</c:v>
                </c:pt>
                <c:pt idx="265">
                  <c:v>22</c:v>
                </c:pt>
                <c:pt idx="266">
                  <c:v>9</c:v>
                </c:pt>
                <c:pt idx="267">
                  <c:v>33</c:v>
                </c:pt>
                <c:pt idx="268">
                  <c:v>38</c:v>
                </c:pt>
                <c:pt idx="269">
                  <c:v>0</c:v>
                </c:pt>
                <c:pt idx="270">
                  <c:v>15</c:v>
                </c:pt>
                <c:pt idx="271">
                  <c:v>46</c:v>
                </c:pt>
                <c:pt idx="272">
                  <c:v>35</c:v>
                </c:pt>
                <c:pt idx="273">
                  <c:v>0</c:v>
                </c:pt>
                <c:pt idx="274">
                  <c:v>8</c:v>
                </c:pt>
                <c:pt idx="275">
                  <c:v>6</c:v>
                </c:pt>
                <c:pt idx="276">
                  <c:v>45</c:v>
                </c:pt>
                <c:pt idx="277">
                  <c:v>50</c:v>
                </c:pt>
                <c:pt idx="278">
                  <c:v>42</c:v>
                </c:pt>
                <c:pt idx="279">
                  <c:v>29</c:v>
                </c:pt>
                <c:pt idx="280">
                  <c:v>22</c:v>
                </c:pt>
                <c:pt idx="281">
                  <c:v>13</c:v>
                </c:pt>
                <c:pt idx="282">
                  <c:v>37</c:v>
                </c:pt>
                <c:pt idx="283">
                  <c:v>6</c:v>
                </c:pt>
                <c:pt idx="284">
                  <c:v>38</c:v>
                </c:pt>
                <c:pt idx="285">
                  <c:v>38</c:v>
                </c:pt>
                <c:pt idx="286">
                  <c:v>16</c:v>
                </c:pt>
                <c:pt idx="287">
                  <c:v>0</c:v>
                </c:pt>
                <c:pt idx="288">
                  <c:v>5</c:v>
                </c:pt>
                <c:pt idx="289">
                  <c:v>50</c:v>
                </c:pt>
                <c:pt idx="290">
                  <c:v>22</c:v>
                </c:pt>
                <c:pt idx="291">
                  <c:v>12</c:v>
                </c:pt>
                <c:pt idx="292">
                  <c:v>18</c:v>
                </c:pt>
                <c:pt idx="293">
                  <c:v>34</c:v>
                </c:pt>
                <c:pt idx="294">
                  <c:v>45</c:v>
                </c:pt>
                <c:pt idx="295">
                  <c:v>10</c:v>
                </c:pt>
                <c:pt idx="296">
                  <c:v>17</c:v>
                </c:pt>
                <c:pt idx="297">
                  <c:v>17</c:v>
                </c:pt>
                <c:pt idx="298">
                  <c:v>20</c:v>
                </c:pt>
                <c:pt idx="299">
                  <c:v>29</c:v>
                </c:pt>
                <c:pt idx="300">
                  <c:v>33</c:v>
                </c:pt>
                <c:pt idx="301">
                  <c:v>30</c:v>
                </c:pt>
                <c:pt idx="302">
                  <c:v>49</c:v>
                </c:pt>
                <c:pt idx="303">
                  <c:v>34</c:v>
                </c:pt>
                <c:pt idx="304">
                  <c:v>15</c:v>
                </c:pt>
                <c:pt idx="305">
                  <c:v>4</c:v>
                </c:pt>
                <c:pt idx="306">
                  <c:v>42</c:v>
                </c:pt>
                <c:pt idx="307">
                  <c:v>39</c:v>
                </c:pt>
                <c:pt idx="308">
                  <c:v>34</c:v>
                </c:pt>
                <c:pt idx="309">
                  <c:v>7</c:v>
                </c:pt>
                <c:pt idx="310">
                  <c:v>10</c:v>
                </c:pt>
                <c:pt idx="311">
                  <c:v>25</c:v>
                </c:pt>
                <c:pt idx="312">
                  <c:v>11</c:v>
                </c:pt>
                <c:pt idx="313">
                  <c:v>24</c:v>
                </c:pt>
                <c:pt idx="314">
                  <c:v>7</c:v>
                </c:pt>
                <c:pt idx="315">
                  <c:v>20</c:v>
                </c:pt>
                <c:pt idx="316">
                  <c:v>32</c:v>
                </c:pt>
                <c:pt idx="317">
                  <c:v>47</c:v>
                </c:pt>
                <c:pt idx="318">
                  <c:v>15</c:v>
                </c:pt>
                <c:pt idx="319">
                  <c:v>24</c:v>
                </c:pt>
                <c:pt idx="320">
                  <c:v>13</c:v>
                </c:pt>
                <c:pt idx="321">
                  <c:v>27</c:v>
                </c:pt>
                <c:pt idx="322">
                  <c:v>37</c:v>
                </c:pt>
                <c:pt idx="323">
                  <c:v>16</c:v>
                </c:pt>
                <c:pt idx="324">
                  <c:v>21</c:v>
                </c:pt>
                <c:pt idx="325">
                  <c:v>43</c:v>
                </c:pt>
                <c:pt idx="326">
                  <c:v>17</c:v>
                </c:pt>
                <c:pt idx="327">
                  <c:v>34</c:v>
                </c:pt>
                <c:pt idx="328">
                  <c:v>43</c:v>
                </c:pt>
                <c:pt idx="329">
                  <c:v>21</c:v>
                </c:pt>
                <c:pt idx="330">
                  <c:v>31</c:v>
                </c:pt>
                <c:pt idx="331">
                  <c:v>7</c:v>
                </c:pt>
                <c:pt idx="332">
                  <c:v>50</c:v>
                </c:pt>
                <c:pt idx="333">
                  <c:v>46</c:v>
                </c:pt>
                <c:pt idx="334">
                  <c:v>1</c:v>
                </c:pt>
                <c:pt idx="335">
                  <c:v>11</c:v>
                </c:pt>
                <c:pt idx="336">
                  <c:v>25</c:v>
                </c:pt>
                <c:pt idx="337">
                  <c:v>33</c:v>
                </c:pt>
                <c:pt idx="338">
                  <c:v>0</c:v>
                </c:pt>
                <c:pt idx="339">
                  <c:v>43</c:v>
                </c:pt>
                <c:pt idx="340">
                  <c:v>23</c:v>
                </c:pt>
                <c:pt idx="341">
                  <c:v>47</c:v>
                </c:pt>
                <c:pt idx="342">
                  <c:v>12</c:v>
                </c:pt>
                <c:pt idx="343">
                  <c:v>17</c:v>
                </c:pt>
                <c:pt idx="344">
                  <c:v>25</c:v>
                </c:pt>
                <c:pt idx="345">
                  <c:v>47</c:v>
                </c:pt>
                <c:pt idx="346">
                  <c:v>0</c:v>
                </c:pt>
                <c:pt idx="347">
                  <c:v>47</c:v>
                </c:pt>
                <c:pt idx="348">
                  <c:v>35</c:v>
                </c:pt>
                <c:pt idx="349">
                  <c:v>30</c:v>
                </c:pt>
                <c:pt idx="350">
                  <c:v>33</c:v>
                </c:pt>
                <c:pt idx="351">
                  <c:v>8</c:v>
                </c:pt>
                <c:pt idx="352">
                  <c:v>24</c:v>
                </c:pt>
                <c:pt idx="353">
                  <c:v>21</c:v>
                </c:pt>
                <c:pt idx="354">
                  <c:v>28</c:v>
                </c:pt>
                <c:pt idx="355">
                  <c:v>21</c:v>
                </c:pt>
                <c:pt idx="356">
                  <c:v>29</c:v>
                </c:pt>
                <c:pt idx="357">
                  <c:v>4</c:v>
                </c:pt>
                <c:pt idx="358">
                  <c:v>15</c:v>
                </c:pt>
                <c:pt idx="359">
                  <c:v>13</c:v>
                </c:pt>
                <c:pt idx="360">
                  <c:v>42</c:v>
                </c:pt>
                <c:pt idx="361">
                  <c:v>42</c:v>
                </c:pt>
                <c:pt idx="362">
                  <c:v>5</c:v>
                </c:pt>
                <c:pt idx="363">
                  <c:v>28</c:v>
                </c:pt>
                <c:pt idx="364">
                  <c:v>23</c:v>
                </c:pt>
                <c:pt idx="365">
                  <c:v>18</c:v>
                </c:pt>
                <c:pt idx="366">
                  <c:v>34</c:v>
                </c:pt>
                <c:pt idx="367">
                  <c:v>16</c:v>
                </c:pt>
                <c:pt idx="368">
                  <c:v>14</c:v>
                </c:pt>
                <c:pt idx="369">
                  <c:v>49</c:v>
                </c:pt>
                <c:pt idx="370">
                  <c:v>17</c:v>
                </c:pt>
                <c:pt idx="371">
                  <c:v>33</c:v>
                </c:pt>
                <c:pt idx="372">
                  <c:v>48</c:v>
                </c:pt>
                <c:pt idx="373">
                  <c:v>5</c:v>
                </c:pt>
                <c:pt idx="374">
                  <c:v>9</c:v>
                </c:pt>
                <c:pt idx="375">
                  <c:v>34</c:v>
                </c:pt>
                <c:pt idx="376">
                  <c:v>36</c:v>
                </c:pt>
                <c:pt idx="377">
                  <c:v>17</c:v>
                </c:pt>
                <c:pt idx="378">
                  <c:v>6</c:v>
                </c:pt>
                <c:pt idx="379">
                  <c:v>43</c:v>
                </c:pt>
                <c:pt idx="380">
                  <c:v>16</c:v>
                </c:pt>
                <c:pt idx="381">
                  <c:v>12</c:v>
                </c:pt>
                <c:pt idx="382">
                  <c:v>7</c:v>
                </c:pt>
                <c:pt idx="383">
                  <c:v>6</c:v>
                </c:pt>
                <c:pt idx="384">
                  <c:v>27</c:v>
                </c:pt>
                <c:pt idx="385">
                  <c:v>48</c:v>
                </c:pt>
                <c:pt idx="386">
                  <c:v>42</c:v>
                </c:pt>
                <c:pt idx="387">
                  <c:v>6</c:v>
                </c:pt>
                <c:pt idx="388">
                  <c:v>30</c:v>
                </c:pt>
                <c:pt idx="389">
                  <c:v>37</c:v>
                </c:pt>
                <c:pt idx="390">
                  <c:v>19</c:v>
                </c:pt>
                <c:pt idx="391">
                  <c:v>36</c:v>
                </c:pt>
                <c:pt idx="392">
                  <c:v>21</c:v>
                </c:pt>
                <c:pt idx="393">
                  <c:v>22</c:v>
                </c:pt>
                <c:pt idx="394">
                  <c:v>47</c:v>
                </c:pt>
                <c:pt idx="395">
                  <c:v>18</c:v>
                </c:pt>
                <c:pt idx="396">
                  <c:v>0</c:v>
                </c:pt>
                <c:pt idx="397">
                  <c:v>39</c:v>
                </c:pt>
                <c:pt idx="398">
                  <c:v>5</c:v>
                </c:pt>
                <c:pt idx="399">
                  <c:v>27</c:v>
                </c:pt>
                <c:pt idx="400">
                  <c:v>18</c:v>
                </c:pt>
                <c:pt idx="401">
                  <c:v>16</c:v>
                </c:pt>
                <c:pt idx="402">
                  <c:v>50</c:v>
                </c:pt>
                <c:pt idx="403">
                  <c:v>4</c:v>
                </c:pt>
                <c:pt idx="404">
                  <c:v>4</c:v>
                </c:pt>
                <c:pt idx="405">
                  <c:v>29</c:v>
                </c:pt>
                <c:pt idx="406">
                  <c:v>0</c:v>
                </c:pt>
                <c:pt idx="407">
                  <c:v>42</c:v>
                </c:pt>
                <c:pt idx="408">
                  <c:v>25</c:v>
                </c:pt>
                <c:pt idx="409">
                  <c:v>27</c:v>
                </c:pt>
                <c:pt idx="410">
                  <c:v>46</c:v>
                </c:pt>
                <c:pt idx="411">
                  <c:v>46</c:v>
                </c:pt>
                <c:pt idx="412">
                  <c:v>36</c:v>
                </c:pt>
                <c:pt idx="413">
                  <c:v>38</c:v>
                </c:pt>
                <c:pt idx="414">
                  <c:v>33</c:v>
                </c:pt>
                <c:pt idx="415">
                  <c:v>2</c:v>
                </c:pt>
                <c:pt idx="416">
                  <c:v>34</c:v>
                </c:pt>
                <c:pt idx="417">
                  <c:v>0</c:v>
                </c:pt>
                <c:pt idx="418">
                  <c:v>20</c:v>
                </c:pt>
                <c:pt idx="419">
                  <c:v>25</c:v>
                </c:pt>
                <c:pt idx="420">
                  <c:v>37</c:v>
                </c:pt>
                <c:pt idx="421">
                  <c:v>13</c:v>
                </c:pt>
                <c:pt idx="422">
                  <c:v>27</c:v>
                </c:pt>
                <c:pt idx="423">
                  <c:v>37</c:v>
                </c:pt>
                <c:pt idx="424">
                  <c:v>32</c:v>
                </c:pt>
                <c:pt idx="425">
                  <c:v>13</c:v>
                </c:pt>
                <c:pt idx="426">
                  <c:v>47</c:v>
                </c:pt>
                <c:pt idx="427">
                  <c:v>9</c:v>
                </c:pt>
                <c:pt idx="428">
                  <c:v>35</c:v>
                </c:pt>
                <c:pt idx="429">
                  <c:v>31</c:v>
                </c:pt>
                <c:pt idx="430">
                  <c:v>44</c:v>
                </c:pt>
                <c:pt idx="431">
                  <c:v>12</c:v>
                </c:pt>
                <c:pt idx="432">
                  <c:v>25</c:v>
                </c:pt>
                <c:pt idx="433">
                  <c:v>26</c:v>
                </c:pt>
                <c:pt idx="434">
                  <c:v>17</c:v>
                </c:pt>
                <c:pt idx="435">
                  <c:v>17</c:v>
                </c:pt>
                <c:pt idx="436">
                  <c:v>15</c:v>
                </c:pt>
                <c:pt idx="437">
                  <c:v>27</c:v>
                </c:pt>
                <c:pt idx="438">
                  <c:v>8</c:v>
                </c:pt>
                <c:pt idx="439">
                  <c:v>50</c:v>
                </c:pt>
                <c:pt idx="440">
                  <c:v>23</c:v>
                </c:pt>
                <c:pt idx="441">
                  <c:v>14</c:v>
                </c:pt>
                <c:pt idx="442">
                  <c:v>30</c:v>
                </c:pt>
                <c:pt idx="443">
                  <c:v>35</c:v>
                </c:pt>
                <c:pt idx="444">
                  <c:v>36</c:v>
                </c:pt>
                <c:pt idx="445">
                  <c:v>21</c:v>
                </c:pt>
                <c:pt idx="446">
                  <c:v>18</c:v>
                </c:pt>
                <c:pt idx="447">
                  <c:v>7</c:v>
                </c:pt>
                <c:pt idx="448">
                  <c:v>49</c:v>
                </c:pt>
                <c:pt idx="449">
                  <c:v>29</c:v>
                </c:pt>
                <c:pt idx="450">
                  <c:v>28</c:v>
                </c:pt>
                <c:pt idx="451">
                  <c:v>5</c:v>
                </c:pt>
                <c:pt idx="452">
                  <c:v>21</c:v>
                </c:pt>
                <c:pt idx="453">
                  <c:v>16</c:v>
                </c:pt>
                <c:pt idx="454">
                  <c:v>6</c:v>
                </c:pt>
                <c:pt idx="455">
                  <c:v>17</c:v>
                </c:pt>
                <c:pt idx="456">
                  <c:v>2</c:v>
                </c:pt>
                <c:pt idx="457">
                  <c:v>3</c:v>
                </c:pt>
                <c:pt idx="458">
                  <c:v>43</c:v>
                </c:pt>
                <c:pt idx="459">
                  <c:v>10</c:v>
                </c:pt>
                <c:pt idx="460">
                  <c:v>30</c:v>
                </c:pt>
                <c:pt idx="461">
                  <c:v>30</c:v>
                </c:pt>
                <c:pt idx="462">
                  <c:v>44</c:v>
                </c:pt>
                <c:pt idx="463">
                  <c:v>0</c:v>
                </c:pt>
                <c:pt idx="464">
                  <c:v>30</c:v>
                </c:pt>
                <c:pt idx="465">
                  <c:v>35</c:v>
                </c:pt>
                <c:pt idx="466">
                  <c:v>14</c:v>
                </c:pt>
                <c:pt idx="467">
                  <c:v>29</c:v>
                </c:pt>
                <c:pt idx="468">
                  <c:v>30</c:v>
                </c:pt>
                <c:pt idx="469">
                  <c:v>28</c:v>
                </c:pt>
                <c:pt idx="470">
                  <c:v>17</c:v>
                </c:pt>
                <c:pt idx="471">
                  <c:v>38</c:v>
                </c:pt>
                <c:pt idx="472">
                  <c:v>45</c:v>
                </c:pt>
                <c:pt idx="473">
                  <c:v>37</c:v>
                </c:pt>
                <c:pt idx="474">
                  <c:v>13</c:v>
                </c:pt>
                <c:pt idx="475">
                  <c:v>36</c:v>
                </c:pt>
                <c:pt idx="476">
                  <c:v>12</c:v>
                </c:pt>
                <c:pt idx="477">
                  <c:v>38</c:v>
                </c:pt>
                <c:pt idx="478">
                  <c:v>14</c:v>
                </c:pt>
                <c:pt idx="479">
                  <c:v>44</c:v>
                </c:pt>
                <c:pt idx="480">
                  <c:v>15</c:v>
                </c:pt>
                <c:pt idx="481">
                  <c:v>39</c:v>
                </c:pt>
                <c:pt idx="482">
                  <c:v>12</c:v>
                </c:pt>
                <c:pt idx="483">
                  <c:v>4</c:v>
                </c:pt>
                <c:pt idx="484">
                  <c:v>2</c:v>
                </c:pt>
                <c:pt idx="485">
                  <c:v>36</c:v>
                </c:pt>
                <c:pt idx="486">
                  <c:v>17</c:v>
                </c:pt>
                <c:pt idx="487">
                  <c:v>16</c:v>
                </c:pt>
                <c:pt idx="488">
                  <c:v>18</c:v>
                </c:pt>
                <c:pt idx="489">
                  <c:v>3</c:v>
                </c:pt>
                <c:pt idx="490">
                  <c:v>33</c:v>
                </c:pt>
                <c:pt idx="491">
                  <c:v>2</c:v>
                </c:pt>
                <c:pt idx="492">
                  <c:v>48</c:v>
                </c:pt>
                <c:pt idx="493">
                  <c:v>38</c:v>
                </c:pt>
                <c:pt idx="494">
                  <c:v>43</c:v>
                </c:pt>
                <c:pt idx="495">
                  <c:v>36</c:v>
                </c:pt>
                <c:pt idx="496">
                  <c:v>43</c:v>
                </c:pt>
                <c:pt idx="497">
                  <c:v>46</c:v>
                </c:pt>
                <c:pt idx="498">
                  <c:v>50</c:v>
                </c:pt>
                <c:pt idx="499">
                  <c:v>33</c:v>
                </c:pt>
                <c:pt idx="500">
                  <c:v>29</c:v>
                </c:pt>
                <c:pt idx="501">
                  <c:v>1</c:v>
                </c:pt>
                <c:pt idx="502">
                  <c:v>13</c:v>
                </c:pt>
                <c:pt idx="503">
                  <c:v>45</c:v>
                </c:pt>
                <c:pt idx="504">
                  <c:v>47</c:v>
                </c:pt>
                <c:pt idx="505">
                  <c:v>43</c:v>
                </c:pt>
                <c:pt idx="506">
                  <c:v>18</c:v>
                </c:pt>
                <c:pt idx="507">
                  <c:v>2</c:v>
                </c:pt>
                <c:pt idx="508">
                  <c:v>33</c:v>
                </c:pt>
                <c:pt idx="509">
                  <c:v>16</c:v>
                </c:pt>
                <c:pt idx="510">
                  <c:v>9</c:v>
                </c:pt>
                <c:pt idx="511">
                  <c:v>42</c:v>
                </c:pt>
                <c:pt idx="512">
                  <c:v>6</c:v>
                </c:pt>
                <c:pt idx="513">
                  <c:v>31</c:v>
                </c:pt>
                <c:pt idx="514">
                  <c:v>28</c:v>
                </c:pt>
                <c:pt idx="515">
                  <c:v>35</c:v>
                </c:pt>
                <c:pt idx="516">
                  <c:v>8</c:v>
                </c:pt>
                <c:pt idx="517">
                  <c:v>33</c:v>
                </c:pt>
                <c:pt idx="518">
                  <c:v>4</c:v>
                </c:pt>
                <c:pt idx="519">
                  <c:v>40</c:v>
                </c:pt>
                <c:pt idx="520">
                  <c:v>27</c:v>
                </c:pt>
                <c:pt idx="521">
                  <c:v>10</c:v>
                </c:pt>
                <c:pt idx="522">
                  <c:v>12</c:v>
                </c:pt>
                <c:pt idx="523">
                  <c:v>17</c:v>
                </c:pt>
                <c:pt idx="524">
                  <c:v>44</c:v>
                </c:pt>
                <c:pt idx="525">
                  <c:v>35</c:v>
                </c:pt>
                <c:pt idx="526">
                  <c:v>0</c:v>
                </c:pt>
                <c:pt idx="527">
                  <c:v>40</c:v>
                </c:pt>
                <c:pt idx="528">
                  <c:v>32</c:v>
                </c:pt>
                <c:pt idx="529">
                  <c:v>41</c:v>
                </c:pt>
                <c:pt idx="530">
                  <c:v>48</c:v>
                </c:pt>
                <c:pt idx="531">
                  <c:v>38</c:v>
                </c:pt>
                <c:pt idx="532">
                  <c:v>28</c:v>
                </c:pt>
                <c:pt idx="533">
                  <c:v>39</c:v>
                </c:pt>
                <c:pt idx="534">
                  <c:v>29</c:v>
                </c:pt>
                <c:pt idx="535">
                  <c:v>21</c:v>
                </c:pt>
                <c:pt idx="536">
                  <c:v>15</c:v>
                </c:pt>
                <c:pt idx="537">
                  <c:v>42</c:v>
                </c:pt>
                <c:pt idx="538">
                  <c:v>15</c:v>
                </c:pt>
                <c:pt idx="539">
                  <c:v>23</c:v>
                </c:pt>
                <c:pt idx="540">
                  <c:v>18</c:v>
                </c:pt>
                <c:pt idx="541">
                  <c:v>7</c:v>
                </c:pt>
                <c:pt idx="542">
                  <c:v>15</c:v>
                </c:pt>
                <c:pt idx="543">
                  <c:v>48</c:v>
                </c:pt>
                <c:pt idx="544">
                  <c:v>5</c:v>
                </c:pt>
                <c:pt idx="545">
                  <c:v>46</c:v>
                </c:pt>
                <c:pt idx="546">
                  <c:v>42</c:v>
                </c:pt>
                <c:pt idx="547">
                  <c:v>35</c:v>
                </c:pt>
                <c:pt idx="548">
                  <c:v>33</c:v>
                </c:pt>
                <c:pt idx="549">
                  <c:v>40</c:v>
                </c:pt>
                <c:pt idx="550">
                  <c:v>26</c:v>
                </c:pt>
                <c:pt idx="551">
                  <c:v>48</c:v>
                </c:pt>
                <c:pt idx="552">
                  <c:v>11</c:v>
                </c:pt>
                <c:pt idx="553">
                  <c:v>19</c:v>
                </c:pt>
                <c:pt idx="554">
                  <c:v>39</c:v>
                </c:pt>
                <c:pt idx="555">
                  <c:v>2</c:v>
                </c:pt>
                <c:pt idx="556">
                  <c:v>40</c:v>
                </c:pt>
                <c:pt idx="557">
                  <c:v>30</c:v>
                </c:pt>
                <c:pt idx="558">
                  <c:v>10</c:v>
                </c:pt>
                <c:pt idx="559">
                  <c:v>11</c:v>
                </c:pt>
                <c:pt idx="560">
                  <c:v>10</c:v>
                </c:pt>
                <c:pt idx="561">
                  <c:v>24</c:v>
                </c:pt>
                <c:pt idx="562">
                  <c:v>6</c:v>
                </c:pt>
                <c:pt idx="563">
                  <c:v>45</c:v>
                </c:pt>
                <c:pt idx="564">
                  <c:v>41</c:v>
                </c:pt>
                <c:pt idx="565">
                  <c:v>38</c:v>
                </c:pt>
                <c:pt idx="566">
                  <c:v>3</c:v>
                </c:pt>
                <c:pt idx="567">
                  <c:v>5</c:v>
                </c:pt>
                <c:pt idx="568">
                  <c:v>47</c:v>
                </c:pt>
                <c:pt idx="569">
                  <c:v>39</c:v>
                </c:pt>
                <c:pt idx="570">
                  <c:v>22</c:v>
                </c:pt>
                <c:pt idx="571">
                  <c:v>16</c:v>
                </c:pt>
                <c:pt idx="572">
                  <c:v>15</c:v>
                </c:pt>
                <c:pt idx="573">
                  <c:v>42</c:v>
                </c:pt>
                <c:pt idx="574">
                  <c:v>9</c:v>
                </c:pt>
                <c:pt idx="575">
                  <c:v>48</c:v>
                </c:pt>
                <c:pt idx="576">
                  <c:v>20</c:v>
                </c:pt>
                <c:pt idx="577">
                  <c:v>14</c:v>
                </c:pt>
                <c:pt idx="578">
                  <c:v>12</c:v>
                </c:pt>
                <c:pt idx="579">
                  <c:v>28</c:v>
                </c:pt>
                <c:pt idx="580">
                  <c:v>47</c:v>
                </c:pt>
                <c:pt idx="581">
                  <c:v>3</c:v>
                </c:pt>
                <c:pt idx="582">
                  <c:v>35</c:v>
                </c:pt>
                <c:pt idx="583">
                  <c:v>40</c:v>
                </c:pt>
                <c:pt idx="584">
                  <c:v>27</c:v>
                </c:pt>
                <c:pt idx="585">
                  <c:v>44</c:v>
                </c:pt>
                <c:pt idx="586">
                  <c:v>25</c:v>
                </c:pt>
                <c:pt idx="587">
                  <c:v>34</c:v>
                </c:pt>
                <c:pt idx="588">
                  <c:v>29</c:v>
                </c:pt>
                <c:pt idx="589">
                  <c:v>23</c:v>
                </c:pt>
                <c:pt idx="590">
                  <c:v>38</c:v>
                </c:pt>
                <c:pt idx="591">
                  <c:v>20</c:v>
                </c:pt>
                <c:pt idx="592">
                  <c:v>19</c:v>
                </c:pt>
                <c:pt idx="593">
                  <c:v>9</c:v>
                </c:pt>
                <c:pt idx="594">
                  <c:v>18</c:v>
                </c:pt>
                <c:pt idx="595">
                  <c:v>46</c:v>
                </c:pt>
                <c:pt idx="596">
                  <c:v>44</c:v>
                </c:pt>
                <c:pt idx="597">
                  <c:v>6</c:v>
                </c:pt>
                <c:pt idx="598">
                  <c:v>49</c:v>
                </c:pt>
                <c:pt idx="599">
                  <c:v>45</c:v>
                </c:pt>
                <c:pt idx="600">
                  <c:v>7</c:v>
                </c:pt>
                <c:pt idx="601">
                  <c:v>38</c:v>
                </c:pt>
                <c:pt idx="602">
                  <c:v>33</c:v>
                </c:pt>
                <c:pt idx="603">
                  <c:v>15</c:v>
                </c:pt>
                <c:pt idx="604">
                  <c:v>47</c:v>
                </c:pt>
                <c:pt idx="605">
                  <c:v>9</c:v>
                </c:pt>
                <c:pt idx="606">
                  <c:v>49</c:v>
                </c:pt>
                <c:pt idx="607">
                  <c:v>36</c:v>
                </c:pt>
                <c:pt idx="608">
                  <c:v>9</c:v>
                </c:pt>
                <c:pt idx="609">
                  <c:v>10</c:v>
                </c:pt>
                <c:pt idx="610">
                  <c:v>34</c:v>
                </c:pt>
                <c:pt idx="611">
                  <c:v>21</c:v>
                </c:pt>
                <c:pt idx="612">
                  <c:v>15</c:v>
                </c:pt>
                <c:pt idx="613">
                  <c:v>35</c:v>
                </c:pt>
                <c:pt idx="614">
                  <c:v>19</c:v>
                </c:pt>
                <c:pt idx="615">
                  <c:v>10</c:v>
                </c:pt>
                <c:pt idx="616">
                  <c:v>15</c:v>
                </c:pt>
                <c:pt idx="617">
                  <c:v>49</c:v>
                </c:pt>
                <c:pt idx="618">
                  <c:v>5</c:v>
                </c:pt>
                <c:pt idx="619">
                  <c:v>50</c:v>
                </c:pt>
                <c:pt idx="620">
                  <c:v>15</c:v>
                </c:pt>
                <c:pt idx="621">
                  <c:v>42</c:v>
                </c:pt>
                <c:pt idx="622">
                  <c:v>8</c:v>
                </c:pt>
                <c:pt idx="623">
                  <c:v>17</c:v>
                </c:pt>
                <c:pt idx="624">
                  <c:v>6</c:v>
                </c:pt>
                <c:pt idx="625">
                  <c:v>34</c:v>
                </c:pt>
                <c:pt idx="626">
                  <c:v>19</c:v>
                </c:pt>
                <c:pt idx="627">
                  <c:v>3</c:v>
                </c:pt>
                <c:pt idx="628">
                  <c:v>17</c:v>
                </c:pt>
                <c:pt idx="629">
                  <c:v>14</c:v>
                </c:pt>
                <c:pt idx="630">
                  <c:v>7</c:v>
                </c:pt>
                <c:pt idx="631">
                  <c:v>2</c:v>
                </c:pt>
                <c:pt idx="632">
                  <c:v>42</c:v>
                </c:pt>
                <c:pt idx="633">
                  <c:v>37</c:v>
                </c:pt>
                <c:pt idx="634">
                  <c:v>10</c:v>
                </c:pt>
                <c:pt idx="635">
                  <c:v>38</c:v>
                </c:pt>
                <c:pt idx="636">
                  <c:v>27</c:v>
                </c:pt>
                <c:pt idx="637">
                  <c:v>32</c:v>
                </c:pt>
                <c:pt idx="638">
                  <c:v>50</c:v>
                </c:pt>
                <c:pt idx="639">
                  <c:v>21</c:v>
                </c:pt>
                <c:pt idx="640">
                  <c:v>14</c:v>
                </c:pt>
                <c:pt idx="641">
                  <c:v>14</c:v>
                </c:pt>
                <c:pt idx="642">
                  <c:v>41</c:v>
                </c:pt>
                <c:pt idx="643">
                  <c:v>43</c:v>
                </c:pt>
                <c:pt idx="644">
                  <c:v>21</c:v>
                </c:pt>
                <c:pt idx="645">
                  <c:v>45</c:v>
                </c:pt>
                <c:pt idx="646">
                  <c:v>38</c:v>
                </c:pt>
                <c:pt idx="647">
                  <c:v>22</c:v>
                </c:pt>
                <c:pt idx="648">
                  <c:v>19</c:v>
                </c:pt>
                <c:pt idx="649">
                  <c:v>29</c:v>
                </c:pt>
                <c:pt idx="650">
                  <c:v>45</c:v>
                </c:pt>
                <c:pt idx="651">
                  <c:v>43</c:v>
                </c:pt>
                <c:pt idx="652">
                  <c:v>50</c:v>
                </c:pt>
                <c:pt idx="653">
                  <c:v>14</c:v>
                </c:pt>
                <c:pt idx="654">
                  <c:v>9</c:v>
                </c:pt>
                <c:pt idx="655">
                  <c:v>49</c:v>
                </c:pt>
                <c:pt idx="656">
                  <c:v>14</c:v>
                </c:pt>
                <c:pt idx="657">
                  <c:v>26</c:v>
                </c:pt>
                <c:pt idx="658">
                  <c:v>12</c:v>
                </c:pt>
                <c:pt idx="659">
                  <c:v>16</c:v>
                </c:pt>
                <c:pt idx="660">
                  <c:v>21</c:v>
                </c:pt>
                <c:pt idx="661">
                  <c:v>24</c:v>
                </c:pt>
                <c:pt idx="662">
                  <c:v>46</c:v>
                </c:pt>
                <c:pt idx="663">
                  <c:v>41</c:v>
                </c:pt>
                <c:pt idx="664">
                  <c:v>18</c:v>
                </c:pt>
                <c:pt idx="665">
                  <c:v>30</c:v>
                </c:pt>
                <c:pt idx="666">
                  <c:v>27</c:v>
                </c:pt>
                <c:pt idx="667">
                  <c:v>35</c:v>
                </c:pt>
                <c:pt idx="668">
                  <c:v>35</c:v>
                </c:pt>
                <c:pt idx="669">
                  <c:v>30</c:v>
                </c:pt>
                <c:pt idx="670">
                  <c:v>16</c:v>
                </c:pt>
                <c:pt idx="671">
                  <c:v>16</c:v>
                </c:pt>
                <c:pt idx="672">
                  <c:v>24</c:v>
                </c:pt>
                <c:pt idx="673">
                  <c:v>11</c:v>
                </c:pt>
                <c:pt idx="674">
                  <c:v>35</c:v>
                </c:pt>
                <c:pt idx="675">
                  <c:v>5</c:v>
                </c:pt>
                <c:pt idx="676">
                  <c:v>47</c:v>
                </c:pt>
                <c:pt idx="677">
                  <c:v>4</c:v>
                </c:pt>
                <c:pt idx="678">
                  <c:v>11</c:v>
                </c:pt>
                <c:pt idx="679">
                  <c:v>29</c:v>
                </c:pt>
                <c:pt idx="680">
                  <c:v>38</c:v>
                </c:pt>
                <c:pt idx="681">
                  <c:v>8</c:v>
                </c:pt>
                <c:pt idx="682">
                  <c:v>18</c:v>
                </c:pt>
                <c:pt idx="683">
                  <c:v>27</c:v>
                </c:pt>
                <c:pt idx="684">
                  <c:v>13</c:v>
                </c:pt>
                <c:pt idx="685">
                  <c:v>17</c:v>
                </c:pt>
                <c:pt idx="686">
                  <c:v>28</c:v>
                </c:pt>
                <c:pt idx="687">
                  <c:v>6</c:v>
                </c:pt>
                <c:pt idx="688">
                  <c:v>8</c:v>
                </c:pt>
                <c:pt idx="689">
                  <c:v>20</c:v>
                </c:pt>
                <c:pt idx="690">
                  <c:v>50</c:v>
                </c:pt>
                <c:pt idx="691">
                  <c:v>16</c:v>
                </c:pt>
                <c:pt idx="692">
                  <c:v>46</c:v>
                </c:pt>
                <c:pt idx="693">
                  <c:v>43</c:v>
                </c:pt>
                <c:pt idx="694">
                  <c:v>27</c:v>
                </c:pt>
                <c:pt idx="695">
                  <c:v>12</c:v>
                </c:pt>
                <c:pt idx="696">
                  <c:v>42</c:v>
                </c:pt>
                <c:pt idx="697">
                  <c:v>18</c:v>
                </c:pt>
                <c:pt idx="698">
                  <c:v>39</c:v>
                </c:pt>
                <c:pt idx="699">
                  <c:v>31</c:v>
                </c:pt>
                <c:pt idx="700">
                  <c:v>5</c:v>
                </c:pt>
                <c:pt idx="701">
                  <c:v>1</c:v>
                </c:pt>
                <c:pt idx="702">
                  <c:v>11</c:v>
                </c:pt>
                <c:pt idx="703">
                  <c:v>20</c:v>
                </c:pt>
                <c:pt idx="704">
                  <c:v>35</c:v>
                </c:pt>
                <c:pt idx="705">
                  <c:v>28</c:v>
                </c:pt>
                <c:pt idx="706">
                  <c:v>43</c:v>
                </c:pt>
                <c:pt idx="707">
                  <c:v>24</c:v>
                </c:pt>
                <c:pt idx="708">
                  <c:v>17</c:v>
                </c:pt>
                <c:pt idx="709">
                  <c:v>39</c:v>
                </c:pt>
                <c:pt idx="710">
                  <c:v>46</c:v>
                </c:pt>
                <c:pt idx="711">
                  <c:v>41</c:v>
                </c:pt>
                <c:pt idx="712">
                  <c:v>2</c:v>
                </c:pt>
                <c:pt idx="713">
                  <c:v>27</c:v>
                </c:pt>
                <c:pt idx="714">
                  <c:v>27</c:v>
                </c:pt>
                <c:pt idx="715">
                  <c:v>0</c:v>
                </c:pt>
                <c:pt idx="716">
                  <c:v>19</c:v>
                </c:pt>
                <c:pt idx="717">
                  <c:v>30</c:v>
                </c:pt>
                <c:pt idx="718">
                  <c:v>20</c:v>
                </c:pt>
                <c:pt idx="719">
                  <c:v>28</c:v>
                </c:pt>
                <c:pt idx="720">
                  <c:v>21</c:v>
                </c:pt>
                <c:pt idx="721">
                  <c:v>44</c:v>
                </c:pt>
                <c:pt idx="722">
                  <c:v>49</c:v>
                </c:pt>
                <c:pt idx="723">
                  <c:v>38</c:v>
                </c:pt>
                <c:pt idx="724">
                  <c:v>48</c:v>
                </c:pt>
                <c:pt idx="725">
                  <c:v>42</c:v>
                </c:pt>
                <c:pt idx="726">
                  <c:v>46</c:v>
                </c:pt>
                <c:pt idx="727">
                  <c:v>32</c:v>
                </c:pt>
                <c:pt idx="728">
                  <c:v>36</c:v>
                </c:pt>
                <c:pt idx="729">
                  <c:v>38</c:v>
                </c:pt>
                <c:pt idx="730">
                  <c:v>42</c:v>
                </c:pt>
                <c:pt idx="731">
                  <c:v>37</c:v>
                </c:pt>
                <c:pt idx="732">
                  <c:v>13</c:v>
                </c:pt>
                <c:pt idx="733">
                  <c:v>43</c:v>
                </c:pt>
                <c:pt idx="734">
                  <c:v>42</c:v>
                </c:pt>
                <c:pt idx="735">
                  <c:v>26</c:v>
                </c:pt>
                <c:pt idx="736">
                  <c:v>15</c:v>
                </c:pt>
                <c:pt idx="737">
                  <c:v>15</c:v>
                </c:pt>
                <c:pt idx="738">
                  <c:v>32</c:v>
                </c:pt>
                <c:pt idx="739">
                  <c:v>33</c:v>
                </c:pt>
                <c:pt idx="740">
                  <c:v>34</c:v>
                </c:pt>
                <c:pt idx="741">
                  <c:v>41</c:v>
                </c:pt>
                <c:pt idx="742">
                  <c:v>10</c:v>
                </c:pt>
                <c:pt idx="743">
                  <c:v>15</c:v>
                </c:pt>
                <c:pt idx="744">
                  <c:v>16</c:v>
                </c:pt>
                <c:pt idx="745">
                  <c:v>9</c:v>
                </c:pt>
                <c:pt idx="746">
                  <c:v>38</c:v>
                </c:pt>
                <c:pt idx="747">
                  <c:v>50</c:v>
                </c:pt>
                <c:pt idx="748">
                  <c:v>20</c:v>
                </c:pt>
                <c:pt idx="749">
                  <c:v>33</c:v>
                </c:pt>
                <c:pt idx="750">
                  <c:v>18</c:v>
                </c:pt>
                <c:pt idx="751">
                  <c:v>25</c:v>
                </c:pt>
                <c:pt idx="752">
                  <c:v>34</c:v>
                </c:pt>
                <c:pt idx="753">
                  <c:v>1</c:v>
                </c:pt>
                <c:pt idx="754">
                  <c:v>44</c:v>
                </c:pt>
                <c:pt idx="755">
                  <c:v>32</c:v>
                </c:pt>
                <c:pt idx="756">
                  <c:v>33</c:v>
                </c:pt>
                <c:pt idx="757">
                  <c:v>13</c:v>
                </c:pt>
                <c:pt idx="758">
                  <c:v>18</c:v>
                </c:pt>
                <c:pt idx="759">
                  <c:v>42</c:v>
                </c:pt>
                <c:pt idx="760">
                  <c:v>45</c:v>
                </c:pt>
                <c:pt idx="761">
                  <c:v>41</c:v>
                </c:pt>
                <c:pt idx="762">
                  <c:v>30</c:v>
                </c:pt>
                <c:pt idx="763">
                  <c:v>21</c:v>
                </c:pt>
                <c:pt idx="764">
                  <c:v>35</c:v>
                </c:pt>
                <c:pt idx="765">
                  <c:v>17</c:v>
                </c:pt>
                <c:pt idx="766">
                  <c:v>18</c:v>
                </c:pt>
                <c:pt idx="767">
                  <c:v>37</c:v>
                </c:pt>
                <c:pt idx="768">
                  <c:v>25</c:v>
                </c:pt>
                <c:pt idx="769">
                  <c:v>33</c:v>
                </c:pt>
                <c:pt idx="770">
                  <c:v>2</c:v>
                </c:pt>
                <c:pt idx="771">
                  <c:v>18</c:v>
                </c:pt>
                <c:pt idx="772">
                  <c:v>40</c:v>
                </c:pt>
                <c:pt idx="773">
                  <c:v>23</c:v>
                </c:pt>
                <c:pt idx="774">
                  <c:v>32</c:v>
                </c:pt>
                <c:pt idx="775">
                  <c:v>9</c:v>
                </c:pt>
                <c:pt idx="776">
                  <c:v>21</c:v>
                </c:pt>
                <c:pt idx="777">
                  <c:v>27</c:v>
                </c:pt>
                <c:pt idx="778">
                  <c:v>23</c:v>
                </c:pt>
                <c:pt idx="779">
                  <c:v>31</c:v>
                </c:pt>
                <c:pt idx="780">
                  <c:v>0</c:v>
                </c:pt>
                <c:pt idx="781">
                  <c:v>36</c:v>
                </c:pt>
                <c:pt idx="782">
                  <c:v>23</c:v>
                </c:pt>
                <c:pt idx="783">
                  <c:v>47</c:v>
                </c:pt>
                <c:pt idx="784">
                  <c:v>49</c:v>
                </c:pt>
                <c:pt idx="785">
                  <c:v>14</c:v>
                </c:pt>
                <c:pt idx="786">
                  <c:v>34</c:v>
                </c:pt>
                <c:pt idx="787">
                  <c:v>23</c:v>
                </c:pt>
                <c:pt idx="788">
                  <c:v>19</c:v>
                </c:pt>
                <c:pt idx="789">
                  <c:v>37</c:v>
                </c:pt>
                <c:pt idx="790">
                  <c:v>1</c:v>
                </c:pt>
                <c:pt idx="791">
                  <c:v>33</c:v>
                </c:pt>
                <c:pt idx="792">
                  <c:v>48</c:v>
                </c:pt>
                <c:pt idx="793">
                  <c:v>9</c:v>
                </c:pt>
                <c:pt idx="794">
                  <c:v>45</c:v>
                </c:pt>
                <c:pt idx="795">
                  <c:v>34</c:v>
                </c:pt>
                <c:pt idx="796">
                  <c:v>11</c:v>
                </c:pt>
                <c:pt idx="797">
                  <c:v>46</c:v>
                </c:pt>
                <c:pt idx="798">
                  <c:v>13</c:v>
                </c:pt>
                <c:pt idx="799">
                  <c:v>29</c:v>
                </c:pt>
                <c:pt idx="800">
                  <c:v>22</c:v>
                </c:pt>
                <c:pt idx="801">
                  <c:v>37</c:v>
                </c:pt>
                <c:pt idx="802">
                  <c:v>31</c:v>
                </c:pt>
                <c:pt idx="803">
                  <c:v>14</c:v>
                </c:pt>
                <c:pt idx="804">
                  <c:v>0</c:v>
                </c:pt>
                <c:pt idx="805">
                  <c:v>7</c:v>
                </c:pt>
                <c:pt idx="806">
                  <c:v>37</c:v>
                </c:pt>
                <c:pt idx="807">
                  <c:v>41</c:v>
                </c:pt>
                <c:pt idx="808">
                  <c:v>42</c:v>
                </c:pt>
                <c:pt idx="809">
                  <c:v>18</c:v>
                </c:pt>
                <c:pt idx="810">
                  <c:v>37</c:v>
                </c:pt>
                <c:pt idx="811">
                  <c:v>9</c:v>
                </c:pt>
                <c:pt idx="812">
                  <c:v>37</c:v>
                </c:pt>
                <c:pt idx="813">
                  <c:v>0</c:v>
                </c:pt>
                <c:pt idx="814">
                  <c:v>5</c:v>
                </c:pt>
                <c:pt idx="815">
                  <c:v>9</c:v>
                </c:pt>
                <c:pt idx="816">
                  <c:v>22</c:v>
                </c:pt>
                <c:pt idx="817">
                  <c:v>3</c:v>
                </c:pt>
                <c:pt idx="818">
                  <c:v>20</c:v>
                </c:pt>
                <c:pt idx="819">
                  <c:v>50</c:v>
                </c:pt>
                <c:pt idx="820">
                  <c:v>23</c:v>
                </c:pt>
                <c:pt idx="821">
                  <c:v>42</c:v>
                </c:pt>
                <c:pt idx="822">
                  <c:v>14</c:v>
                </c:pt>
                <c:pt idx="823">
                  <c:v>6</c:v>
                </c:pt>
                <c:pt idx="824">
                  <c:v>24</c:v>
                </c:pt>
                <c:pt idx="825">
                  <c:v>44</c:v>
                </c:pt>
                <c:pt idx="826">
                  <c:v>14</c:v>
                </c:pt>
                <c:pt idx="827">
                  <c:v>33</c:v>
                </c:pt>
                <c:pt idx="828">
                  <c:v>47</c:v>
                </c:pt>
                <c:pt idx="829">
                  <c:v>14</c:v>
                </c:pt>
                <c:pt idx="830">
                  <c:v>0</c:v>
                </c:pt>
                <c:pt idx="831">
                  <c:v>29</c:v>
                </c:pt>
                <c:pt idx="832">
                  <c:v>41</c:v>
                </c:pt>
                <c:pt idx="833">
                  <c:v>2</c:v>
                </c:pt>
                <c:pt idx="834">
                  <c:v>21</c:v>
                </c:pt>
                <c:pt idx="835">
                  <c:v>48</c:v>
                </c:pt>
                <c:pt idx="836">
                  <c:v>35</c:v>
                </c:pt>
                <c:pt idx="837">
                  <c:v>38</c:v>
                </c:pt>
                <c:pt idx="838">
                  <c:v>31</c:v>
                </c:pt>
                <c:pt idx="839">
                  <c:v>46</c:v>
                </c:pt>
                <c:pt idx="840">
                  <c:v>5</c:v>
                </c:pt>
                <c:pt idx="841">
                  <c:v>12</c:v>
                </c:pt>
                <c:pt idx="842">
                  <c:v>10</c:v>
                </c:pt>
                <c:pt idx="843">
                  <c:v>17</c:v>
                </c:pt>
                <c:pt idx="844">
                  <c:v>49</c:v>
                </c:pt>
                <c:pt idx="845">
                  <c:v>28</c:v>
                </c:pt>
                <c:pt idx="846">
                  <c:v>6</c:v>
                </c:pt>
                <c:pt idx="847">
                  <c:v>6</c:v>
                </c:pt>
                <c:pt idx="848">
                  <c:v>19</c:v>
                </c:pt>
                <c:pt idx="849">
                  <c:v>18</c:v>
                </c:pt>
                <c:pt idx="850">
                  <c:v>7</c:v>
                </c:pt>
                <c:pt idx="851">
                  <c:v>3</c:v>
                </c:pt>
                <c:pt idx="852">
                  <c:v>20</c:v>
                </c:pt>
                <c:pt idx="853">
                  <c:v>34</c:v>
                </c:pt>
                <c:pt idx="854">
                  <c:v>16</c:v>
                </c:pt>
                <c:pt idx="855">
                  <c:v>12</c:v>
                </c:pt>
                <c:pt idx="856">
                  <c:v>10</c:v>
                </c:pt>
                <c:pt idx="857">
                  <c:v>11</c:v>
                </c:pt>
                <c:pt idx="858">
                  <c:v>3</c:v>
                </c:pt>
                <c:pt idx="859">
                  <c:v>12</c:v>
                </c:pt>
                <c:pt idx="860">
                  <c:v>23</c:v>
                </c:pt>
                <c:pt idx="861">
                  <c:v>30</c:v>
                </c:pt>
                <c:pt idx="862">
                  <c:v>49</c:v>
                </c:pt>
                <c:pt idx="863">
                  <c:v>14</c:v>
                </c:pt>
                <c:pt idx="864">
                  <c:v>23</c:v>
                </c:pt>
                <c:pt idx="865">
                  <c:v>38</c:v>
                </c:pt>
                <c:pt idx="866">
                  <c:v>34</c:v>
                </c:pt>
                <c:pt idx="867">
                  <c:v>36</c:v>
                </c:pt>
                <c:pt idx="868">
                  <c:v>6</c:v>
                </c:pt>
                <c:pt idx="869">
                  <c:v>9</c:v>
                </c:pt>
                <c:pt idx="870">
                  <c:v>36</c:v>
                </c:pt>
                <c:pt idx="871">
                  <c:v>13</c:v>
                </c:pt>
                <c:pt idx="872">
                  <c:v>21</c:v>
                </c:pt>
                <c:pt idx="873">
                  <c:v>45</c:v>
                </c:pt>
                <c:pt idx="874">
                  <c:v>16</c:v>
                </c:pt>
                <c:pt idx="875">
                  <c:v>12</c:v>
                </c:pt>
                <c:pt idx="876">
                  <c:v>29</c:v>
                </c:pt>
                <c:pt idx="877">
                  <c:v>28</c:v>
                </c:pt>
                <c:pt idx="878">
                  <c:v>32</c:v>
                </c:pt>
                <c:pt idx="879">
                  <c:v>18</c:v>
                </c:pt>
                <c:pt idx="880">
                  <c:v>45</c:v>
                </c:pt>
                <c:pt idx="881">
                  <c:v>27</c:v>
                </c:pt>
                <c:pt idx="882">
                  <c:v>16</c:v>
                </c:pt>
                <c:pt idx="883">
                  <c:v>27</c:v>
                </c:pt>
                <c:pt idx="884">
                  <c:v>0</c:v>
                </c:pt>
                <c:pt idx="885">
                  <c:v>29</c:v>
                </c:pt>
                <c:pt idx="886">
                  <c:v>11</c:v>
                </c:pt>
                <c:pt idx="887">
                  <c:v>33</c:v>
                </c:pt>
                <c:pt idx="888">
                  <c:v>30</c:v>
                </c:pt>
                <c:pt idx="889">
                  <c:v>39</c:v>
                </c:pt>
                <c:pt idx="890">
                  <c:v>49</c:v>
                </c:pt>
                <c:pt idx="891">
                  <c:v>36</c:v>
                </c:pt>
                <c:pt idx="892">
                  <c:v>43</c:v>
                </c:pt>
                <c:pt idx="893">
                  <c:v>11</c:v>
                </c:pt>
                <c:pt idx="894">
                  <c:v>31</c:v>
                </c:pt>
                <c:pt idx="895">
                  <c:v>19</c:v>
                </c:pt>
                <c:pt idx="896">
                  <c:v>28</c:v>
                </c:pt>
                <c:pt idx="897">
                  <c:v>24</c:v>
                </c:pt>
                <c:pt idx="898">
                  <c:v>1</c:v>
                </c:pt>
                <c:pt idx="899">
                  <c:v>33</c:v>
                </c:pt>
                <c:pt idx="900">
                  <c:v>14</c:v>
                </c:pt>
                <c:pt idx="901">
                  <c:v>33</c:v>
                </c:pt>
                <c:pt idx="902">
                  <c:v>32</c:v>
                </c:pt>
                <c:pt idx="903">
                  <c:v>7</c:v>
                </c:pt>
                <c:pt idx="904">
                  <c:v>35</c:v>
                </c:pt>
                <c:pt idx="905">
                  <c:v>21</c:v>
                </c:pt>
                <c:pt idx="906">
                  <c:v>7</c:v>
                </c:pt>
                <c:pt idx="907">
                  <c:v>37</c:v>
                </c:pt>
                <c:pt idx="908">
                  <c:v>39</c:v>
                </c:pt>
                <c:pt idx="909">
                  <c:v>28</c:v>
                </c:pt>
                <c:pt idx="910">
                  <c:v>29</c:v>
                </c:pt>
                <c:pt idx="911">
                  <c:v>10</c:v>
                </c:pt>
                <c:pt idx="912">
                  <c:v>2</c:v>
                </c:pt>
                <c:pt idx="913">
                  <c:v>45</c:v>
                </c:pt>
                <c:pt idx="914">
                  <c:v>41</c:v>
                </c:pt>
                <c:pt idx="915">
                  <c:v>39</c:v>
                </c:pt>
                <c:pt idx="916">
                  <c:v>9</c:v>
                </c:pt>
                <c:pt idx="917">
                  <c:v>3</c:v>
                </c:pt>
                <c:pt idx="918">
                  <c:v>22</c:v>
                </c:pt>
                <c:pt idx="919">
                  <c:v>50</c:v>
                </c:pt>
                <c:pt idx="920">
                  <c:v>24</c:v>
                </c:pt>
                <c:pt idx="921">
                  <c:v>22</c:v>
                </c:pt>
                <c:pt idx="922">
                  <c:v>12</c:v>
                </c:pt>
                <c:pt idx="923">
                  <c:v>6</c:v>
                </c:pt>
                <c:pt idx="924">
                  <c:v>15</c:v>
                </c:pt>
                <c:pt idx="925">
                  <c:v>37</c:v>
                </c:pt>
                <c:pt idx="926">
                  <c:v>23</c:v>
                </c:pt>
                <c:pt idx="927">
                  <c:v>20</c:v>
                </c:pt>
                <c:pt idx="928">
                  <c:v>38</c:v>
                </c:pt>
                <c:pt idx="929">
                  <c:v>4</c:v>
                </c:pt>
                <c:pt idx="930">
                  <c:v>48</c:v>
                </c:pt>
                <c:pt idx="931">
                  <c:v>2</c:v>
                </c:pt>
                <c:pt idx="932">
                  <c:v>9</c:v>
                </c:pt>
                <c:pt idx="933">
                  <c:v>4</c:v>
                </c:pt>
                <c:pt idx="934">
                  <c:v>26</c:v>
                </c:pt>
                <c:pt idx="935">
                  <c:v>49</c:v>
                </c:pt>
                <c:pt idx="936">
                  <c:v>11</c:v>
                </c:pt>
                <c:pt idx="937">
                  <c:v>29</c:v>
                </c:pt>
                <c:pt idx="938">
                  <c:v>29</c:v>
                </c:pt>
                <c:pt idx="939">
                  <c:v>22</c:v>
                </c:pt>
                <c:pt idx="940">
                  <c:v>20</c:v>
                </c:pt>
                <c:pt idx="941">
                  <c:v>10</c:v>
                </c:pt>
                <c:pt idx="942">
                  <c:v>27</c:v>
                </c:pt>
                <c:pt idx="943">
                  <c:v>50</c:v>
                </c:pt>
                <c:pt idx="944">
                  <c:v>32</c:v>
                </c:pt>
                <c:pt idx="945">
                  <c:v>22</c:v>
                </c:pt>
                <c:pt idx="946">
                  <c:v>35</c:v>
                </c:pt>
                <c:pt idx="947">
                  <c:v>22</c:v>
                </c:pt>
                <c:pt idx="948">
                  <c:v>0</c:v>
                </c:pt>
                <c:pt idx="949">
                  <c:v>39</c:v>
                </c:pt>
                <c:pt idx="950">
                  <c:v>43</c:v>
                </c:pt>
                <c:pt idx="951">
                  <c:v>17</c:v>
                </c:pt>
                <c:pt idx="952">
                  <c:v>23</c:v>
                </c:pt>
                <c:pt idx="953">
                  <c:v>18</c:v>
                </c:pt>
                <c:pt idx="954">
                  <c:v>8</c:v>
                </c:pt>
                <c:pt idx="955">
                  <c:v>15</c:v>
                </c:pt>
                <c:pt idx="956">
                  <c:v>36</c:v>
                </c:pt>
                <c:pt idx="957">
                  <c:v>5</c:v>
                </c:pt>
                <c:pt idx="958">
                  <c:v>43</c:v>
                </c:pt>
                <c:pt idx="959">
                  <c:v>25</c:v>
                </c:pt>
                <c:pt idx="960">
                  <c:v>35</c:v>
                </c:pt>
                <c:pt idx="961">
                  <c:v>41</c:v>
                </c:pt>
                <c:pt idx="962">
                  <c:v>28</c:v>
                </c:pt>
                <c:pt idx="963">
                  <c:v>12</c:v>
                </c:pt>
                <c:pt idx="964">
                  <c:v>32</c:v>
                </c:pt>
                <c:pt idx="965">
                  <c:v>8</c:v>
                </c:pt>
                <c:pt idx="966">
                  <c:v>43</c:v>
                </c:pt>
                <c:pt idx="967">
                  <c:v>45</c:v>
                </c:pt>
                <c:pt idx="968">
                  <c:v>42</c:v>
                </c:pt>
                <c:pt idx="969">
                  <c:v>47</c:v>
                </c:pt>
                <c:pt idx="970">
                  <c:v>34</c:v>
                </c:pt>
                <c:pt idx="971">
                  <c:v>17</c:v>
                </c:pt>
                <c:pt idx="972">
                  <c:v>0</c:v>
                </c:pt>
                <c:pt idx="973">
                  <c:v>41</c:v>
                </c:pt>
                <c:pt idx="974">
                  <c:v>4</c:v>
                </c:pt>
                <c:pt idx="975">
                  <c:v>3</c:v>
                </c:pt>
                <c:pt idx="976">
                  <c:v>16</c:v>
                </c:pt>
                <c:pt idx="977">
                  <c:v>15</c:v>
                </c:pt>
                <c:pt idx="978">
                  <c:v>28</c:v>
                </c:pt>
                <c:pt idx="979">
                  <c:v>47</c:v>
                </c:pt>
                <c:pt idx="980">
                  <c:v>7</c:v>
                </c:pt>
                <c:pt idx="981">
                  <c:v>12</c:v>
                </c:pt>
                <c:pt idx="982">
                  <c:v>24</c:v>
                </c:pt>
                <c:pt idx="983">
                  <c:v>40</c:v>
                </c:pt>
                <c:pt idx="984">
                  <c:v>25</c:v>
                </c:pt>
                <c:pt idx="985">
                  <c:v>1</c:v>
                </c:pt>
                <c:pt idx="986">
                  <c:v>41</c:v>
                </c:pt>
                <c:pt idx="987">
                  <c:v>36</c:v>
                </c:pt>
                <c:pt idx="988">
                  <c:v>45</c:v>
                </c:pt>
                <c:pt idx="989">
                  <c:v>16</c:v>
                </c:pt>
                <c:pt idx="990">
                  <c:v>24</c:v>
                </c:pt>
                <c:pt idx="991">
                  <c:v>29</c:v>
                </c:pt>
                <c:pt idx="992">
                  <c:v>28</c:v>
                </c:pt>
                <c:pt idx="993">
                  <c:v>47</c:v>
                </c:pt>
                <c:pt idx="994">
                  <c:v>16</c:v>
                </c:pt>
                <c:pt idx="995">
                  <c:v>29</c:v>
                </c:pt>
                <c:pt idx="996">
                  <c:v>34</c:v>
                </c:pt>
                <c:pt idx="997">
                  <c:v>17</c:v>
                </c:pt>
                <c:pt idx="998">
                  <c:v>16</c:v>
                </c:pt>
                <c:pt idx="999">
                  <c:v>41</c:v>
                </c:pt>
                <c:pt idx="1000">
                  <c:v>7</c:v>
                </c:pt>
                <c:pt idx="1001">
                  <c:v>50</c:v>
                </c:pt>
                <c:pt idx="1002">
                  <c:v>14</c:v>
                </c:pt>
                <c:pt idx="1003">
                  <c:v>32</c:v>
                </c:pt>
                <c:pt idx="1004">
                  <c:v>31</c:v>
                </c:pt>
                <c:pt idx="1005">
                  <c:v>39</c:v>
                </c:pt>
                <c:pt idx="1006">
                  <c:v>45</c:v>
                </c:pt>
                <c:pt idx="1007">
                  <c:v>31</c:v>
                </c:pt>
                <c:pt idx="1008">
                  <c:v>8</c:v>
                </c:pt>
                <c:pt idx="1009">
                  <c:v>21</c:v>
                </c:pt>
                <c:pt idx="1010">
                  <c:v>36</c:v>
                </c:pt>
                <c:pt idx="1011">
                  <c:v>46</c:v>
                </c:pt>
                <c:pt idx="1012">
                  <c:v>31</c:v>
                </c:pt>
                <c:pt idx="1013">
                  <c:v>43</c:v>
                </c:pt>
                <c:pt idx="1014">
                  <c:v>31</c:v>
                </c:pt>
                <c:pt idx="1015">
                  <c:v>21</c:v>
                </c:pt>
                <c:pt idx="1016">
                  <c:v>27</c:v>
                </c:pt>
                <c:pt idx="1017">
                  <c:v>43</c:v>
                </c:pt>
                <c:pt idx="1018">
                  <c:v>24</c:v>
                </c:pt>
                <c:pt idx="1019">
                  <c:v>43</c:v>
                </c:pt>
                <c:pt idx="1020">
                  <c:v>35</c:v>
                </c:pt>
                <c:pt idx="1021">
                  <c:v>4</c:v>
                </c:pt>
                <c:pt idx="1022">
                  <c:v>14</c:v>
                </c:pt>
                <c:pt idx="1023">
                  <c:v>6</c:v>
                </c:pt>
                <c:pt idx="1024">
                  <c:v>14</c:v>
                </c:pt>
                <c:pt idx="1025">
                  <c:v>5</c:v>
                </c:pt>
                <c:pt idx="1026">
                  <c:v>29</c:v>
                </c:pt>
                <c:pt idx="1027">
                  <c:v>24</c:v>
                </c:pt>
                <c:pt idx="1028">
                  <c:v>2</c:v>
                </c:pt>
                <c:pt idx="1029">
                  <c:v>50</c:v>
                </c:pt>
                <c:pt idx="1030">
                  <c:v>10</c:v>
                </c:pt>
                <c:pt idx="1031">
                  <c:v>25</c:v>
                </c:pt>
                <c:pt idx="1032">
                  <c:v>40</c:v>
                </c:pt>
                <c:pt idx="1033">
                  <c:v>26</c:v>
                </c:pt>
                <c:pt idx="1034">
                  <c:v>33</c:v>
                </c:pt>
                <c:pt idx="1035">
                  <c:v>23</c:v>
                </c:pt>
                <c:pt idx="1036">
                  <c:v>36</c:v>
                </c:pt>
                <c:pt idx="1037">
                  <c:v>28</c:v>
                </c:pt>
                <c:pt idx="1038">
                  <c:v>20</c:v>
                </c:pt>
                <c:pt idx="1039">
                  <c:v>17</c:v>
                </c:pt>
                <c:pt idx="1040">
                  <c:v>39</c:v>
                </c:pt>
                <c:pt idx="1041">
                  <c:v>33</c:v>
                </c:pt>
                <c:pt idx="1042">
                  <c:v>41</c:v>
                </c:pt>
                <c:pt idx="1043">
                  <c:v>7</c:v>
                </c:pt>
                <c:pt idx="1044">
                  <c:v>36</c:v>
                </c:pt>
                <c:pt idx="1045">
                  <c:v>46</c:v>
                </c:pt>
                <c:pt idx="1046">
                  <c:v>11</c:v>
                </c:pt>
                <c:pt idx="1047">
                  <c:v>29</c:v>
                </c:pt>
                <c:pt idx="1048">
                  <c:v>18</c:v>
                </c:pt>
                <c:pt idx="1049">
                  <c:v>46</c:v>
                </c:pt>
                <c:pt idx="1050">
                  <c:v>34</c:v>
                </c:pt>
                <c:pt idx="1051">
                  <c:v>48</c:v>
                </c:pt>
                <c:pt idx="1052">
                  <c:v>40</c:v>
                </c:pt>
                <c:pt idx="1053">
                  <c:v>4</c:v>
                </c:pt>
                <c:pt idx="1054">
                  <c:v>12</c:v>
                </c:pt>
                <c:pt idx="1055">
                  <c:v>36</c:v>
                </c:pt>
                <c:pt idx="1056">
                  <c:v>3</c:v>
                </c:pt>
                <c:pt idx="1057">
                  <c:v>12</c:v>
                </c:pt>
                <c:pt idx="1058">
                  <c:v>2</c:v>
                </c:pt>
                <c:pt idx="1059">
                  <c:v>2</c:v>
                </c:pt>
                <c:pt idx="1060">
                  <c:v>6</c:v>
                </c:pt>
                <c:pt idx="1061">
                  <c:v>11</c:v>
                </c:pt>
                <c:pt idx="1062">
                  <c:v>36</c:v>
                </c:pt>
                <c:pt idx="1063">
                  <c:v>32</c:v>
                </c:pt>
                <c:pt idx="1064">
                  <c:v>46</c:v>
                </c:pt>
                <c:pt idx="1065">
                  <c:v>33</c:v>
                </c:pt>
                <c:pt idx="1066">
                  <c:v>19</c:v>
                </c:pt>
                <c:pt idx="1067">
                  <c:v>34</c:v>
                </c:pt>
                <c:pt idx="1068">
                  <c:v>3</c:v>
                </c:pt>
                <c:pt idx="1069">
                  <c:v>29</c:v>
                </c:pt>
                <c:pt idx="1070">
                  <c:v>5</c:v>
                </c:pt>
                <c:pt idx="1071">
                  <c:v>20</c:v>
                </c:pt>
                <c:pt idx="1072">
                  <c:v>37</c:v>
                </c:pt>
                <c:pt idx="1073">
                  <c:v>17</c:v>
                </c:pt>
                <c:pt idx="1074">
                  <c:v>47</c:v>
                </c:pt>
                <c:pt idx="1075">
                  <c:v>34</c:v>
                </c:pt>
                <c:pt idx="1076">
                  <c:v>5</c:v>
                </c:pt>
                <c:pt idx="1077">
                  <c:v>6</c:v>
                </c:pt>
                <c:pt idx="1078">
                  <c:v>34</c:v>
                </c:pt>
                <c:pt idx="1079">
                  <c:v>4</c:v>
                </c:pt>
                <c:pt idx="1080">
                  <c:v>48</c:v>
                </c:pt>
                <c:pt idx="1081">
                  <c:v>36</c:v>
                </c:pt>
                <c:pt idx="1082">
                  <c:v>13</c:v>
                </c:pt>
                <c:pt idx="1083">
                  <c:v>30</c:v>
                </c:pt>
                <c:pt idx="1084">
                  <c:v>25</c:v>
                </c:pt>
                <c:pt idx="1085">
                  <c:v>43</c:v>
                </c:pt>
                <c:pt idx="1086">
                  <c:v>15</c:v>
                </c:pt>
                <c:pt idx="1087">
                  <c:v>41</c:v>
                </c:pt>
                <c:pt idx="1088">
                  <c:v>22</c:v>
                </c:pt>
                <c:pt idx="1089">
                  <c:v>4</c:v>
                </c:pt>
                <c:pt idx="1090">
                  <c:v>6</c:v>
                </c:pt>
                <c:pt idx="1091">
                  <c:v>37</c:v>
                </c:pt>
                <c:pt idx="1092">
                  <c:v>36</c:v>
                </c:pt>
                <c:pt idx="1093">
                  <c:v>38</c:v>
                </c:pt>
                <c:pt idx="1094">
                  <c:v>41</c:v>
                </c:pt>
                <c:pt idx="1095">
                  <c:v>28</c:v>
                </c:pt>
                <c:pt idx="1096">
                  <c:v>36</c:v>
                </c:pt>
                <c:pt idx="1097">
                  <c:v>20</c:v>
                </c:pt>
                <c:pt idx="1098">
                  <c:v>3</c:v>
                </c:pt>
                <c:pt idx="1099">
                  <c:v>25</c:v>
                </c:pt>
                <c:pt idx="1100">
                  <c:v>23</c:v>
                </c:pt>
                <c:pt idx="1101">
                  <c:v>5</c:v>
                </c:pt>
                <c:pt idx="1102">
                  <c:v>22</c:v>
                </c:pt>
                <c:pt idx="1103">
                  <c:v>50</c:v>
                </c:pt>
                <c:pt idx="1104">
                  <c:v>3</c:v>
                </c:pt>
                <c:pt idx="1105">
                  <c:v>31</c:v>
                </c:pt>
                <c:pt idx="1106">
                  <c:v>16</c:v>
                </c:pt>
                <c:pt idx="1107">
                  <c:v>25</c:v>
                </c:pt>
                <c:pt idx="1108">
                  <c:v>47</c:v>
                </c:pt>
                <c:pt idx="1109">
                  <c:v>13</c:v>
                </c:pt>
                <c:pt idx="1110">
                  <c:v>4</c:v>
                </c:pt>
                <c:pt idx="1111">
                  <c:v>25</c:v>
                </c:pt>
                <c:pt idx="1112">
                  <c:v>36</c:v>
                </c:pt>
                <c:pt idx="1113">
                  <c:v>45</c:v>
                </c:pt>
                <c:pt idx="1114">
                  <c:v>48</c:v>
                </c:pt>
                <c:pt idx="1115">
                  <c:v>26</c:v>
                </c:pt>
                <c:pt idx="1116">
                  <c:v>37</c:v>
                </c:pt>
                <c:pt idx="1117">
                  <c:v>10</c:v>
                </c:pt>
                <c:pt idx="1118">
                  <c:v>5</c:v>
                </c:pt>
                <c:pt idx="1119">
                  <c:v>38</c:v>
                </c:pt>
                <c:pt idx="1120">
                  <c:v>18</c:v>
                </c:pt>
                <c:pt idx="1121">
                  <c:v>49</c:v>
                </c:pt>
                <c:pt idx="1122">
                  <c:v>4</c:v>
                </c:pt>
                <c:pt idx="1123">
                  <c:v>14</c:v>
                </c:pt>
                <c:pt idx="1124">
                  <c:v>12</c:v>
                </c:pt>
                <c:pt idx="1125">
                  <c:v>24</c:v>
                </c:pt>
                <c:pt idx="1126">
                  <c:v>32</c:v>
                </c:pt>
                <c:pt idx="1127">
                  <c:v>16</c:v>
                </c:pt>
                <c:pt idx="1128">
                  <c:v>0</c:v>
                </c:pt>
                <c:pt idx="1129">
                  <c:v>10</c:v>
                </c:pt>
                <c:pt idx="1130">
                  <c:v>37</c:v>
                </c:pt>
                <c:pt idx="1131">
                  <c:v>50</c:v>
                </c:pt>
                <c:pt idx="1132">
                  <c:v>36</c:v>
                </c:pt>
                <c:pt idx="1133">
                  <c:v>0</c:v>
                </c:pt>
                <c:pt idx="1134">
                  <c:v>2</c:v>
                </c:pt>
                <c:pt idx="1135">
                  <c:v>43</c:v>
                </c:pt>
                <c:pt idx="1136">
                  <c:v>19</c:v>
                </c:pt>
                <c:pt idx="1137">
                  <c:v>40</c:v>
                </c:pt>
                <c:pt idx="1138">
                  <c:v>45</c:v>
                </c:pt>
                <c:pt idx="1139">
                  <c:v>24</c:v>
                </c:pt>
                <c:pt idx="1140">
                  <c:v>41</c:v>
                </c:pt>
                <c:pt idx="1141">
                  <c:v>23</c:v>
                </c:pt>
                <c:pt idx="1142">
                  <c:v>6</c:v>
                </c:pt>
                <c:pt idx="1143">
                  <c:v>17</c:v>
                </c:pt>
                <c:pt idx="1144">
                  <c:v>47</c:v>
                </c:pt>
                <c:pt idx="1145">
                  <c:v>27</c:v>
                </c:pt>
                <c:pt idx="1146">
                  <c:v>2</c:v>
                </c:pt>
                <c:pt idx="1147">
                  <c:v>29</c:v>
                </c:pt>
                <c:pt idx="1148">
                  <c:v>46</c:v>
                </c:pt>
                <c:pt idx="1149">
                  <c:v>6</c:v>
                </c:pt>
                <c:pt idx="1150">
                  <c:v>50</c:v>
                </c:pt>
                <c:pt idx="1151">
                  <c:v>23</c:v>
                </c:pt>
                <c:pt idx="1152">
                  <c:v>15</c:v>
                </c:pt>
                <c:pt idx="1153">
                  <c:v>9</c:v>
                </c:pt>
                <c:pt idx="1154">
                  <c:v>35</c:v>
                </c:pt>
                <c:pt idx="1155">
                  <c:v>30</c:v>
                </c:pt>
                <c:pt idx="1156">
                  <c:v>18</c:v>
                </c:pt>
                <c:pt idx="1157">
                  <c:v>39</c:v>
                </c:pt>
                <c:pt idx="1158">
                  <c:v>40</c:v>
                </c:pt>
                <c:pt idx="1159">
                  <c:v>38</c:v>
                </c:pt>
                <c:pt idx="1160">
                  <c:v>12</c:v>
                </c:pt>
                <c:pt idx="1161">
                  <c:v>40</c:v>
                </c:pt>
                <c:pt idx="1162">
                  <c:v>14</c:v>
                </c:pt>
                <c:pt idx="1163">
                  <c:v>24</c:v>
                </c:pt>
                <c:pt idx="1164">
                  <c:v>19</c:v>
                </c:pt>
                <c:pt idx="1165">
                  <c:v>46</c:v>
                </c:pt>
                <c:pt idx="1166">
                  <c:v>38</c:v>
                </c:pt>
                <c:pt idx="1167">
                  <c:v>11</c:v>
                </c:pt>
                <c:pt idx="1168">
                  <c:v>42</c:v>
                </c:pt>
                <c:pt idx="1169">
                  <c:v>16</c:v>
                </c:pt>
                <c:pt idx="1170">
                  <c:v>1</c:v>
                </c:pt>
                <c:pt idx="1171">
                  <c:v>41</c:v>
                </c:pt>
                <c:pt idx="1172">
                  <c:v>15</c:v>
                </c:pt>
                <c:pt idx="1173">
                  <c:v>4</c:v>
                </c:pt>
                <c:pt idx="1174">
                  <c:v>20</c:v>
                </c:pt>
                <c:pt idx="1175">
                  <c:v>28</c:v>
                </c:pt>
                <c:pt idx="1176">
                  <c:v>43</c:v>
                </c:pt>
                <c:pt idx="1177">
                  <c:v>36</c:v>
                </c:pt>
                <c:pt idx="1178">
                  <c:v>0</c:v>
                </c:pt>
                <c:pt idx="1179">
                  <c:v>22</c:v>
                </c:pt>
                <c:pt idx="1180">
                  <c:v>22</c:v>
                </c:pt>
                <c:pt idx="1181">
                  <c:v>36</c:v>
                </c:pt>
                <c:pt idx="1182">
                  <c:v>31</c:v>
                </c:pt>
                <c:pt idx="1183">
                  <c:v>37</c:v>
                </c:pt>
                <c:pt idx="1184">
                  <c:v>39</c:v>
                </c:pt>
                <c:pt idx="1185">
                  <c:v>23</c:v>
                </c:pt>
                <c:pt idx="1186">
                  <c:v>40</c:v>
                </c:pt>
                <c:pt idx="1187">
                  <c:v>47</c:v>
                </c:pt>
                <c:pt idx="1188">
                  <c:v>1</c:v>
                </c:pt>
                <c:pt idx="1189">
                  <c:v>33</c:v>
                </c:pt>
                <c:pt idx="1190">
                  <c:v>26</c:v>
                </c:pt>
                <c:pt idx="1191">
                  <c:v>44</c:v>
                </c:pt>
                <c:pt idx="1192">
                  <c:v>43</c:v>
                </c:pt>
                <c:pt idx="1193">
                  <c:v>48</c:v>
                </c:pt>
                <c:pt idx="1194">
                  <c:v>15</c:v>
                </c:pt>
                <c:pt idx="1195">
                  <c:v>3</c:v>
                </c:pt>
                <c:pt idx="1196">
                  <c:v>3</c:v>
                </c:pt>
                <c:pt idx="1197">
                  <c:v>44</c:v>
                </c:pt>
                <c:pt idx="1198">
                  <c:v>47</c:v>
                </c:pt>
                <c:pt idx="1199">
                  <c:v>7</c:v>
                </c:pt>
                <c:pt idx="1200">
                  <c:v>28</c:v>
                </c:pt>
                <c:pt idx="1201">
                  <c:v>29</c:v>
                </c:pt>
                <c:pt idx="1202">
                  <c:v>8</c:v>
                </c:pt>
                <c:pt idx="1203">
                  <c:v>23</c:v>
                </c:pt>
                <c:pt idx="1204">
                  <c:v>32</c:v>
                </c:pt>
                <c:pt idx="1205">
                  <c:v>50</c:v>
                </c:pt>
                <c:pt idx="1206">
                  <c:v>33</c:v>
                </c:pt>
                <c:pt idx="1207">
                  <c:v>26</c:v>
                </c:pt>
                <c:pt idx="1208">
                  <c:v>7</c:v>
                </c:pt>
                <c:pt idx="1209">
                  <c:v>20</c:v>
                </c:pt>
                <c:pt idx="1210">
                  <c:v>44</c:v>
                </c:pt>
                <c:pt idx="1211">
                  <c:v>0</c:v>
                </c:pt>
                <c:pt idx="1212">
                  <c:v>12</c:v>
                </c:pt>
                <c:pt idx="1213">
                  <c:v>24</c:v>
                </c:pt>
                <c:pt idx="1214">
                  <c:v>6</c:v>
                </c:pt>
                <c:pt idx="1215">
                  <c:v>8</c:v>
                </c:pt>
                <c:pt idx="1216">
                  <c:v>3</c:v>
                </c:pt>
                <c:pt idx="1217">
                  <c:v>34</c:v>
                </c:pt>
                <c:pt idx="1218">
                  <c:v>33</c:v>
                </c:pt>
                <c:pt idx="1219">
                  <c:v>5</c:v>
                </c:pt>
                <c:pt idx="1220">
                  <c:v>37</c:v>
                </c:pt>
                <c:pt idx="1221">
                  <c:v>13</c:v>
                </c:pt>
                <c:pt idx="1222">
                  <c:v>13</c:v>
                </c:pt>
                <c:pt idx="1223">
                  <c:v>28</c:v>
                </c:pt>
                <c:pt idx="1224">
                  <c:v>47</c:v>
                </c:pt>
                <c:pt idx="1225">
                  <c:v>45</c:v>
                </c:pt>
                <c:pt idx="1226">
                  <c:v>0</c:v>
                </c:pt>
                <c:pt idx="1227">
                  <c:v>34</c:v>
                </c:pt>
                <c:pt idx="1228">
                  <c:v>27</c:v>
                </c:pt>
                <c:pt idx="1229">
                  <c:v>46</c:v>
                </c:pt>
                <c:pt idx="1230">
                  <c:v>4</c:v>
                </c:pt>
                <c:pt idx="1231">
                  <c:v>37</c:v>
                </c:pt>
                <c:pt idx="1232">
                  <c:v>13</c:v>
                </c:pt>
                <c:pt idx="1233">
                  <c:v>31</c:v>
                </c:pt>
                <c:pt idx="1234">
                  <c:v>10</c:v>
                </c:pt>
                <c:pt idx="1235">
                  <c:v>24</c:v>
                </c:pt>
                <c:pt idx="1236">
                  <c:v>6</c:v>
                </c:pt>
                <c:pt idx="1237">
                  <c:v>27</c:v>
                </c:pt>
                <c:pt idx="1238">
                  <c:v>20</c:v>
                </c:pt>
                <c:pt idx="1239">
                  <c:v>9</c:v>
                </c:pt>
                <c:pt idx="1240">
                  <c:v>25</c:v>
                </c:pt>
                <c:pt idx="1241">
                  <c:v>34</c:v>
                </c:pt>
                <c:pt idx="1242">
                  <c:v>47</c:v>
                </c:pt>
                <c:pt idx="1243">
                  <c:v>36</c:v>
                </c:pt>
                <c:pt idx="1244">
                  <c:v>3</c:v>
                </c:pt>
                <c:pt idx="1245">
                  <c:v>38</c:v>
                </c:pt>
                <c:pt idx="1246">
                  <c:v>34</c:v>
                </c:pt>
                <c:pt idx="1247">
                  <c:v>19</c:v>
                </c:pt>
                <c:pt idx="1248">
                  <c:v>7</c:v>
                </c:pt>
                <c:pt idx="1249">
                  <c:v>11</c:v>
                </c:pt>
                <c:pt idx="1250">
                  <c:v>36</c:v>
                </c:pt>
                <c:pt idx="1251">
                  <c:v>35</c:v>
                </c:pt>
                <c:pt idx="1252">
                  <c:v>38</c:v>
                </c:pt>
                <c:pt idx="1253">
                  <c:v>7</c:v>
                </c:pt>
                <c:pt idx="1254">
                  <c:v>35</c:v>
                </c:pt>
                <c:pt idx="1255">
                  <c:v>13</c:v>
                </c:pt>
                <c:pt idx="1256">
                  <c:v>3</c:v>
                </c:pt>
                <c:pt idx="1257">
                  <c:v>10</c:v>
                </c:pt>
                <c:pt idx="1258">
                  <c:v>7</c:v>
                </c:pt>
                <c:pt idx="1259">
                  <c:v>43</c:v>
                </c:pt>
                <c:pt idx="1260">
                  <c:v>6</c:v>
                </c:pt>
                <c:pt idx="1261">
                  <c:v>5</c:v>
                </c:pt>
                <c:pt idx="1262">
                  <c:v>41</c:v>
                </c:pt>
                <c:pt idx="1263">
                  <c:v>39</c:v>
                </c:pt>
                <c:pt idx="1264">
                  <c:v>24</c:v>
                </c:pt>
                <c:pt idx="1265">
                  <c:v>7</c:v>
                </c:pt>
                <c:pt idx="1266">
                  <c:v>41</c:v>
                </c:pt>
                <c:pt idx="1267">
                  <c:v>23</c:v>
                </c:pt>
                <c:pt idx="1268">
                  <c:v>13</c:v>
                </c:pt>
                <c:pt idx="1269">
                  <c:v>18</c:v>
                </c:pt>
                <c:pt idx="1270">
                  <c:v>1</c:v>
                </c:pt>
                <c:pt idx="1271">
                  <c:v>18</c:v>
                </c:pt>
                <c:pt idx="1272">
                  <c:v>30</c:v>
                </c:pt>
                <c:pt idx="1273">
                  <c:v>31</c:v>
                </c:pt>
                <c:pt idx="1274">
                  <c:v>8</c:v>
                </c:pt>
                <c:pt idx="1275">
                  <c:v>10</c:v>
                </c:pt>
                <c:pt idx="1276">
                  <c:v>25</c:v>
                </c:pt>
                <c:pt idx="1277">
                  <c:v>4</c:v>
                </c:pt>
                <c:pt idx="1278">
                  <c:v>50</c:v>
                </c:pt>
                <c:pt idx="1279">
                  <c:v>20</c:v>
                </c:pt>
                <c:pt idx="1280">
                  <c:v>32</c:v>
                </c:pt>
                <c:pt idx="1281">
                  <c:v>15</c:v>
                </c:pt>
                <c:pt idx="1282">
                  <c:v>19</c:v>
                </c:pt>
                <c:pt idx="1283">
                  <c:v>26</c:v>
                </c:pt>
                <c:pt idx="1284">
                  <c:v>12</c:v>
                </c:pt>
                <c:pt idx="1285">
                  <c:v>36</c:v>
                </c:pt>
                <c:pt idx="1286">
                  <c:v>40</c:v>
                </c:pt>
                <c:pt idx="1287">
                  <c:v>35</c:v>
                </c:pt>
                <c:pt idx="1288">
                  <c:v>31</c:v>
                </c:pt>
                <c:pt idx="1289">
                  <c:v>46</c:v>
                </c:pt>
                <c:pt idx="1290">
                  <c:v>42</c:v>
                </c:pt>
                <c:pt idx="1291">
                  <c:v>41</c:v>
                </c:pt>
                <c:pt idx="1292">
                  <c:v>9</c:v>
                </c:pt>
                <c:pt idx="1293">
                  <c:v>3</c:v>
                </c:pt>
                <c:pt idx="1294">
                  <c:v>34</c:v>
                </c:pt>
                <c:pt idx="1295">
                  <c:v>3</c:v>
                </c:pt>
                <c:pt idx="1296">
                  <c:v>2</c:v>
                </c:pt>
                <c:pt idx="1297">
                  <c:v>7</c:v>
                </c:pt>
                <c:pt idx="1298">
                  <c:v>22</c:v>
                </c:pt>
                <c:pt idx="1299">
                  <c:v>33</c:v>
                </c:pt>
                <c:pt idx="1300">
                  <c:v>40</c:v>
                </c:pt>
                <c:pt idx="1301">
                  <c:v>18</c:v>
                </c:pt>
                <c:pt idx="1302">
                  <c:v>11</c:v>
                </c:pt>
                <c:pt idx="1303">
                  <c:v>29</c:v>
                </c:pt>
                <c:pt idx="1304">
                  <c:v>21</c:v>
                </c:pt>
                <c:pt idx="1305">
                  <c:v>25</c:v>
                </c:pt>
                <c:pt idx="1306">
                  <c:v>14</c:v>
                </c:pt>
                <c:pt idx="1307">
                  <c:v>10</c:v>
                </c:pt>
                <c:pt idx="1308">
                  <c:v>26</c:v>
                </c:pt>
                <c:pt idx="1309">
                  <c:v>31</c:v>
                </c:pt>
                <c:pt idx="1310">
                  <c:v>1</c:v>
                </c:pt>
                <c:pt idx="1311">
                  <c:v>47</c:v>
                </c:pt>
                <c:pt idx="1312">
                  <c:v>9</c:v>
                </c:pt>
                <c:pt idx="1313">
                  <c:v>43</c:v>
                </c:pt>
                <c:pt idx="1314">
                  <c:v>9</c:v>
                </c:pt>
                <c:pt idx="1315">
                  <c:v>33</c:v>
                </c:pt>
                <c:pt idx="1316">
                  <c:v>35</c:v>
                </c:pt>
                <c:pt idx="1317">
                  <c:v>30</c:v>
                </c:pt>
                <c:pt idx="1318">
                  <c:v>31</c:v>
                </c:pt>
                <c:pt idx="1319">
                  <c:v>21</c:v>
                </c:pt>
                <c:pt idx="1320">
                  <c:v>9</c:v>
                </c:pt>
                <c:pt idx="1321">
                  <c:v>14</c:v>
                </c:pt>
                <c:pt idx="1322">
                  <c:v>15</c:v>
                </c:pt>
                <c:pt idx="1323">
                  <c:v>16</c:v>
                </c:pt>
                <c:pt idx="1324">
                  <c:v>38</c:v>
                </c:pt>
                <c:pt idx="1325">
                  <c:v>25</c:v>
                </c:pt>
                <c:pt idx="1326">
                  <c:v>43</c:v>
                </c:pt>
                <c:pt idx="1327">
                  <c:v>31</c:v>
                </c:pt>
                <c:pt idx="1328">
                  <c:v>15</c:v>
                </c:pt>
                <c:pt idx="1329">
                  <c:v>46</c:v>
                </c:pt>
                <c:pt idx="1330">
                  <c:v>3</c:v>
                </c:pt>
                <c:pt idx="1331">
                  <c:v>39</c:v>
                </c:pt>
                <c:pt idx="1332">
                  <c:v>34</c:v>
                </c:pt>
                <c:pt idx="1333">
                  <c:v>50</c:v>
                </c:pt>
                <c:pt idx="1334">
                  <c:v>29</c:v>
                </c:pt>
                <c:pt idx="1335">
                  <c:v>37</c:v>
                </c:pt>
                <c:pt idx="1336">
                  <c:v>14</c:v>
                </c:pt>
                <c:pt idx="1337">
                  <c:v>39</c:v>
                </c:pt>
                <c:pt idx="1338">
                  <c:v>25</c:v>
                </c:pt>
                <c:pt idx="1339">
                  <c:v>7</c:v>
                </c:pt>
                <c:pt idx="1340">
                  <c:v>4</c:v>
                </c:pt>
                <c:pt idx="1341">
                  <c:v>48</c:v>
                </c:pt>
                <c:pt idx="1342">
                  <c:v>18</c:v>
                </c:pt>
                <c:pt idx="1343">
                  <c:v>26</c:v>
                </c:pt>
                <c:pt idx="1344">
                  <c:v>5</c:v>
                </c:pt>
                <c:pt idx="1345">
                  <c:v>23</c:v>
                </c:pt>
                <c:pt idx="1346">
                  <c:v>28</c:v>
                </c:pt>
                <c:pt idx="1347">
                  <c:v>19</c:v>
                </c:pt>
                <c:pt idx="1348">
                  <c:v>21</c:v>
                </c:pt>
                <c:pt idx="1349">
                  <c:v>23</c:v>
                </c:pt>
                <c:pt idx="1350">
                  <c:v>34</c:v>
                </c:pt>
                <c:pt idx="1351">
                  <c:v>13</c:v>
                </c:pt>
                <c:pt idx="1352">
                  <c:v>13</c:v>
                </c:pt>
                <c:pt idx="1353">
                  <c:v>33</c:v>
                </c:pt>
                <c:pt idx="1354">
                  <c:v>27</c:v>
                </c:pt>
                <c:pt idx="1355">
                  <c:v>41</c:v>
                </c:pt>
                <c:pt idx="1356">
                  <c:v>11</c:v>
                </c:pt>
                <c:pt idx="1357">
                  <c:v>25</c:v>
                </c:pt>
                <c:pt idx="1358">
                  <c:v>19</c:v>
                </c:pt>
                <c:pt idx="1359">
                  <c:v>7</c:v>
                </c:pt>
                <c:pt idx="1360">
                  <c:v>10</c:v>
                </c:pt>
                <c:pt idx="1361">
                  <c:v>40</c:v>
                </c:pt>
                <c:pt idx="1362">
                  <c:v>16</c:v>
                </c:pt>
                <c:pt idx="1363">
                  <c:v>6</c:v>
                </c:pt>
                <c:pt idx="1364">
                  <c:v>30</c:v>
                </c:pt>
                <c:pt idx="1365">
                  <c:v>32</c:v>
                </c:pt>
                <c:pt idx="1366">
                  <c:v>19</c:v>
                </c:pt>
                <c:pt idx="1367">
                  <c:v>25</c:v>
                </c:pt>
                <c:pt idx="1368">
                  <c:v>21</c:v>
                </c:pt>
                <c:pt idx="1369">
                  <c:v>11</c:v>
                </c:pt>
                <c:pt idx="1370">
                  <c:v>29</c:v>
                </c:pt>
                <c:pt idx="1371">
                  <c:v>12</c:v>
                </c:pt>
                <c:pt idx="1372">
                  <c:v>18</c:v>
                </c:pt>
                <c:pt idx="1373">
                  <c:v>25</c:v>
                </c:pt>
                <c:pt idx="1374">
                  <c:v>2</c:v>
                </c:pt>
                <c:pt idx="1375">
                  <c:v>33</c:v>
                </c:pt>
                <c:pt idx="1376">
                  <c:v>29</c:v>
                </c:pt>
                <c:pt idx="1377">
                  <c:v>27</c:v>
                </c:pt>
                <c:pt idx="1378">
                  <c:v>43</c:v>
                </c:pt>
                <c:pt idx="1379">
                  <c:v>24</c:v>
                </c:pt>
                <c:pt idx="1380">
                  <c:v>37</c:v>
                </c:pt>
                <c:pt idx="1381">
                  <c:v>22</c:v>
                </c:pt>
                <c:pt idx="1382">
                  <c:v>11</c:v>
                </c:pt>
                <c:pt idx="1383">
                  <c:v>39</c:v>
                </c:pt>
                <c:pt idx="1384">
                  <c:v>25</c:v>
                </c:pt>
                <c:pt idx="1385">
                  <c:v>14</c:v>
                </c:pt>
                <c:pt idx="1386">
                  <c:v>19</c:v>
                </c:pt>
                <c:pt idx="1387">
                  <c:v>6</c:v>
                </c:pt>
                <c:pt idx="1388">
                  <c:v>41</c:v>
                </c:pt>
                <c:pt idx="1389">
                  <c:v>49</c:v>
                </c:pt>
                <c:pt idx="1390">
                  <c:v>35</c:v>
                </c:pt>
                <c:pt idx="1391">
                  <c:v>1</c:v>
                </c:pt>
                <c:pt idx="1392">
                  <c:v>25</c:v>
                </c:pt>
                <c:pt idx="1393">
                  <c:v>27</c:v>
                </c:pt>
                <c:pt idx="1394">
                  <c:v>26</c:v>
                </c:pt>
                <c:pt idx="1395">
                  <c:v>45</c:v>
                </c:pt>
                <c:pt idx="1396">
                  <c:v>37</c:v>
                </c:pt>
                <c:pt idx="1397">
                  <c:v>47</c:v>
                </c:pt>
                <c:pt idx="1398">
                  <c:v>25</c:v>
                </c:pt>
                <c:pt idx="1399">
                  <c:v>45</c:v>
                </c:pt>
                <c:pt idx="1400">
                  <c:v>24</c:v>
                </c:pt>
                <c:pt idx="1401">
                  <c:v>46</c:v>
                </c:pt>
                <c:pt idx="1402">
                  <c:v>17</c:v>
                </c:pt>
                <c:pt idx="1403">
                  <c:v>21</c:v>
                </c:pt>
                <c:pt idx="1404">
                  <c:v>22</c:v>
                </c:pt>
                <c:pt idx="1405">
                  <c:v>14</c:v>
                </c:pt>
                <c:pt idx="1406">
                  <c:v>28</c:v>
                </c:pt>
                <c:pt idx="1407">
                  <c:v>26</c:v>
                </c:pt>
                <c:pt idx="1408">
                  <c:v>25</c:v>
                </c:pt>
                <c:pt idx="1409">
                  <c:v>2</c:v>
                </c:pt>
                <c:pt idx="1410">
                  <c:v>21</c:v>
                </c:pt>
                <c:pt idx="1411">
                  <c:v>6</c:v>
                </c:pt>
                <c:pt idx="1412">
                  <c:v>14</c:v>
                </c:pt>
                <c:pt idx="1413">
                  <c:v>28</c:v>
                </c:pt>
                <c:pt idx="1414">
                  <c:v>17</c:v>
                </c:pt>
                <c:pt idx="1415">
                  <c:v>9</c:v>
                </c:pt>
                <c:pt idx="1416">
                  <c:v>33</c:v>
                </c:pt>
                <c:pt idx="1417">
                  <c:v>4</c:v>
                </c:pt>
                <c:pt idx="1418">
                  <c:v>33</c:v>
                </c:pt>
                <c:pt idx="1419">
                  <c:v>40</c:v>
                </c:pt>
                <c:pt idx="1420">
                  <c:v>2</c:v>
                </c:pt>
                <c:pt idx="1421">
                  <c:v>42</c:v>
                </c:pt>
                <c:pt idx="1422">
                  <c:v>9</c:v>
                </c:pt>
                <c:pt idx="1423">
                  <c:v>17</c:v>
                </c:pt>
                <c:pt idx="1424">
                  <c:v>39</c:v>
                </c:pt>
                <c:pt idx="1425">
                  <c:v>32</c:v>
                </c:pt>
                <c:pt idx="1426">
                  <c:v>15</c:v>
                </c:pt>
                <c:pt idx="1427">
                  <c:v>39</c:v>
                </c:pt>
                <c:pt idx="1428">
                  <c:v>20</c:v>
                </c:pt>
                <c:pt idx="1429">
                  <c:v>8</c:v>
                </c:pt>
                <c:pt idx="1430">
                  <c:v>1</c:v>
                </c:pt>
                <c:pt idx="1431">
                  <c:v>35</c:v>
                </c:pt>
                <c:pt idx="1432">
                  <c:v>5</c:v>
                </c:pt>
                <c:pt idx="1433">
                  <c:v>1</c:v>
                </c:pt>
                <c:pt idx="1434">
                  <c:v>45</c:v>
                </c:pt>
                <c:pt idx="1435">
                  <c:v>1</c:v>
                </c:pt>
                <c:pt idx="1436">
                  <c:v>20</c:v>
                </c:pt>
                <c:pt idx="1437">
                  <c:v>7</c:v>
                </c:pt>
                <c:pt idx="1438">
                  <c:v>9</c:v>
                </c:pt>
                <c:pt idx="1439">
                  <c:v>26</c:v>
                </c:pt>
                <c:pt idx="1440">
                  <c:v>11</c:v>
                </c:pt>
                <c:pt idx="1441">
                  <c:v>29</c:v>
                </c:pt>
                <c:pt idx="1442">
                  <c:v>29</c:v>
                </c:pt>
                <c:pt idx="1443">
                  <c:v>24</c:v>
                </c:pt>
                <c:pt idx="1444">
                  <c:v>0</c:v>
                </c:pt>
                <c:pt idx="1445">
                  <c:v>35</c:v>
                </c:pt>
                <c:pt idx="1446">
                  <c:v>6</c:v>
                </c:pt>
                <c:pt idx="1447">
                  <c:v>10</c:v>
                </c:pt>
                <c:pt idx="1448">
                  <c:v>22</c:v>
                </c:pt>
                <c:pt idx="1449">
                  <c:v>9</c:v>
                </c:pt>
                <c:pt idx="1450">
                  <c:v>26</c:v>
                </c:pt>
                <c:pt idx="1451">
                  <c:v>39</c:v>
                </c:pt>
                <c:pt idx="1452">
                  <c:v>50</c:v>
                </c:pt>
                <c:pt idx="1453">
                  <c:v>39</c:v>
                </c:pt>
                <c:pt idx="1454">
                  <c:v>19</c:v>
                </c:pt>
                <c:pt idx="1455">
                  <c:v>47</c:v>
                </c:pt>
                <c:pt idx="1456">
                  <c:v>36</c:v>
                </c:pt>
                <c:pt idx="1457">
                  <c:v>42</c:v>
                </c:pt>
                <c:pt idx="1458">
                  <c:v>15</c:v>
                </c:pt>
                <c:pt idx="1459">
                  <c:v>7</c:v>
                </c:pt>
                <c:pt idx="1460">
                  <c:v>17</c:v>
                </c:pt>
                <c:pt idx="1461">
                  <c:v>42</c:v>
                </c:pt>
                <c:pt idx="1462">
                  <c:v>25</c:v>
                </c:pt>
                <c:pt idx="1463">
                  <c:v>17</c:v>
                </c:pt>
                <c:pt idx="1464">
                  <c:v>3</c:v>
                </c:pt>
                <c:pt idx="1465">
                  <c:v>34</c:v>
                </c:pt>
                <c:pt idx="1466">
                  <c:v>29</c:v>
                </c:pt>
                <c:pt idx="1467">
                  <c:v>7</c:v>
                </c:pt>
                <c:pt idx="1468">
                  <c:v>10</c:v>
                </c:pt>
                <c:pt idx="1469">
                  <c:v>17</c:v>
                </c:pt>
                <c:pt idx="1470">
                  <c:v>15</c:v>
                </c:pt>
                <c:pt idx="1471">
                  <c:v>37</c:v>
                </c:pt>
                <c:pt idx="1472">
                  <c:v>26</c:v>
                </c:pt>
                <c:pt idx="1473">
                  <c:v>31</c:v>
                </c:pt>
                <c:pt idx="1474">
                  <c:v>13</c:v>
                </c:pt>
                <c:pt idx="1475">
                  <c:v>28</c:v>
                </c:pt>
                <c:pt idx="1476">
                  <c:v>10</c:v>
                </c:pt>
                <c:pt idx="1477">
                  <c:v>26</c:v>
                </c:pt>
                <c:pt idx="1478">
                  <c:v>13</c:v>
                </c:pt>
                <c:pt idx="1479">
                  <c:v>24</c:v>
                </c:pt>
                <c:pt idx="1480">
                  <c:v>5</c:v>
                </c:pt>
                <c:pt idx="1481">
                  <c:v>46</c:v>
                </c:pt>
                <c:pt idx="1482">
                  <c:v>48</c:v>
                </c:pt>
                <c:pt idx="1483">
                  <c:v>24</c:v>
                </c:pt>
                <c:pt idx="1484">
                  <c:v>42</c:v>
                </c:pt>
                <c:pt idx="1485">
                  <c:v>24</c:v>
                </c:pt>
                <c:pt idx="1486">
                  <c:v>40</c:v>
                </c:pt>
                <c:pt idx="1487">
                  <c:v>16</c:v>
                </c:pt>
                <c:pt idx="1488">
                  <c:v>5</c:v>
                </c:pt>
                <c:pt idx="1489">
                  <c:v>26</c:v>
                </c:pt>
                <c:pt idx="1490">
                  <c:v>49</c:v>
                </c:pt>
                <c:pt idx="1491">
                  <c:v>13</c:v>
                </c:pt>
                <c:pt idx="1492">
                  <c:v>27</c:v>
                </c:pt>
                <c:pt idx="1493">
                  <c:v>28</c:v>
                </c:pt>
                <c:pt idx="1494">
                  <c:v>7</c:v>
                </c:pt>
                <c:pt idx="1495">
                  <c:v>17</c:v>
                </c:pt>
                <c:pt idx="1496">
                  <c:v>0</c:v>
                </c:pt>
                <c:pt idx="1497">
                  <c:v>10</c:v>
                </c:pt>
                <c:pt idx="1498">
                  <c:v>15</c:v>
                </c:pt>
                <c:pt idx="1499">
                  <c:v>5</c:v>
                </c:pt>
                <c:pt idx="1500">
                  <c:v>22</c:v>
                </c:pt>
                <c:pt idx="1501">
                  <c:v>18</c:v>
                </c:pt>
                <c:pt idx="1502">
                  <c:v>23</c:v>
                </c:pt>
                <c:pt idx="1503">
                  <c:v>44</c:v>
                </c:pt>
                <c:pt idx="1504">
                  <c:v>2</c:v>
                </c:pt>
                <c:pt idx="1505">
                  <c:v>19</c:v>
                </c:pt>
                <c:pt idx="1506">
                  <c:v>5</c:v>
                </c:pt>
                <c:pt idx="1507">
                  <c:v>31</c:v>
                </c:pt>
                <c:pt idx="1508">
                  <c:v>8</c:v>
                </c:pt>
                <c:pt idx="1509">
                  <c:v>33</c:v>
                </c:pt>
                <c:pt idx="1510">
                  <c:v>31</c:v>
                </c:pt>
                <c:pt idx="1511">
                  <c:v>44</c:v>
                </c:pt>
                <c:pt idx="1512">
                  <c:v>12</c:v>
                </c:pt>
                <c:pt idx="1513">
                  <c:v>9</c:v>
                </c:pt>
                <c:pt idx="1514">
                  <c:v>39</c:v>
                </c:pt>
                <c:pt idx="1515">
                  <c:v>26</c:v>
                </c:pt>
                <c:pt idx="1516">
                  <c:v>16</c:v>
                </c:pt>
                <c:pt idx="1517">
                  <c:v>44</c:v>
                </c:pt>
                <c:pt idx="1518">
                  <c:v>20</c:v>
                </c:pt>
                <c:pt idx="1519">
                  <c:v>35</c:v>
                </c:pt>
                <c:pt idx="1520">
                  <c:v>36</c:v>
                </c:pt>
                <c:pt idx="1521">
                  <c:v>17</c:v>
                </c:pt>
                <c:pt idx="1522">
                  <c:v>9</c:v>
                </c:pt>
                <c:pt idx="1523">
                  <c:v>28</c:v>
                </c:pt>
                <c:pt idx="1524">
                  <c:v>41</c:v>
                </c:pt>
                <c:pt idx="1525">
                  <c:v>32</c:v>
                </c:pt>
                <c:pt idx="1526">
                  <c:v>43</c:v>
                </c:pt>
                <c:pt idx="1527">
                  <c:v>32</c:v>
                </c:pt>
                <c:pt idx="1528">
                  <c:v>32</c:v>
                </c:pt>
                <c:pt idx="1529">
                  <c:v>25</c:v>
                </c:pt>
                <c:pt idx="1530">
                  <c:v>9</c:v>
                </c:pt>
                <c:pt idx="1531">
                  <c:v>20</c:v>
                </c:pt>
                <c:pt idx="1532">
                  <c:v>15</c:v>
                </c:pt>
                <c:pt idx="1533">
                  <c:v>0</c:v>
                </c:pt>
                <c:pt idx="1534">
                  <c:v>1</c:v>
                </c:pt>
                <c:pt idx="1535">
                  <c:v>28</c:v>
                </c:pt>
                <c:pt idx="1536">
                  <c:v>11</c:v>
                </c:pt>
                <c:pt idx="1537">
                  <c:v>22</c:v>
                </c:pt>
                <c:pt idx="1538">
                  <c:v>23</c:v>
                </c:pt>
                <c:pt idx="1539">
                  <c:v>4</c:v>
                </c:pt>
                <c:pt idx="1540">
                  <c:v>12</c:v>
                </c:pt>
                <c:pt idx="1541">
                  <c:v>44</c:v>
                </c:pt>
                <c:pt idx="1542">
                  <c:v>19</c:v>
                </c:pt>
                <c:pt idx="1543">
                  <c:v>8</c:v>
                </c:pt>
                <c:pt idx="1544">
                  <c:v>27</c:v>
                </c:pt>
                <c:pt idx="1545">
                  <c:v>32</c:v>
                </c:pt>
                <c:pt idx="1546">
                  <c:v>34</c:v>
                </c:pt>
                <c:pt idx="1547">
                  <c:v>47</c:v>
                </c:pt>
                <c:pt idx="1548">
                  <c:v>42</c:v>
                </c:pt>
                <c:pt idx="1549">
                  <c:v>46</c:v>
                </c:pt>
                <c:pt idx="1550">
                  <c:v>23</c:v>
                </c:pt>
                <c:pt idx="1551">
                  <c:v>39</c:v>
                </c:pt>
                <c:pt idx="1552">
                  <c:v>1</c:v>
                </c:pt>
                <c:pt idx="1553">
                  <c:v>24</c:v>
                </c:pt>
                <c:pt idx="1554">
                  <c:v>48</c:v>
                </c:pt>
                <c:pt idx="1555">
                  <c:v>13</c:v>
                </c:pt>
                <c:pt idx="1556">
                  <c:v>34</c:v>
                </c:pt>
                <c:pt idx="1557">
                  <c:v>35</c:v>
                </c:pt>
                <c:pt idx="1558">
                  <c:v>50</c:v>
                </c:pt>
                <c:pt idx="1559">
                  <c:v>8</c:v>
                </c:pt>
                <c:pt idx="1560">
                  <c:v>30</c:v>
                </c:pt>
                <c:pt idx="1561">
                  <c:v>2</c:v>
                </c:pt>
                <c:pt idx="1562">
                  <c:v>4</c:v>
                </c:pt>
                <c:pt idx="1563">
                  <c:v>16</c:v>
                </c:pt>
                <c:pt idx="1564">
                  <c:v>46</c:v>
                </c:pt>
                <c:pt idx="1565">
                  <c:v>41</c:v>
                </c:pt>
                <c:pt idx="1566">
                  <c:v>37</c:v>
                </c:pt>
                <c:pt idx="1567">
                  <c:v>40</c:v>
                </c:pt>
                <c:pt idx="1568">
                  <c:v>7</c:v>
                </c:pt>
                <c:pt idx="1569">
                  <c:v>20</c:v>
                </c:pt>
                <c:pt idx="1570">
                  <c:v>2</c:v>
                </c:pt>
                <c:pt idx="1571">
                  <c:v>11</c:v>
                </c:pt>
                <c:pt idx="1572">
                  <c:v>0</c:v>
                </c:pt>
                <c:pt idx="1573">
                  <c:v>39</c:v>
                </c:pt>
                <c:pt idx="1574">
                  <c:v>28</c:v>
                </c:pt>
                <c:pt idx="1575">
                  <c:v>13</c:v>
                </c:pt>
                <c:pt idx="1576">
                  <c:v>9</c:v>
                </c:pt>
                <c:pt idx="1577">
                  <c:v>24</c:v>
                </c:pt>
                <c:pt idx="1578">
                  <c:v>36</c:v>
                </c:pt>
                <c:pt idx="1579">
                  <c:v>48</c:v>
                </c:pt>
                <c:pt idx="1580">
                  <c:v>5</c:v>
                </c:pt>
                <c:pt idx="1581">
                  <c:v>24</c:v>
                </c:pt>
                <c:pt idx="1582">
                  <c:v>49</c:v>
                </c:pt>
                <c:pt idx="1583">
                  <c:v>14</c:v>
                </c:pt>
                <c:pt idx="1584">
                  <c:v>13</c:v>
                </c:pt>
                <c:pt idx="1585">
                  <c:v>24</c:v>
                </c:pt>
                <c:pt idx="1586">
                  <c:v>11</c:v>
                </c:pt>
                <c:pt idx="1587">
                  <c:v>41</c:v>
                </c:pt>
                <c:pt idx="1588">
                  <c:v>38</c:v>
                </c:pt>
                <c:pt idx="1589">
                  <c:v>39</c:v>
                </c:pt>
                <c:pt idx="1590">
                  <c:v>2</c:v>
                </c:pt>
                <c:pt idx="1591">
                  <c:v>3</c:v>
                </c:pt>
                <c:pt idx="1592">
                  <c:v>12</c:v>
                </c:pt>
                <c:pt idx="1593">
                  <c:v>14</c:v>
                </c:pt>
                <c:pt idx="1594">
                  <c:v>26</c:v>
                </c:pt>
                <c:pt idx="1595">
                  <c:v>48</c:v>
                </c:pt>
                <c:pt idx="1596">
                  <c:v>18</c:v>
                </c:pt>
                <c:pt idx="1597">
                  <c:v>3</c:v>
                </c:pt>
                <c:pt idx="1598">
                  <c:v>4</c:v>
                </c:pt>
                <c:pt idx="1599">
                  <c:v>46</c:v>
                </c:pt>
                <c:pt idx="1600">
                  <c:v>32</c:v>
                </c:pt>
                <c:pt idx="1601">
                  <c:v>26</c:v>
                </c:pt>
                <c:pt idx="1602">
                  <c:v>5</c:v>
                </c:pt>
                <c:pt idx="1603">
                  <c:v>9</c:v>
                </c:pt>
                <c:pt idx="1604">
                  <c:v>23</c:v>
                </c:pt>
                <c:pt idx="1605">
                  <c:v>30</c:v>
                </c:pt>
                <c:pt idx="1606">
                  <c:v>17</c:v>
                </c:pt>
                <c:pt idx="1607">
                  <c:v>37</c:v>
                </c:pt>
                <c:pt idx="1608">
                  <c:v>41</c:v>
                </c:pt>
                <c:pt idx="1609">
                  <c:v>46</c:v>
                </c:pt>
                <c:pt idx="1610">
                  <c:v>18</c:v>
                </c:pt>
                <c:pt idx="1611">
                  <c:v>17</c:v>
                </c:pt>
                <c:pt idx="1612">
                  <c:v>27</c:v>
                </c:pt>
                <c:pt idx="1613">
                  <c:v>16</c:v>
                </c:pt>
                <c:pt idx="1614">
                  <c:v>13</c:v>
                </c:pt>
                <c:pt idx="1615">
                  <c:v>2</c:v>
                </c:pt>
                <c:pt idx="1616">
                  <c:v>30</c:v>
                </c:pt>
                <c:pt idx="1617">
                  <c:v>5</c:v>
                </c:pt>
                <c:pt idx="1618">
                  <c:v>35</c:v>
                </c:pt>
                <c:pt idx="1619">
                  <c:v>7</c:v>
                </c:pt>
                <c:pt idx="1620">
                  <c:v>38</c:v>
                </c:pt>
                <c:pt idx="1621">
                  <c:v>43</c:v>
                </c:pt>
                <c:pt idx="1622">
                  <c:v>4</c:v>
                </c:pt>
                <c:pt idx="1623">
                  <c:v>29</c:v>
                </c:pt>
                <c:pt idx="1624">
                  <c:v>21</c:v>
                </c:pt>
                <c:pt idx="1625">
                  <c:v>6</c:v>
                </c:pt>
                <c:pt idx="1626">
                  <c:v>14</c:v>
                </c:pt>
                <c:pt idx="1627">
                  <c:v>17</c:v>
                </c:pt>
                <c:pt idx="1628">
                  <c:v>21</c:v>
                </c:pt>
                <c:pt idx="1629">
                  <c:v>25</c:v>
                </c:pt>
                <c:pt idx="1630">
                  <c:v>28</c:v>
                </c:pt>
                <c:pt idx="1631">
                  <c:v>45</c:v>
                </c:pt>
                <c:pt idx="1632">
                  <c:v>38</c:v>
                </c:pt>
                <c:pt idx="1633">
                  <c:v>44</c:v>
                </c:pt>
                <c:pt idx="1634">
                  <c:v>20</c:v>
                </c:pt>
                <c:pt idx="1635">
                  <c:v>44</c:v>
                </c:pt>
                <c:pt idx="1636">
                  <c:v>47</c:v>
                </c:pt>
                <c:pt idx="1637">
                  <c:v>50</c:v>
                </c:pt>
                <c:pt idx="1638">
                  <c:v>18</c:v>
                </c:pt>
                <c:pt idx="1639">
                  <c:v>0</c:v>
                </c:pt>
                <c:pt idx="1640">
                  <c:v>13</c:v>
                </c:pt>
                <c:pt idx="1641">
                  <c:v>32</c:v>
                </c:pt>
                <c:pt idx="1642">
                  <c:v>43</c:v>
                </c:pt>
                <c:pt idx="1643">
                  <c:v>5</c:v>
                </c:pt>
                <c:pt idx="1644">
                  <c:v>19</c:v>
                </c:pt>
                <c:pt idx="1645">
                  <c:v>25</c:v>
                </c:pt>
                <c:pt idx="1646">
                  <c:v>26</c:v>
                </c:pt>
                <c:pt idx="1647">
                  <c:v>23</c:v>
                </c:pt>
                <c:pt idx="1648">
                  <c:v>20</c:v>
                </c:pt>
                <c:pt idx="1649">
                  <c:v>24</c:v>
                </c:pt>
                <c:pt idx="1650">
                  <c:v>26</c:v>
                </c:pt>
                <c:pt idx="1651">
                  <c:v>11</c:v>
                </c:pt>
                <c:pt idx="1652">
                  <c:v>27</c:v>
                </c:pt>
                <c:pt idx="1653">
                  <c:v>21</c:v>
                </c:pt>
                <c:pt idx="1654">
                  <c:v>30</c:v>
                </c:pt>
                <c:pt idx="1655">
                  <c:v>29</c:v>
                </c:pt>
                <c:pt idx="1656">
                  <c:v>32</c:v>
                </c:pt>
                <c:pt idx="1657">
                  <c:v>15</c:v>
                </c:pt>
                <c:pt idx="1658">
                  <c:v>42</c:v>
                </c:pt>
                <c:pt idx="1659">
                  <c:v>3</c:v>
                </c:pt>
                <c:pt idx="1660">
                  <c:v>41</c:v>
                </c:pt>
                <c:pt idx="1661">
                  <c:v>36</c:v>
                </c:pt>
                <c:pt idx="1662">
                  <c:v>18</c:v>
                </c:pt>
                <c:pt idx="1663">
                  <c:v>13</c:v>
                </c:pt>
                <c:pt idx="1664">
                  <c:v>13</c:v>
                </c:pt>
                <c:pt idx="1665">
                  <c:v>7</c:v>
                </c:pt>
                <c:pt idx="1666">
                  <c:v>17</c:v>
                </c:pt>
                <c:pt idx="1667">
                  <c:v>0</c:v>
                </c:pt>
                <c:pt idx="1668">
                  <c:v>44</c:v>
                </c:pt>
                <c:pt idx="1669">
                  <c:v>43</c:v>
                </c:pt>
                <c:pt idx="1670">
                  <c:v>15</c:v>
                </c:pt>
                <c:pt idx="1671">
                  <c:v>16</c:v>
                </c:pt>
                <c:pt idx="1672">
                  <c:v>42</c:v>
                </c:pt>
                <c:pt idx="1673">
                  <c:v>12</c:v>
                </c:pt>
                <c:pt idx="1674">
                  <c:v>36</c:v>
                </c:pt>
                <c:pt idx="1675">
                  <c:v>16</c:v>
                </c:pt>
                <c:pt idx="1676">
                  <c:v>31</c:v>
                </c:pt>
                <c:pt idx="1677">
                  <c:v>24</c:v>
                </c:pt>
                <c:pt idx="1678">
                  <c:v>39</c:v>
                </c:pt>
                <c:pt idx="1679">
                  <c:v>44</c:v>
                </c:pt>
                <c:pt idx="1680">
                  <c:v>35</c:v>
                </c:pt>
                <c:pt idx="1681">
                  <c:v>47</c:v>
                </c:pt>
                <c:pt idx="1682">
                  <c:v>2</c:v>
                </c:pt>
                <c:pt idx="1683">
                  <c:v>4</c:v>
                </c:pt>
                <c:pt idx="1684">
                  <c:v>27</c:v>
                </c:pt>
                <c:pt idx="1685">
                  <c:v>37</c:v>
                </c:pt>
                <c:pt idx="1686">
                  <c:v>48</c:v>
                </c:pt>
                <c:pt idx="1687">
                  <c:v>43</c:v>
                </c:pt>
                <c:pt idx="1688">
                  <c:v>41</c:v>
                </c:pt>
                <c:pt idx="1689">
                  <c:v>27</c:v>
                </c:pt>
                <c:pt idx="1690">
                  <c:v>44</c:v>
                </c:pt>
                <c:pt idx="1691">
                  <c:v>8</c:v>
                </c:pt>
                <c:pt idx="1692">
                  <c:v>37</c:v>
                </c:pt>
                <c:pt idx="1693">
                  <c:v>46</c:v>
                </c:pt>
                <c:pt idx="1694">
                  <c:v>19</c:v>
                </c:pt>
                <c:pt idx="1695">
                  <c:v>29</c:v>
                </c:pt>
                <c:pt idx="1696">
                  <c:v>47</c:v>
                </c:pt>
                <c:pt idx="1697">
                  <c:v>47</c:v>
                </c:pt>
                <c:pt idx="1698">
                  <c:v>39</c:v>
                </c:pt>
                <c:pt idx="1699">
                  <c:v>15</c:v>
                </c:pt>
                <c:pt idx="1700">
                  <c:v>39</c:v>
                </c:pt>
                <c:pt idx="1701">
                  <c:v>13</c:v>
                </c:pt>
                <c:pt idx="1702">
                  <c:v>41</c:v>
                </c:pt>
                <c:pt idx="1703">
                  <c:v>2</c:v>
                </c:pt>
                <c:pt idx="1704">
                  <c:v>45</c:v>
                </c:pt>
                <c:pt idx="1705">
                  <c:v>19</c:v>
                </c:pt>
                <c:pt idx="1706">
                  <c:v>10</c:v>
                </c:pt>
                <c:pt idx="1707">
                  <c:v>44</c:v>
                </c:pt>
                <c:pt idx="1708">
                  <c:v>20</c:v>
                </c:pt>
                <c:pt idx="1709">
                  <c:v>16</c:v>
                </c:pt>
                <c:pt idx="1710">
                  <c:v>36</c:v>
                </c:pt>
                <c:pt idx="1711">
                  <c:v>30</c:v>
                </c:pt>
                <c:pt idx="1712">
                  <c:v>41</c:v>
                </c:pt>
                <c:pt idx="1713">
                  <c:v>46</c:v>
                </c:pt>
                <c:pt idx="1714">
                  <c:v>28</c:v>
                </c:pt>
                <c:pt idx="1715">
                  <c:v>30</c:v>
                </c:pt>
                <c:pt idx="1716">
                  <c:v>37</c:v>
                </c:pt>
                <c:pt idx="1717">
                  <c:v>24</c:v>
                </c:pt>
                <c:pt idx="1718">
                  <c:v>28</c:v>
                </c:pt>
                <c:pt idx="1719">
                  <c:v>45</c:v>
                </c:pt>
                <c:pt idx="1720">
                  <c:v>39</c:v>
                </c:pt>
                <c:pt idx="1721">
                  <c:v>40</c:v>
                </c:pt>
                <c:pt idx="1722">
                  <c:v>20</c:v>
                </c:pt>
                <c:pt idx="1723">
                  <c:v>10</c:v>
                </c:pt>
                <c:pt idx="1724">
                  <c:v>13</c:v>
                </c:pt>
                <c:pt idx="1725">
                  <c:v>6</c:v>
                </c:pt>
                <c:pt idx="1726">
                  <c:v>7</c:v>
                </c:pt>
                <c:pt idx="1727">
                  <c:v>16</c:v>
                </c:pt>
                <c:pt idx="1728">
                  <c:v>39</c:v>
                </c:pt>
                <c:pt idx="1729">
                  <c:v>29</c:v>
                </c:pt>
                <c:pt idx="1730">
                  <c:v>23</c:v>
                </c:pt>
                <c:pt idx="1731">
                  <c:v>29</c:v>
                </c:pt>
                <c:pt idx="1732">
                  <c:v>28</c:v>
                </c:pt>
                <c:pt idx="1733">
                  <c:v>27</c:v>
                </c:pt>
                <c:pt idx="1734">
                  <c:v>19</c:v>
                </c:pt>
                <c:pt idx="1735">
                  <c:v>43</c:v>
                </c:pt>
                <c:pt idx="1736">
                  <c:v>9</c:v>
                </c:pt>
                <c:pt idx="1737">
                  <c:v>14</c:v>
                </c:pt>
                <c:pt idx="1738">
                  <c:v>29</c:v>
                </c:pt>
                <c:pt idx="1739">
                  <c:v>24</c:v>
                </c:pt>
                <c:pt idx="1740">
                  <c:v>49</c:v>
                </c:pt>
                <c:pt idx="1741">
                  <c:v>7</c:v>
                </c:pt>
                <c:pt idx="1742">
                  <c:v>39</c:v>
                </c:pt>
                <c:pt idx="1743">
                  <c:v>13</c:v>
                </c:pt>
                <c:pt idx="1744">
                  <c:v>38</c:v>
                </c:pt>
                <c:pt idx="1745">
                  <c:v>31</c:v>
                </c:pt>
                <c:pt idx="1746">
                  <c:v>12</c:v>
                </c:pt>
                <c:pt idx="1747">
                  <c:v>24</c:v>
                </c:pt>
                <c:pt idx="1748">
                  <c:v>23</c:v>
                </c:pt>
                <c:pt idx="1749">
                  <c:v>7</c:v>
                </c:pt>
                <c:pt idx="1750">
                  <c:v>36</c:v>
                </c:pt>
                <c:pt idx="1751">
                  <c:v>11</c:v>
                </c:pt>
                <c:pt idx="1752">
                  <c:v>30</c:v>
                </c:pt>
                <c:pt idx="1753">
                  <c:v>6</c:v>
                </c:pt>
                <c:pt idx="1754">
                  <c:v>47</c:v>
                </c:pt>
                <c:pt idx="1755">
                  <c:v>2</c:v>
                </c:pt>
                <c:pt idx="1756">
                  <c:v>45</c:v>
                </c:pt>
                <c:pt idx="1757">
                  <c:v>38</c:v>
                </c:pt>
                <c:pt idx="1758">
                  <c:v>17</c:v>
                </c:pt>
                <c:pt idx="1759">
                  <c:v>32</c:v>
                </c:pt>
                <c:pt idx="1760">
                  <c:v>37</c:v>
                </c:pt>
                <c:pt idx="1761">
                  <c:v>30</c:v>
                </c:pt>
                <c:pt idx="1762">
                  <c:v>10</c:v>
                </c:pt>
                <c:pt idx="1763">
                  <c:v>26</c:v>
                </c:pt>
                <c:pt idx="1764">
                  <c:v>42</c:v>
                </c:pt>
                <c:pt idx="1765">
                  <c:v>30</c:v>
                </c:pt>
                <c:pt idx="1766">
                  <c:v>34</c:v>
                </c:pt>
                <c:pt idx="1767">
                  <c:v>14</c:v>
                </c:pt>
                <c:pt idx="1768">
                  <c:v>25</c:v>
                </c:pt>
                <c:pt idx="1769">
                  <c:v>9</c:v>
                </c:pt>
                <c:pt idx="1770">
                  <c:v>0</c:v>
                </c:pt>
                <c:pt idx="1771">
                  <c:v>1</c:v>
                </c:pt>
                <c:pt idx="1772">
                  <c:v>25</c:v>
                </c:pt>
                <c:pt idx="1773">
                  <c:v>6</c:v>
                </c:pt>
                <c:pt idx="1774">
                  <c:v>34</c:v>
                </c:pt>
                <c:pt idx="1775">
                  <c:v>45</c:v>
                </c:pt>
                <c:pt idx="1776">
                  <c:v>2</c:v>
                </c:pt>
                <c:pt idx="1777">
                  <c:v>7</c:v>
                </c:pt>
                <c:pt idx="1778">
                  <c:v>9</c:v>
                </c:pt>
                <c:pt idx="1779">
                  <c:v>40</c:v>
                </c:pt>
                <c:pt idx="1780">
                  <c:v>31</c:v>
                </c:pt>
                <c:pt idx="1781">
                  <c:v>7</c:v>
                </c:pt>
                <c:pt idx="1782">
                  <c:v>30</c:v>
                </c:pt>
                <c:pt idx="1783">
                  <c:v>27</c:v>
                </c:pt>
                <c:pt idx="1784">
                  <c:v>28</c:v>
                </c:pt>
                <c:pt idx="1785">
                  <c:v>43</c:v>
                </c:pt>
                <c:pt idx="1786">
                  <c:v>1</c:v>
                </c:pt>
                <c:pt idx="1787">
                  <c:v>4</c:v>
                </c:pt>
                <c:pt idx="1788">
                  <c:v>50</c:v>
                </c:pt>
                <c:pt idx="1789">
                  <c:v>5</c:v>
                </c:pt>
                <c:pt idx="1790">
                  <c:v>15</c:v>
                </c:pt>
                <c:pt idx="1791">
                  <c:v>18</c:v>
                </c:pt>
                <c:pt idx="1792">
                  <c:v>50</c:v>
                </c:pt>
                <c:pt idx="1793">
                  <c:v>34</c:v>
                </c:pt>
                <c:pt idx="1794">
                  <c:v>24</c:v>
                </c:pt>
                <c:pt idx="1795">
                  <c:v>23</c:v>
                </c:pt>
                <c:pt idx="1796">
                  <c:v>44</c:v>
                </c:pt>
                <c:pt idx="1797">
                  <c:v>39</c:v>
                </c:pt>
                <c:pt idx="1798">
                  <c:v>50</c:v>
                </c:pt>
                <c:pt idx="1799">
                  <c:v>13</c:v>
                </c:pt>
                <c:pt idx="1800">
                  <c:v>35</c:v>
                </c:pt>
                <c:pt idx="1801">
                  <c:v>18</c:v>
                </c:pt>
                <c:pt idx="1802">
                  <c:v>9</c:v>
                </c:pt>
                <c:pt idx="1803">
                  <c:v>38</c:v>
                </c:pt>
                <c:pt idx="1804">
                  <c:v>14</c:v>
                </c:pt>
                <c:pt idx="1805">
                  <c:v>10</c:v>
                </c:pt>
                <c:pt idx="1806">
                  <c:v>23</c:v>
                </c:pt>
                <c:pt idx="1807">
                  <c:v>28</c:v>
                </c:pt>
                <c:pt idx="1808">
                  <c:v>10</c:v>
                </c:pt>
                <c:pt idx="1809">
                  <c:v>27</c:v>
                </c:pt>
                <c:pt idx="1810">
                  <c:v>1</c:v>
                </c:pt>
                <c:pt idx="1811">
                  <c:v>1</c:v>
                </c:pt>
                <c:pt idx="1812">
                  <c:v>24</c:v>
                </c:pt>
                <c:pt idx="1813">
                  <c:v>8</c:v>
                </c:pt>
                <c:pt idx="1814">
                  <c:v>16</c:v>
                </c:pt>
                <c:pt idx="1815">
                  <c:v>49</c:v>
                </c:pt>
                <c:pt idx="1816">
                  <c:v>8</c:v>
                </c:pt>
                <c:pt idx="1817">
                  <c:v>2</c:v>
                </c:pt>
                <c:pt idx="1818">
                  <c:v>42</c:v>
                </c:pt>
                <c:pt idx="1819">
                  <c:v>17</c:v>
                </c:pt>
                <c:pt idx="1820">
                  <c:v>3</c:v>
                </c:pt>
                <c:pt idx="1821">
                  <c:v>4</c:v>
                </c:pt>
                <c:pt idx="1822">
                  <c:v>31</c:v>
                </c:pt>
                <c:pt idx="1823">
                  <c:v>45</c:v>
                </c:pt>
                <c:pt idx="1824">
                  <c:v>35</c:v>
                </c:pt>
                <c:pt idx="1825">
                  <c:v>9</c:v>
                </c:pt>
                <c:pt idx="1826">
                  <c:v>41</c:v>
                </c:pt>
                <c:pt idx="1827">
                  <c:v>46</c:v>
                </c:pt>
                <c:pt idx="1828">
                  <c:v>40</c:v>
                </c:pt>
                <c:pt idx="1829">
                  <c:v>13</c:v>
                </c:pt>
                <c:pt idx="1830">
                  <c:v>19</c:v>
                </c:pt>
                <c:pt idx="1831">
                  <c:v>0</c:v>
                </c:pt>
                <c:pt idx="1832">
                  <c:v>43</c:v>
                </c:pt>
                <c:pt idx="1833">
                  <c:v>1</c:v>
                </c:pt>
                <c:pt idx="1834">
                  <c:v>47</c:v>
                </c:pt>
                <c:pt idx="1835">
                  <c:v>7</c:v>
                </c:pt>
                <c:pt idx="1836">
                  <c:v>41</c:v>
                </c:pt>
                <c:pt idx="1837">
                  <c:v>16</c:v>
                </c:pt>
                <c:pt idx="1838">
                  <c:v>49</c:v>
                </c:pt>
                <c:pt idx="1839">
                  <c:v>18</c:v>
                </c:pt>
                <c:pt idx="1840">
                  <c:v>45</c:v>
                </c:pt>
                <c:pt idx="1841">
                  <c:v>15</c:v>
                </c:pt>
                <c:pt idx="1842">
                  <c:v>40</c:v>
                </c:pt>
                <c:pt idx="1843">
                  <c:v>5</c:v>
                </c:pt>
                <c:pt idx="1844">
                  <c:v>7</c:v>
                </c:pt>
                <c:pt idx="1845">
                  <c:v>29</c:v>
                </c:pt>
                <c:pt idx="1846">
                  <c:v>10</c:v>
                </c:pt>
                <c:pt idx="1847">
                  <c:v>14</c:v>
                </c:pt>
                <c:pt idx="1848">
                  <c:v>9</c:v>
                </c:pt>
                <c:pt idx="1849">
                  <c:v>30</c:v>
                </c:pt>
                <c:pt idx="1850">
                  <c:v>31</c:v>
                </c:pt>
                <c:pt idx="1851">
                  <c:v>41</c:v>
                </c:pt>
                <c:pt idx="1852">
                  <c:v>45</c:v>
                </c:pt>
                <c:pt idx="1853">
                  <c:v>31</c:v>
                </c:pt>
                <c:pt idx="1854">
                  <c:v>1</c:v>
                </c:pt>
                <c:pt idx="1855">
                  <c:v>20</c:v>
                </c:pt>
                <c:pt idx="1856">
                  <c:v>50</c:v>
                </c:pt>
                <c:pt idx="1857">
                  <c:v>15</c:v>
                </c:pt>
                <c:pt idx="1858">
                  <c:v>24</c:v>
                </c:pt>
                <c:pt idx="1859">
                  <c:v>15</c:v>
                </c:pt>
                <c:pt idx="1860">
                  <c:v>38</c:v>
                </c:pt>
                <c:pt idx="1861">
                  <c:v>0</c:v>
                </c:pt>
                <c:pt idx="1862">
                  <c:v>48</c:v>
                </c:pt>
                <c:pt idx="1863">
                  <c:v>29</c:v>
                </c:pt>
                <c:pt idx="1864">
                  <c:v>44</c:v>
                </c:pt>
                <c:pt idx="1865">
                  <c:v>14</c:v>
                </c:pt>
                <c:pt idx="1866">
                  <c:v>0</c:v>
                </c:pt>
                <c:pt idx="1867">
                  <c:v>27</c:v>
                </c:pt>
                <c:pt idx="1868">
                  <c:v>36</c:v>
                </c:pt>
                <c:pt idx="1869">
                  <c:v>33</c:v>
                </c:pt>
                <c:pt idx="1870">
                  <c:v>4</c:v>
                </c:pt>
                <c:pt idx="1871">
                  <c:v>8</c:v>
                </c:pt>
                <c:pt idx="1872">
                  <c:v>14</c:v>
                </c:pt>
                <c:pt idx="1873">
                  <c:v>8</c:v>
                </c:pt>
                <c:pt idx="1874">
                  <c:v>44</c:v>
                </c:pt>
                <c:pt idx="1875">
                  <c:v>23</c:v>
                </c:pt>
                <c:pt idx="1876">
                  <c:v>23</c:v>
                </c:pt>
                <c:pt idx="1877">
                  <c:v>20</c:v>
                </c:pt>
                <c:pt idx="1878">
                  <c:v>41</c:v>
                </c:pt>
                <c:pt idx="1879">
                  <c:v>36</c:v>
                </c:pt>
                <c:pt idx="1880">
                  <c:v>50</c:v>
                </c:pt>
                <c:pt idx="1881">
                  <c:v>41</c:v>
                </c:pt>
                <c:pt idx="1882">
                  <c:v>48</c:v>
                </c:pt>
                <c:pt idx="1883">
                  <c:v>4</c:v>
                </c:pt>
                <c:pt idx="1884">
                  <c:v>42</c:v>
                </c:pt>
                <c:pt idx="1885">
                  <c:v>10</c:v>
                </c:pt>
                <c:pt idx="1886">
                  <c:v>14</c:v>
                </c:pt>
                <c:pt idx="1887">
                  <c:v>33</c:v>
                </c:pt>
                <c:pt idx="1888">
                  <c:v>28</c:v>
                </c:pt>
                <c:pt idx="1889">
                  <c:v>18</c:v>
                </c:pt>
                <c:pt idx="1890">
                  <c:v>23</c:v>
                </c:pt>
                <c:pt idx="1891">
                  <c:v>50</c:v>
                </c:pt>
                <c:pt idx="1892">
                  <c:v>0</c:v>
                </c:pt>
                <c:pt idx="1893">
                  <c:v>36</c:v>
                </c:pt>
                <c:pt idx="1894">
                  <c:v>39</c:v>
                </c:pt>
                <c:pt idx="1895">
                  <c:v>48</c:v>
                </c:pt>
                <c:pt idx="1896">
                  <c:v>36</c:v>
                </c:pt>
                <c:pt idx="1897">
                  <c:v>15</c:v>
                </c:pt>
                <c:pt idx="1898">
                  <c:v>4</c:v>
                </c:pt>
                <c:pt idx="1899">
                  <c:v>49</c:v>
                </c:pt>
                <c:pt idx="1900">
                  <c:v>38</c:v>
                </c:pt>
                <c:pt idx="1901">
                  <c:v>0</c:v>
                </c:pt>
                <c:pt idx="1902">
                  <c:v>5</c:v>
                </c:pt>
                <c:pt idx="1903">
                  <c:v>44</c:v>
                </c:pt>
                <c:pt idx="1904">
                  <c:v>1</c:v>
                </c:pt>
                <c:pt idx="1905">
                  <c:v>25</c:v>
                </c:pt>
                <c:pt idx="1906">
                  <c:v>39</c:v>
                </c:pt>
                <c:pt idx="1907">
                  <c:v>27</c:v>
                </c:pt>
                <c:pt idx="1908">
                  <c:v>16</c:v>
                </c:pt>
                <c:pt idx="1909">
                  <c:v>8</c:v>
                </c:pt>
                <c:pt idx="1910">
                  <c:v>2</c:v>
                </c:pt>
                <c:pt idx="1911">
                  <c:v>16</c:v>
                </c:pt>
                <c:pt idx="1912">
                  <c:v>8</c:v>
                </c:pt>
                <c:pt idx="1913">
                  <c:v>49</c:v>
                </c:pt>
                <c:pt idx="1914">
                  <c:v>23</c:v>
                </c:pt>
                <c:pt idx="1915">
                  <c:v>37</c:v>
                </c:pt>
                <c:pt idx="1916">
                  <c:v>34</c:v>
                </c:pt>
                <c:pt idx="1917">
                  <c:v>43</c:v>
                </c:pt>
                <c:pt idx="1918">
                  <c:v>28</c:v>
                </c:pt>
                <c:pt idx="1919">
                  <c:v>30</c:v>
                </c:pt>
                <c:pt idx="1920">
                  <c:v>33</c:v>
                </c:pt>
                <c:pt idx="1921">
                  <c:v>10</c:v>
                </c:pt>
                <c:pt idx="1922">
                  <c:v>32</c:v>
                </c:pt>
                <c:pt idx="1923">
                  <c:v>34</c:v>
                </c:pt>
                <c:pt idx="1924">
                  <c:v>22</c:v>
                </c:pt>
                <c:pt idx="1925">
                  <c:v>20</c:v>
                </c:pt>
                <c:pt idx="1926">
                  <c:v>7</c:v>
                </c:pt>
                <c:pt idx="1927">
                  <c:v>49</c:v>
                </c:pt>
                <c:pt idx="1928">
                  <c:v>11</c:v>
                </c:pt>
                <c:pt idx="1929">
                  <c:v>19</c:v>
                </c:pt>
                <c:pt idx="1930">
                  <c:v>43</c:v>
                </c:pt>
                <c:pt idx="1931">
                  <c:v>4</c:v>
                </c:pt>
                <c:pt idx="1932">
                  <c:v>38</c:v>
                </c:pt>
                <c:pt idx="1933">
                  <c:v>0</c:v>
                </c:pt>
                <c:pt idx="1934">
                  <c:v>46</c:v>
                </c:pt>
                <c:pt idx="1935">
                  <c:v>9</c:v>
                </c:pt>
                <c:pt idx="1936">
                  <c:v>21</c:v>
                </c:pt>
                <c:pt idx="1937">
                  <c:v>35</c:v>
                </c:pt>
                <c:pt idx="1938">
                  <c:v>36</c:v>
                </c:pt>
                <c:pt idx="1939">
                  <c:v>6</c:v>
                </c:pt>
                <c:pt idx="1940">
                  <c:v>20</c:v>
                </c:pt>
                <c:pt idx="1941">
                  <c:v>37</c:v>
                </c:pt>
                <c:pt idx="1942">
                  <c:v>40</c:v>
                </c:pt>
                <c:pt idx="1943">
                  <c:v>24</c:v>
                </c:pt>
                <c:pt idx="1944">
                  <c:v>41</c:v>
                </c:pt>
                <c:pt idx="1945">
                  <c:v>37</c:v>
                </c:pt>
                <c:pt idx="1946">
                  <c:v>24</c:v>
                </c:pt>
                <c:pt idx="1947">
                  <c:v>0</c:v>
                </c:pt>
                <c:pt idx="1948">
                  <c:v>44</c:v>
                </c:pt>
                <c:pt idx="1949">
                  <c:v>34</c:v>
                </c:pt>
                <c:pt idx="1950">
                  <c:v>39</c:v>
                </c:pt>
                <c:pt idx="1951">
                  <c:v>2</c:v>
                </c:pt>
                <c:pt idx="1952">
                  <c:v>16</c:v>
                </c:pt>
                <c:pt idx="1953">
                  <c:v>33</c:v>
                </c:pt>
                <c:pt idx="1954">
                  <c:v>16</c:v>
                </c:pt>
                <c:pt idx="1955">
                  <c:v>25</c:v>
                </c:pt>
                <c:pt idx="1956">
                  <c:v>26</c:v>
                </c:pt>
                <c:pt idx="1957">
                  <c:v>10</c:v>
                </c:pt>
                <c:pt idx="1958">
                  <c:v>33</c:v>
                </c:pt>
                <c:pt idx="1959">
                  <c:v>26</c:v>
                </c:pt>
                <c:pt idx="1960">
                  <c:v>4</c:v>
                </c:pt>
                <c:pt idx="1961">
                  <c:v>5</c:v>
                </c:pt>
                <c:pt idx="1962">
                  <c:v>24</c:v>
                </c:pt>
                <c:pt idx="1963">
                  <c:v>5</c:v>
                </c:pt>
                <c:pt idx="1964">
                  <c:v>45</c:v>
                </c:pt>
                <c:pt idx="1965">
                  <c:v>18</c:v>
                </c:pt>
                <c:pt idx="1966">
                  <c:v>19</c:v>
                </c:pt>
                <c:pt idx="1967">
                  <c:v>22</c:v>
                </c:pt>
                <c:pt idx="1968">
                  <c:v>41</c:v>
                </c:pt>
                <c:pt idx="1969">
                  <c:v>44</c:v>
                </c:pt>
                <c:pt idx="1970">
                  <c:v>13</c:v>
                </c:pt>
                <c:pt idx="1971">
                  <c:v>12</c:v>
                </c:pt>
                <c:pt idx="1972">
                  <c:v>24</c:v>
                </c:pt>
                <c:pt idx="1973">
                  <c:v>33</c:v>
                </c:pt>
                <c:pt idx="1974">
                  <c:v>16</c:v>
                </c:pt>
                <c:pt idx="1975">
                  <c:v>27</c:v>
                </c:pt>
                <c:pt idx="1976">
                  <c:v>11</c:v>
                </c:pt>
                <c:pt idx="1977">
                  <c:v>24</c:v>
                </c:pt>
                <c:pt idx="1978">
                  <c:v>21</c:v>
                </c:pt>
                <c:pt idx="1979">
                  <c:v>5</c:v>
                </c:pt>
                <c:pt idx="1980">
                  <c:v>15</c:v>
                </c:pt>
                <c:pt idx="1981">
                  <c:v>33</c:v>
                </c:pt>
                <c:pt idx="1982">
                  <c:v>34</c:v>
                </c:pt>
                <c:pt idx="1983">
                  <c:v>34</c:v>
                </c:pt>
                <c:pt idx="1984">
                  <c:v>2</c:v>
                </c:pt>
                <c:pt idx="1985">
                  <c:v>23</c:v>
                </c:pt>
                <c:pt idx="1986">
                  <c:v>50</c:v>
                </c:pt>
                <c:pt idx="1987">
                  <c:v>43</c:v>
                </c:pt>
                <c:pt idx="1988">
                  <c:v>42</c:v>
                </c:pt>
                <c:pt idx="1989">
                  <c:v>43</c:v>
                </c:pt>
                <c:pt idx="1990">
                  <c:v>36</c:v>
                </c:pt>
                <c:pt idx="1991">
                  <c:v>29</c:v>
                </c:pt>
                <c:pt idx="1992">
                  <c:v>42</c:v>
                </c:pt>
                <c:pt idx="1993">
                  <c:v>4</c:v>
                </c:pt>
                <c:pt idx="1994">
                  <c:v>35</c:v>
                </c:pt>
                <c:pt idx="1995">
                  <c:v>43</c:v>
                </c:pt>
                <c:pt idx="1996">
                  <c:v>27</c:v>
                </c:pt>
                <c:pt idx="1997">
                  <c:v>9</c:v>
                </c:pt>
                <c:pt idx="1998">
                  <c:v>26</c:v>
                </c:pt>
                <c:pt idx="1999">
                  <c:v>8</c:v>
                </c:pt>
                <c:pt idx="2000">
                  <c:v>42</c:v>
                </c:pt>
                <c:pt idx="2001">
                  <c:v>3</c:v>
                </c:pt>
                <c:pt idx="2002">
                  <c:v>40</c:v>
                </c:pt>
                <c:pt idx="2003">
                  <c:v>8</c:v>
                </c:pt>
                <c:pt idx="2004">
                  <c:v>4</c:v>
                </c:pt>
                <c:pt idx="2005">
                  <c:v>30</c:v>
                </c:pt>
                <c:pt idx="2006">
                  <c:v>17</c:v>
                </c:pt>
                <c:pt idx="2007">
                  <c:v>8</c:v>
                </c:pt>
                <c:pt idx="2008">
                  <c:v>46</c:v>
                </c:pt>
                <c:pt idx="2009">
                  <c:v>21</c:v>
                </c:pt>
                <c:pt idx="2010">
                  <c:v>16</c:v>
                </c:pt>
                <c:pt idx="2011">
                  <c:v>35</c:v>
                </c:pt>
                <c:pt idx="2012">
                  <c:v>1</c:v>
                </c:pt>
                <c:pt idx="2013">
                  <c:v>39</c:v>
                </c:pt>
                <c:pt idx="2014">
                  <c:v>33</c:v>
                </c:pt>
                <c:pt idx="2015">
                  <c:v>30</c:v>
                </c:pt>
                <c:pt idx="2016">
                  <c:v>42</c:v>
                </c:pt>
                <c:pt idx="2017">
                  <c:v>8</c:v>
                </c:pt>
                <c:pt idx="2018">
                  <c:v>4</c:v>
                </c:pt>
                <c:pt idx="2019">
                  <c:v>44</c:v>
                </c:pt>
                <c:pt idx="2020">
                  <c:v>35</c:v>
                </c:pt>
                <c:pt idx="2021">
                  <c:v>49</c:v>
                </c:pt>
                <c:pt idx="2022">
                  <c:v>28</c:v>
                </c:pt>
                <c:pt idx="2023">
                  <c:v>33</c:v>
                </c:pt>
                <c:pt idx="2024">
                  <c:v>1</c:v>
                </c:pt>
                <c:pt idx="2025">
                  <c:v>9</c:v>
                </c:pt>
                <c:pt idx="2026">
                  <c:v>2</c:v>
                </c:pt>
                <c:pt idx="2027">
                  <c:v>30</c:v>
                </c:pt>
                <c:pt idx="2028">
                  <c:v>41</c:v>
                </c:pt>
                <c:pt idx="2029">
                  <c:v>5</c:v>
                </c:pt>
                <c:pt idx="2030">
                  <c:v>9</c:v>
                </c:pt>
                <c:pt idx="2031">
                  <c:v>48</c:v>
                </c:pt>
                <c:pt idx="2032">
                  <c:v>21</c:v>
                </c:pt>
                <c:pt idx="2033">
                  <c:v>12</c:v>
                </c:pt>
                <c:pt idx="2034">
                  <c:v>16</c:v>
                </c:pt>
                <c:pt idx="2035">
                  <c:v>7</c:v>
                </c:pt>
                <c:pt idx="2036">
                  <c:v>22</c:v>
                </c:pt>
                <c:pt idx="2037">
                  <c:v>41</c:v>
                </c:pt>
                <c:pt idx="2038">
                  <c:v>49</c:v>
                </c:pt>
                <c:pt idx="2039">
                  <c:v>35</c:v>
                </c:pt>
                <c:pt idx="2040">
                  <c:v>6</c:v>
                </c:pt>
                <c:pt idx="2041">
                  <c:v>47</c:v>
                </c:pt>
                <c:pt idx="2042">
                  <c:v>0</c:v>
                </c:pt>
                <c:pt idx="2043">
                  <c:v>0</c:v>
                </c:pt>
                <c:pt idx="2044">
                  <c:v>16</c:v>
                </c:pt>
                <c:pt idx="2045">
                  <c:v>36</c:v>
                </c:pt>
                <c:pt idx="2046">
                  <c:v>38</c:v>
                </c:pt>
                <c:pt idx="2047">
                  <c:v>40</c:v>
                </c:pt>
                <c:pt idx="2048">
                  <c:v>33</c:v>
                </c:pt>
                <c:pt idx="2049">
                  <c:v>49</c:v>
                </c:pt>
                <c:pt idx="2050">
                  <c:v>12</c:v>
                </c:pt>
                <c:pt idx="2051">
                  <c:v>3</c:v>
                </c:pt>
                <c:pt idx="2052">
                  <c:v>49</c:v>
                </c:pt>
                <c:pt idx="2053">
                  <c:v>43</c:v>
                </c:pt>
                <c:pt idx="2054">
                  <c:v>18</c:v>
                </c:pt>
                <c:pt idx="2055">
                  <c:v>18</c:v>
                </c:pt>
                <c:pt idx="2056">
                  <c:v>28</c:v>
                </c:pt>
                <c:pt idx="2057">
                  <c:v>16</c:v>
                </c:pt>
                <c:pt idx="2058">
                  <c:v>15</c:v>
                </c:pt>
                <c:pt idx="2059">
                  <c:v>25</c:v>
                </c:pt>
                <c:pt idx="2060">
                  <c:v>15</c:v>
                </c:pt>
                <c:pt idx="2061">
                  <c:v>38</c:v>
                </c:pt>
                <c:pt idx="2062">
                  <c:v>15</c:v>
                </c:pt>
                <c:pt idx="2063">
                  <c:v>24</c:v>
                </c:pt>
                <c:pt idx="2064">
                  <c:v>25</c:v>
                </c:pt>
                <c:pt idx="2065">
                  <c:v>49</c:v>
                </c:pt>
                <c:pt idx="2066">
                  <c:v>9</c:v>
                </c:pt>
                <c:pt idx="2067">
                  <c:v>25</c:v>
                </c:pt>
                <c:pt idx="2068">
                  <c:v>27</c:v>
                </c:pt>
                <c:pt idx="2069">
                  <c:v>23</c:v>
                </c:pt>
                <c:pt idx="2070">
                  <c:v>5</c:v>
                </c:pt>
                <c:pt idx="2071">
                  <c:v>0</c:v>
                </c:pt>
                <c:pt idx="2072">
                  <c:v>37</c:v>
                </c:pt>
                <c:pt idx="2073">
                  <c:v>21</c:v>
                </c:pt>
                <c:pt idx="2074">
                  <c:v>18</c:v>
                </c:pt>
                <c:pt idx="2075">
                  <c:v>46</c:v>
                </c:pt>
                <c:pt idx="2076">
                  <c:v>5</c:v>
                </c:pt>
                <c:pt idx="2077">
                  <c:v>13</c:v>
                </c:pt>
                <c:pt idx="2078">
                  <c:v>47</c:v>
                </c:pt>
                <c:pt idx="2079">
                  <c:v>11</c:v>
                </c:pt>
                <c:pt idx="2080">
                  <c:v>6</c:v>
                </c:pt>
                <c:pt idx="2081">
                  <c:v>18</c:v>
                </c:pt>
                <c:pt idx="2082">
                  <c:v>19</c:v>
                </c:pt>
                <c:pt idx="2083">
                  <c:v>12</c:v>
                </c:pt>
                <c:pt idx="2084">
                  <c:v>30</c:v>
                </c:pt>
                <c:pt idx="2085">
                  <c:v>42</c:v>
                </c:pt>
                <c:pt idx="2086">
                  <c:v>27</c:v>
                </c:pt>
                <c:pt idx="2087">
                  <c:v>32</c:v>
                </c:pt>
                <c:pt idx="2088">
                  <c:v>7</c:v>
                </c:pt>
                <c:pt idx="2089">
                  <c:v>5</c:v>
                </c:pt>
                <c:pt idx="2090">
                  <c:v>26</c:v>
                </c:pt>
                <c:pt idx="2091">
                  <c:v>33</c:v>
                </c:pt>
                <c:pt idx="2092">
                  <c:v>20</c:v>
                </c:pt>
                <c:pt idx="2093">
                  <c:v>35</c:v>
                </c:pt>
                <c:pt idx="2094">
                  <c:v>41</c:v>
                </c:pt>
                <c:pt idx="2095">
                  <c:v>10</c:v>
                </c:pt>
                <c:pt idx="2096">
                  <c:v>27</c:v>
                </c:pt>
                <c:pt idx="2097">
                  <c:v>30</c:v>
                </c:pt>
                <c:pt idx="2098">
                  <c:v>46</c:v>
                </c:pt>
                <c:pt idx="2099">
                  <c:v>35</c:v>
                </c:pt>
                <c:pt idx="2100">
                  <c:v>27</c:v>
                </c:pt>
                <c:pt idx="2101">
                  <c:v>47</c:v>
                </c:pt>
                <c:pt idx="2102">
                  <c:v>26</c:v>
                </c:pt>
                <c:pt idx="2103">
                  <c:v>1</c:v>
                </c:pt>
                <c:pt idx="2104">
                  <c:v>16</c:v>
                </c:pt>
                <c:pt idx="2105">
                  <c:v>41</c:v>
                </c:pt>
                <c:pt idx="2106">
                  <c:v>43</c:v>
                </c:pt>
                <c:pt idx="2107">
                  <c:v>26</c:v>
                </c:pt>
                <c:pt idx="2108">
                  <c:v>32</c:v>
                </c:pt>
                <c:pt idx="2109">
                  <c:v>23</c:v>
                </c:pt>
                <c:pt idx="2110">
                  <c:v>5</c:v>
                </c:pt>
                <c:pt idx="2111">
                  <c:v>43</c:v>
                </c:pt>
                <c:pt idx="2112">
                  <c:v>12</c:v>
                </c:pt>
                <c:pt idx="2113">
                  <c:v>17</c:v>
                </c:pt>
                <c:pt idx="2114">
                  <c:v>13</c:v>
                </c:pt>
                <c:pt idx="2115">
                  <c:v>0</c:v>
                </c:pt>
                <c:pt idx="2116">
                  <c:v>28</c:v>
                </c:pt>
                <c:pt idx="2117">
                  <c:v>12</c:v>
                </c:pt>
                <c:pt idx="2118">
                  <c:v>4</c:v>
                </c:pt>
                <c:pt idx="2119">
                  <c:v>1</c:v>
                </c:pt>
                <c:pt idx="2120">
                  <c:v>6</c:v>
                </c:pt>
                <c:pt idx="2121">
                  <c:v>10</c:v>
                </c:pt>
                <c:pt idx="2122">
                  <c:v>17</c:v>
                </c:pt>
                <c:pt idx="2123">
                  <c:v>25</c:v>
                </c:pt>
                <c:pt idx="2124">
                  <c:v>13</c:v>
                </c:pt>
                <c:pt idx="2125">
                  <c:v>8</c:v>
                </c:pt>
                <c:pt idx="2126">
                  <c:v>9</c:v>
                </c:pt>
                <c:pt idx="2127">
                  <c:v>21</c:v>
                </c:pt>
                <c:pt idx="2128">
                  <c:v>38</c:v>
                </c:pt>
                <c:pt idx="2129">
                  <c:v>36</c:v>
                </c:pt>
                <c:pt idx="2130">
                  <c:v>47</c:v>
                </c:pt>
                <c:pt idx="2131">
                  <c:v>37</c:v>
                </c:pt>
                <c:pt idx="2132">
                  <c:v>4</c:v>
                </c:pt>
                <c:pt idx="2133">
                  <c:v>9</c:v>
                </c:pt>
                <c:pt idx="2134">
                  <c:v>35</c:v>
                </c:pt>
                <c:pt idx="2135">
                  <c:v>0</c:v>
                </c:pt>
                <c:pt idx="2136">
                  <c:v>23</c:v>
                </c:pt>
                <c:pt idx="2137">
                  <c:v>17</c:v>
                </c:pt>
                <c:pt idx="2138">
                  <c:v>7</c:v>
                </c:pt>
                <c:pt idx="2139">
                  <c:v>48</c:v>
                </c:pt>
                <c:pt idx="2140">
                  <c:v>1</c:v>
                </c:pt>
                <c:pt idx="2141">
                  <c:v>21</c:v>
                </c:pt>
                <c:pt idx="2142">
                  <c:v>5</c:v>
                </c:pt>
                <c:pt idx="2143">
                  <c:v>21</c:v>
                </c:pt>
                <c:pt idx="2144">
                  <c:v>47</c:v>
                </c:pt>
                <c:pt idx="2145">
                  <c:v>43</c:v>
                </c:pt>
                <c:pt idx="2146">
                  <c:v>17</c:v>
                </c:pt>
                <c:pt idx="2147">
                  <c:v>19</c:v>
                </c:pt>
                <c:pt idx="2148">
                  <c:v>6</c:v>
                </c:pt>
                <c:pt idx="2149">
                  <c:v>22</c:v>
                </c:pt>
                <c:pt idx="2150">
                  <c:v>12</c:v>
                </c:pt>
                <c:pt idx="2151">
                  <c:v>22</c:v>
                </c:pt>
                <c:pt idx="2152">
                  <c:v>46</c:v>
                </c:pt>
                <c:pt idx="2153">
                  <c:v>43</c:v>
                </c:pt>
                <c:pt idx="2154">
                  <c:v>38</c:v>
                </c:pt>
                <c:pt idx="2155">
                  <c:v>25</c:v>
                </c:pt>
                <c:pt idx="2156">
                  <c:v>50</c:v>
                </c:pt>
                <c:pt idx="2157">
                  <c:v>26</c:v>
                </c:pt>
                <c:pt idx="2158">
                  <c:v>26</c:v>
                </c:pt>
                <c:pt idx="2159">
                  <c:v>6</c:v>
                </c:pt>
                <c:pt idx="2160">
                  <c:v>40</c:v>
                </c:pt>
                <c:pt idx="2161">
                  <c:v>9</c:v>
                </c:pt>
                <c:pt idx="2162">
                  <c:v>2</c:v>
                </c:pt>
                <c:pt idx="2163">
                  <c:v>46</c:v>
                </c:pt>
                <c:pt idx="2164">
                  <c:v>40</c:v>
                </c:pt>
                <c:pt idx="2165">
                  <c:v>6</c:v>
                </c:pt>
                <c:pt idx="2166">
                  <c:v>11</c:v>
                </c:pt>
                <c:pt idx="2167">
                  <c:v>27</c:v>
                </c:pt>
                <c:pt idx="2168">
                  <c:v>45</c:v>
                </c:pt>
                <c:pt idx="2169">
                  <c:v>42</c:v>
                </c:pt>
                <c:pt idx="2170">
                  <c:v>39</c:v>
                </c:pt>
                <c:pt idx="2171">
                  <c:v>10</c:v>
                </c:pt>
                <c:pt idx="2172">
                  <c:v>1</c:v>
                </c:pt>
                <c:pt idx="2173">
                  <c:v>40</c:v>
                </c:pt>
                <c:pt idx="2174">
                  <c:v>20</c:v>
                </c:pt>
                <c:pt idx="2175">
                  <c:v>23</c:v>
                </c:pt>
              </c:numCache>
            </c:numRef>
          </c:yVal>
          <c:smooth val="1"/>
        </c:ser>
        <c:axId val="40836772"/>
        <c:axId val="17473677"/>
      </c:scatterChart>
      <c:valAx>
        <c:axId val="4083677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Markdown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473677"/>
        <c:crosses val="autoZero"/>
        <c:crossBetween val="midCat"/>
      </c:valAx>
      <c:valAx>
        <c:axId val="174736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Stock Quantity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3677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Inventory Distribution by Season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'Pivot Summaries'!B18</c:f>
              <c:strCache>
                <c:ptCount val="1"/>
                <c:pt idx="0">
                  <c:v>Total Stock Quantity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'Pivot Summaries'!$A$19:$A$22</c:f>
              <c:strCache>
                <c:ptCount val="4"/>
                <c:pt idx="0">
                  <c:v>Spring</c:v>
                </c:pt>
                <c:pt idx="1">
                  <c:v>Summer</c:v>
                </c:pt>
                <c:pt idx="2">
                  <c:v>Fall</c:v>
                </c:pt>
                <c:pt idx="3">
                  <c:v>Winter</c:v>
                </c:pt>
              </c:strCache>
            </c:strRef>
          </c:cat>
          <c:val>
            <c:numRef>
              <c:f>'Pivot Summaries'!$B$19:$B$22</c:f>
              <c:numCache>
                <c:formatCode>General</c:formatCode>
                <c:ptCount val="4"/>
                <c:pt idx="0">
                  <c:v>13720</c:v>
                </c:pt>
                <c:pt idx="1">
                  <c:v>14307</c:v>
                </c:pt>
                <c:pt idx="2">
                  <c:v>13448</c:v>
                </c:pt>
                <c:pt idx="3">
                  <c:v>12790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Markdown by Season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Summaries'!B11</c:f>
              <c:strCache>
                <c:ptCount val="1"/>
                <c:pt idx="0">
                  <c:v>Avg Markdown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Summaries'!$A$12:$A$15</c:f>
              <c:strCache>
                <c:ptCount val="4"/>
                <c:pt idx="0">
                  <c:v>Spring</c:v>
                </c:pt>
                <c:pt idx="1">
                  <c:v>Summer</c:v>
                </c:pt>
                <c:pt idx="2">
                  <c:v>Fall</c:v>
                </c:pt>
                <c:pt idx="3">
                  <c:v>Winter</c:v>
                </c:pt>
              </c:strCache>
            </c:strRef>
          </c:cat>
          <c:val>
            <c:numRef>
              <c:f>'Pivot Summaries'!$B$12:$B$15</c:f>
              <c:numCache>
                <c:formatCode>0.0\%</c:formatCode>
                <c:ptCount val="4"/>
                <c:pt idx="0">
                  <c:v>11.8394392523365</c:v>
                </c:pt>
                <c:pt idx="1">
                  <c:v>12.492347826087</c:v>
                </c:pt>
                <c:pt idx="2">
                  <c:v>12.0961397058824</c:v>
                </c:pt>
                <c:pt idx="3">
                  <c:v>12.1252873563218</c:v>
                </c:pt>
              </c:numCache>
            </c:numRef>
          </c:val>
        </c:ser>
        <c:gapWidth val="150"/>
        <c:overlap val="0"/>
        <c:axId val="29481417"/>
        <c:axId val="84091196"/>
      </c:barChart>
      <c:catAx>
        <c:axId val="294814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91196"/>
        <c:crosses val="autoZero"/>
        <c:auto val="1"/>
        <c:lblAlgn val="ctr"/>
        <c:lblOffset val="100"/>
        <c:noMultiLvlLbl val="0"/>
      </c:catAx>
      <c:valAx>
        <c:axId val="840911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Markdown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814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Rate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Summaries'!B25</c:f>
              <c:strCache>
                <c:ptCount val="1"/>
                <c:pt idx="0">
                  <c:v>Return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Summaries'!$A$26:$A$31</c:f>
              <c:strCache>
                <c:ptCount val="6"/>
                <c:pt idx="0">
                  <c:v>Accessories</c:v>
                </c:pt>
                <c:pt idx="1">
                  <c:v>Bottoms</c:v>
                </c:pt>
                <c:pt idx="2">
                  <c:v>Dresses</c:v>
                </c:pt>
                <c:pt idx="3">
                  <c:v>Outerwear</c:v>
                </c:pt>
                <c:pt idx="4">
                  <c:v>Shoes</c:v>
                </c:pt>
                <c:pt idx="5">
                  <c:v>Tops</c:v>
                </c:pt>
              </c:strCache>
            </c:strRef>
          </c:cat>
          <c:val>
            <c:numRef>
              <c:f>'Pivot Summaries'!$B$26:$B$31</c:f>
              <c:numCache>
                <c:formatCode>0.0%</c:formatCode>
                <c:ptCount val="6"/>
                <c:pt idx="0">
                  <c:v>0.13681592039801</c:v>
                </c:pt>
                <c:pt idx="1">
                  <c:v>0.158163265306122</c:v>
                </c:pt>
                <c:pt idx="2">
                  <c:v>0.148264984227129</c:v>
                </c:pt>
                <c:pt idx="3">
                  <c:v>0.161676646706587</c:v>
                </c:pt>
                <c:pt idx="4">
                  <c:v>0.150537634408602</c:v>
                </c:pt>
                <c:pt idx="5">
                  <c:v>0.128133704735376</c:v>
                </c:pt>
              </c:numCache>
            </c:numRef>
          </c:val>
        </c:ser>
        <c:gapWidth val="150"/>
        <c:overlap val="0"/>
        <c:axId val="12504368"/>
        <c:axId val="27212582"/>
      </c:barChart>
      <c:catAx>
        <c:axId val="125043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212582"/>
        <c:crosses val="autoZero"/>
        <c:auto val="1"/>
        <c:lblAlgn val="ctr"/>
        <c:lblOffset val="100"/>
        <c:noMultiLvlLbl val="0"/>
      </c:catAx>
      <c:valAx>
        <c:axId val="272125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Return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043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86400</xdr:rowOff>
    </xdr:from>
    <xdr:to>
      <xdr:col>2</xdr:col>
      <xdr:colOff>2955600</xdr:colOff>
      <xdr:row>34</xdr:row>
      <xdr:rowOff>108720</xdr:rowOff>
    </xdr:to>
    <xdr:graphicFrame>
      <xdr:nvGraphicFramePr>
        <xdr:cNvPr id="0" name="Chart 1"/>
        <xdr:cNvGraphicFramePr/>
      </xdr:nvGraphicFramePr>
      <xdr:xfrm>
        <a:off x="0" y="4000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86400</xdr:rowOff>
    </xdr:from>
    <xdr:to>
      <xdr:col>15</xdr:col>
      <xdr:colOff>747720</xdr:colOff>
      <xdr:row>34</xdr:row>
      <xdr:rowOff>108720</xdr:rowOff>
    </xdr:to>
    <xdr:graphicFrame>
      <xdr:nvGraphicFramePr>
        <xdr:cNvPr id="1" name="Chart 2"/>
        <xdr:cNvGraphicFramePr/>
      </xdr:nvGraphicFramePr>
      <xdr:xfrm>
        <a:off x="10056600" y="4000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36</xdr:row>
      <xdr:rowOff>86400</xdr:rowOff>
    </xdr:from>
    <xdr:to>
      <xdr:col>2</xdr:col>
      <xdr:colOff>1875600</xdr:colOff>
      <xdr:row>51</xdr:row>
      <xdr:rowOff>108360</xdr:rowOff>
    </xdr:to>
    <xdr:graphicFrame>
      <xdr:nvGraphicFramePr>
        <xdr:cNvPr id="2" name="Chart 3"/>
        <xdr:cNvGraphicFramePr/>
      </xdr:nvGraphicFramePr>
      <xdr:xfrm>
        <a:off x="0" y="7238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36</xdr:row>
      <xdr:rowOff>86400</xdr:rowOff>
    </xdr:from>
    <xdr:to>
      <xdr:col>11</xdr:col>
      <xdr:colOff>443160</xdr:colOff>
      <xdr:row>51</xdr:row>
      <xdr:rowOff>108360</xdr:rowOff>
    </xdr:to>
    <xdr:graphicFrame>
      <xdr:nvGraphicFramePr>
        <xdr:cNvPr id="3" name="Chart 4"/>
        <xdr:cNvGraphicFramePr/>
      </xdr:nvGraphicFramePr>
      <xdr:xfrm>
        <a:off x="7730640" y="7238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0</xdr:colOff>
      <xdr:row>36</xdr:row>
      <xdr:rowOff>86400</xdr:rowOff>
    </xdr:from>
    <xdr:to>
      <xdr:col>19</xdr:col>
      <xdr:colOff>463680</xdr:colOff>
      <xdr:row>51</xdr:row>
      <xdr:rowOff>108360</xdr:rowOff>
    </xdr:to>
    <xdr:graphicFrame>
      <xdr:nvGraphicFramePr>
        <xdr:cNvPr id="4" name="Chart 5"/>
        <xdr:cNvGraphicFramePr/>
      </xdr:nvGraphicFramePr>
      <xdr:xfrm>
        <a:off x="12382560" y="7238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Table" displayName="RawDataTable" ref="A1:S2177" headerRowCount="1" totalsRowCount="0" totalsRowShown="0">
  <autoFilter ref="A1:S2177"/>
  <tableColumns count="19">
    <tableColumn id="1" name="product_id"/>
    <tableColumn id="2" name="category"/>
    <tableColumn id="3" name="brand"/>
    <tableColumn id="4" name="season"/>
    <tableColumn id="5" name="size"/>
    <tableColumn id="6" name="color"/>
    <tableColumn id="7" name="original_price"/>
    <tableColumn id="8" name="markdown_percentage"/>
    <tableColumn id="9" name="current_price"/>
    <tableColumn id="10" name="purchase_date"/>
    <tableColumn id="11" name="stock_quantity"/>
    <tableColumn id="12" name="customer_rating"/>
    <tableColumn id="13" name="is_returned"/>
    <tableColumn id="14" name="return_reason"/>
    <tableColumn id="15" name="stock_tier"/>
    <tableColumn id="16" name="markdown_tier"/>
    <tableColumn id="17" name="rating_tier"/>
    <tableColumn id="18" name="buyer_recommendation"/>
    <tableColumn id="19" name="rank_ke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3" style="0" width="42"/>
    <col collapsed="false" customWidth="true" hidden="false" outlineLevel="0" max="16" min="4" style="0" width="11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E4" s="3" t="s">
        <v>3</v>
      </c>
      <c r="F4" s="3"/>
      <c r="G4" s="3"/>
      <c r="I4" s="3" t="s">
        <v>4</v>
      </c>
      <c r="J4" s="3"/>
      <c r="K4" s="3"/>
      <c r="M4" s="4" t="s">
        <v>5</v>
      </c>
      <c r="N4" s="4"/>
      <c r="O4" s="4"/>
      <c r="Q4" s="4" t="s">
        <v>6</v>
      </c>
      <c r="R4" s="4"/>
      <c r="S4" s="4"/>
    </row>
    <row r="5" customFormat="false" ht="30" hidden="false" customHeight="true" outlineLevel="0" collapsed="false">
      <c r="A5" s="5" t="n">
        <f aca="false">TotalInventory</f>
        <v>54265</v>
      </c>
      <c r="B5" s="5"/>
      <c r="C5" s="5"/>
      <c r="E5" s="5" t="n">
        <f aca="false">TotalProducts</f>
        <v>2176</v>
      </c>
      <c r="F5" s="5"/>
      <c r="G5" s="5"/>
      <c r="I5" s="6" t="n">
        <f aca="false">AvgCurrentPrice</f>
        <v>85.4995955882353</v>
      </c>
      <c r="J5" s="6"/>
      <c r="K5" s="6"/>
      <c r="M5" s="7" t="n">
        <f aca="false">OverallAvgMarkdown</f>
        <v>12.1447150735294</v>
      </c>
      <c r="N5" s="7"/>
      <c r="O5" s="7"/>
      <c r="Q5" s="8" t="n">
        <f aca="false">OverallReturnRate</f>
        <v>0.147058823529412</v>
      </c>
      <c r="R5" s="8"/>
      <c r="S5" s="8"/>
    </row>
    <row r="9" customFormat="false" ht="15" hidden="false" customHeight="false" outlineLevel="0" collapsed="false">
      <c r="A9" s="9" t="s">
        <v>7</v>
      </c>
      <c r="E9" s="10" t="s">
        <v>8</v>
      </c>
    </row>
    <row r="10" customFormat="false" ht="15" hidden="false" customHeight="false" outlineLevel="0" collapsed="false">
      <c r="A10" s="11" t="s">
        <v>9</v>
      </c>
      <c r="E10" s="12" t="n">
        <f aca="false">INDEX('Pivot Summaries'!$B$3:$B$8,MATCH($E$9,'Pivot Summaries'!$A$3:$A$8,0))</f>
        <v>10541</v>
      </c>
    </row>
    <row r="11" customFormat="false" ht="15" hidden="false" customHeight="false" outlineLevel="0" collapsed="false">
      <c r="A11" s="11" t="s">
        <v>10</v>
      </c>
      <c r="E11" s="13" t="n">
        <f aca="false">INDEX('Pivot Summaries'!$B$26:$B$31,MATCH($E$9,'Pivot Summaries'!$A$26:$A$31,0))</f>
        <v>0.13681592039801</v>
      </c>
    </row>
    <row r="13" customFormat="false" ht="16.15" hidden="false" customHeight="false" outlineLevel="0" collapsed="false">
      <c r="A13" s="14" t="s">
        <v>11</v>
      </c>
    </row>
    <row r="14" customFormat="false" ht="15" hidden="false" customHeight="false" outlineLevel="0" collapsed="false">
      <c r="A14" s="15" t="s">
        <v>12</v>
      </c>
      <c r="B14" s="15" t="s">
        <v>13</v>
      </c>
      <c r="C14" s="15" t="s">
        <v>14</v>
      </c>
    </row>
    <row r="15" customFormat="false" ht="15" hidden="false" customHeight="false" outlineLevel="0" collapsed="false">
      <c r="A15" s="11" t="s">
        <v>15</v>
      </c>
      <c r="B15" s="11" t="n">
        <f aca="false">COUNTIFS('Raw Data'!$O$2:$O$2177,"High",'Raw Data'!$P$2:$P$2177,"High")</f>
        <v>188</v>
      </c>
      <c r="C15" s="16" t="s">
        <v>16</v>
      </c>
    </row>
    <row r="16" customFormat="false" ht="15" hidden="false" customHeight="false" outlineLevel="0" collapsed="false">
      <c r="A16" s="11" t="s">
        <v>17</v>
      </c>
      <c r="B16" s="11" t="n">
        <f aca="false">COUNTIF('Raw Data'!$O$2:$O$2177,"Low")</f>
        <v>775</v>
      </c>
      <c r="C16" s="16" t="s">
        <v>18</v>
      </c>
    </row>
    <row r="17" customFormat="false" ht="15" hidden="false" customHeight="false" outlineLevel="0" collapsed="false">
      <c r="A17" s="11" t="s">
        <v>19</v>
      </c>
      <c r="B17" s="11" t="n">
        <f aca="false">COUNTIF('Pivot Summaries'!$B$12:$B$15,"&gt;"&amp;OverallAvgMarkdown)</f>
        <v>1</v>
      </c>
      <c r="C17" s="16" t="s">
        <v>20</v>
      </c>
    </row>
    <row r="18" customFormat="false" ht="15" hidden="false" customHeight="false" outlineLevel="0" collapsed="false">
      <c r="A18" s="11" t="s">
        <v>21</v>
      </c>
      <c r="B18" s="11" t="n">
        <f aca="false">COUNTIF('Pivot Summaries'!$B$26:$B$31,"&gt;"&amp;OverallReturnRate)</f>
        <v>4</v>
      </c>
      <c r="C18" s="16" t="s">
        <v>22</v>
      </c>
    </row>
  </sheetData>
  <mergeCells count="10">
    <mergeCell ref="A4:C4"/>
    <mergeCell ref="E4:G4"/>
    <mergeCell ref="I4:K4"/>
    <mergeCell ref="M4:O4"/>
    <mergeCell ref="Q4:S4"/>
    <mergeCell ref="A5:C5"/>
    <mergeCell ref="E5:G5"/>
    <mergeCell ref="I5:K5"/>
    <mergeCell ref="M5:O5"/>
    <mergeCell ref="Q5:S5"/>
  </mergeCells>
  <dataValidations count="1">
    <dataValidation allowBlank="false" errorStyle="stop" operator="between" showDropDown="false" showErrorMessage="false" showInputMessage="false" sqref="E9" type="list">
      <formula1>"Accessories,Bottoms,Dresses,Outerwear,Shoes,Tops"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7" t="s">
        <v>23</v>
      </c>
    </row>
    <row r="2" customFormat="false" ht="15" hidden="false" customHeight="false" outlineLevel="0" collapsed="false">
      <c r="A2" s="18" t="s">
        <v>24</v>
      </c>
      <c r="B2" s="18" t="s">
        <v>25</v>
      </c>
    </row>
    <row r="3" customFormat="false" ht="15" hidden="false" customHeight="false" outlineLevel="0" collapsed="false">
      <c r="A3" s="11" t="s">
        <v>8</v>
      </c>
      <c r="B3" s="11" t="n">
        <f aca="false">SUMIFS('Raw Data'!$K$2:$K$2177,'Raw Data'!$B$2:$B$2177,A3)</f>
        <v>10541</v>
      </c>
    </row>
    <row r="4" customFormat="false" ht="15" hidden="false" customHeight="false" outlineLevel="0" collapsed="false">
      <c r="A4" s="11" t="s">
        <v>26</v>
      </c>
      <c r="B4" s="11" t="n">
        <f aca="false">SUMIFS('Raw Data'!$K$2:$K$2177,'Raw Data'!$B$2:$B$2177,A4)</f>
        <v>9442</v>
      </c>
    </row>
    <row r="5" customFormat="false" ht="15" hidden="false" customHeight="false" outlineLevel="0" collapsed="false">
      <c r="A5" s="11" t="s">
        <v>27</v>
      </c>
      <c r="B5" s="11" t="n">
        <f aca="false">SUMIFS('Raw Data'!$K$2:$K$2177,'Raw Data'!$B$2:$B$2177,A5)</f>
        <v>7928</v>
      </c>
    </row>
    <row r="6" customFormat="false" ht="15" hidden="false" customHeight="false" outlineLevel="0" collapsed="false">
      <c r="A6" s="11" t="s">
        <v>28</v>
      </c>
      <c r="B6" s="11" t="n">
        <f aca="false">SUMIFS('Raw Data'!$K$2:$K$2177,'Raw Data'!$B$2:$B$2177,A6)</f>
        <v>8368</v>
      </c>
    </row>
    <row r="7" customFormat="false" ht="15" hidden="false" customHeight="false" outlineLevel="0" collapsed="false">
      <c r="A7" s="11" t="s">
        <v>29</v>
      </c>
      <c r="B7" s="11" t="n">
        <f aca="false">SUMIFS('Raw Data'!$K$2:$K$2177,'Raw Data'!$B$2:$B$2177,A7)</f>
        <v>9118</v>
      </c>
    </row>
    <row r="8" customFormat="false" ht="15" hidden="false" customHeight="false" outlineLevel="0" collapsed="false">
      <c r="A8" s="11" t="s">
        <v>30</v>
      </c>
      <c r="B8" s="11" t="n">
        <f aca="false">SUMIFS('Raw Data'!$K$2:$K$2177,'Raw Data'!$B$2:$B$2177,A8)</f>
        <v>8868</v>
      </c>
    </row>
    <row r="10" customFormat="false" ht="15" hidden="false" customHeight="false" outlineLevel="0" collapsed="false">
      <c r="A10" s="17" t="s">
        <v>31</v>
      </c>
    </row>
    <row r="11" customFormat="false" ht="15" hidden="false" customHeight="false" outlineLevel="0" collapsed="false">
      <c r="A11" s="18" t="s">
        <v>32</v>
      </c>
      <c r="B11" s="18" t="s">
        <v>33</v>
      </c>
    </row>
    <row r="12" customFormat="false" ht="15" hidden="false" customHeight="false" outlineLevel="0" collapsed="false">
      <c r="A12" s="11" t="s">
        <v>34</v>
      </c>
      <c r="B12" s="19" t="n">
        <f aca="false">AVERAGEIFS('Raw Data'!$H$2:$H$2177,'Raw Data'!$D$2:$D$2177,A12)</f>
        <v>11.8394392523365</v>
      </c>
    </row>
    <row r="13" customFormat="false" ht="15" hidden="false" customHeight="false" outlineLevel="0" collapsed="false">
      <c r="A13" s="11" t="s">
        <v>35</v>
      </c>
      <c r="B13" s="19" t="n">
        <f aca="false">AVERAGEIFS('Raw Data'!$H$2:$H$2177,'Raw Data'!$D$2:$D$2177,A13)</f>
        <v>12.492347826087</v>
      </c>
    </row>
    <row r="14" customFormat="false" ht="15" hidden="false" customHeight="false" outlineLevel="0" collapsed="false">
      <c r="A14" s="11" t="s">
        <v>36</v>
      </c>
      <c r="B14" s="19" t="n">
        <f aca="false">AVERAGEIFS('Raw Data'!$H$2:$H$2177,'Raw Data'!$D$2:$D$2177,A14)</f>
        <v>12.0961397058824</v>
      </c>
    </row>
    <row r="15" customFormat="false" ht="15" hidden="false" customHeight="false" outlineLevel="0" collapsed="false">
      <c r="A15" s="11" t="s">
        <v>37</v>
      </c>
      <c r="B15" s="19" t="n">
        <f aca="false">AVERAGEIFS('Raw Data'!$H$2:$H$2177,'Raw Data'!$D$2:$D$2177,A15)</f>
        <v>12.1252873563218</v>
      </c>
    </row>
    <row r="17" customFormat="false" ht="15" hidden="false" customHeight="false" outlineLevel="0" collapsed="false">
      <c r="A17" s="17" t="s">
        <v>38</v>
      </c>
    </row>
    <row r="18" customFormat="false" ht="15" hidden="false" customHeight="false" outlineLevel="0" collapsed="false">
      <c r="A18" s="18" t="s">
        <v>32</v>
      </c>
      <c r="B18" s="18" t="s">
        <v>25</v>
      </c>
    </row>
    <row r="19" customFormat="false" ht="15" hidden="false" customHeight="false" outlineLevel="0" collapsed="false">
      <c r="A19" s="11" t="s">
        <v>34</v>
      </c>
      <c r="B19" s="11" t="n">
        <f aca="false">SUMIFS('Raw Data'!$K$2:$K$2177,'Raw Data'!$D$2:$D$2177,A19)</f>
        <v>13720</v>
      </c>
    </row>
    <row r="20" customFormat="false" ht="15" hidden="false" customHeight="false" outlineLevel="0" collapsed="false">
      <c r="A20" s="11" t="s">
        <v>35</v>
      </c>
      <c r="B20" s="11" t="n">
        <f aca="false">SUMIFS('Raw Data'!$K$2:$K$2177,'Raw Data'!$D$2:$D$2177,A20)</f>
        <v>14307</v>
      </c>
    </row>
    <row r="21" customFormat="false" ht="15" hidden="false" customHeight="false" outlineLevel="0" collapsed="false">
      <c r="A21" s="11" t="s">
        <v>36</v>
      </c>
      <c r="B21" s="11" t="n">
        <f aca="false">SUMIFS('Raw Data'!$K$2:$K$2177,'Raw Data'!$D$2:$D$2177,A21)</f>
        <v>13448</v>
      </c>
    </row>
    <row r="22" customFormat="false" ht="15" hidden="false" customHeight="false" outlineLevel="0" collapsed="false">
      <c r="A22" s="11" t="s">
        <v>37</v>
      </c>
      <c r="B22" s="11" t="n">
        <f aca="false">SUMIFS('Raw Data'!$K$2:$K$2177,'Raw Data'!$D$2:$D$2177,A22)</f>
        <v>12790</v>
      </c>
    </row>
    <row r="24" customFormat="false" ht="15" hidden="false" customHeight="false" outlineLevel="0" collapsed="false">
      <c r="A24" s="17" t="s">
        <v>39</v>
      </c>
    </row>
    <row r="25" customFormat="false" ht="15" hidden="false" customHeight="false" outlineLevel="0" collapsed="false">
      <c r="A25" s="18" t="s">
        <v>24</v>
      </c>
      <c r="B25" s="18" t="s">
        <v>40</v>
      </c>
    </row>
    <row r="26" customFormat="false" ht="15" hidden="false" customHeight="false" outlineLevel="0" collapsed="false">
      <c r="A26" s="11" t="s">
        <v>8</v>
      </c>
      <c r="B26" s="20" t="n">
        <f aca="false">COUNTIFS('Raw Data'!$B$2:$B$2177,A26,'Raw Data'!$M$2:$M$2177,TRUE())/COUNTIFS('Raw Data'!$B$2:$B$2177,A26)</f>
        <v>0.13681592039801</v>
      </c>
    </row>
    <row r="27" customFormat="false" ht="15" hidden="false" customHeight="false" outlineLevel="0" collapsed="false">
      <c r="A27" s="11" t="s">
        <v>26</v>
      </c>
      <c r="B27" s="20" t="n">
        <f aca="false">COUNTIFS('Raw Data'!$B$2:$B$2177,A27,'Raw Data'!$M$2:$M$2177,TRUE())/COUNTIFS('Raw Data'!$B$2:$B$2177,A27)</f>
        <v>0.158163265306122</v>
      </c>
    </row>
    <row r="28" customFormat="false" ht="15" hidden="false" customHeight="false" outlineLevel="0" collapsed="false">
      <c r="A28" s="11" t="s">
        <v>27</v>
      </c>
      <c r="B28" s="20" t="n">
        <f aca="false">COUNTIFS('Raw Data'!$B$2:$B$2177,A28,'Raw Data'!$M$2:$M$2177,TRUE())/COUNTIFS('Raw Data'!$B$2:$B$2177,A28)</f>
        <v>0.148264984227129</v>
      </c>
    </row>
    <row r="29" customFormat="false" ht="15" hidden="false" customHeight="false" outlineLevel="0" collapsed="false">
      <c r="A29" s="11" t="s">
        <v>28</v>
      </c>
      <c r="B29" s="20" t="n">
        <f aca="false">COUNTIFS('Raw Data'!$B$2:$B$2177,A29,'Raw Data'!$M$2:$M$2177,TRUE())/COUNTIFS('Raw Data'!$B$2:$B$2177,A29)</f>
        <v>0.161676646706587</v>
      </c>
    </row>
    <row r="30" customFormat="false" ht="15" hidden="false" customHeight="false" outlineLevel="0" collapsed="false">
      <c r="A30" s="11" t="s">
        <v>29</v>
      </c>
      <c r="B30" s="20" t="n">
        <f aca="false">COUNTIFS('Raw Data'!$B$2:$B$2177,A30,'Raw Data'!$M$2:$M$2177,TRUE())/COUNTIFS('Raw Data'!$B$2:$B$2177,A30)</f>
        <v>0.150537634408602</v>
      </c>
    </row>
    <row r="31" customFormat="false" ht="15" hidden="false" customHeight="false" outlineLevel="0" collapsed="false">
      <c r="A31" s="11" t="s">
        <v>30</v>
      </c>
      <c r="B31" s="20" t="n">
        <f aca="false">COUNTIFS('Raw Data'!$B$2:$B$2177,A31,'Raw Data'!$M$2:$M$2177,TRUE())/COUNTIFS('Raw Data'!$B$2:$B$2177,A31)</f>
        <v>0.128133704735376</v>
      </c>
    </row>
    <row r="33" customFormat="false" ht="15" hidden="false" customHeight="false" outlineLevel="0" collapsed="false">
      <c r="A33" s="17" t="s">
        <v>41</v>
      </c>
    </row>
    <row r="34" customFormat="false" ht="15" hidden="false" customHeight="false" outlineLevel="0" collapsed="false">
      <c r="A34" s="18" t="s">
        <v>14</v>
      </c>
      <c r="B34" s="18" t="s">
        <v>42</v>
      </c>
    </row>
    <row r="35" customFormat="false" ht="15" hidden="false" customHeight="false" outlineLevel="0" collapsed="false">
      <c r="A35" s="11" t="s">
        <v>43</v>
      </c>
      <c r="B35" s="11" t="n">
        <f aca="false">COUNTIF('Raw Data'!$R$2:$R$2177,A35)</f>
        <v>105</v>
      </c>
    </row>
    <row r="36" customFormat="false" ht="15" hidden="false" customHeight="false" outlineLevel="0" collapsed="false">
      <c r="A36" s="11" t="s">
        <v>44</v>
      </c>
      <c r="B36" s="11" t="n">
        <f aca="false">COUNTIF('Raw Data'!$R$2:$R$2177,A36)</f>
        <v>61</v>
      </c>
    </row>
    <row r="37" customFormat="false" ht="15" hidden="false" customHeight="false" outlineLevel="0" collapsed="false">
      <c r="A37" s="11" t="s">
        <v>45</v>
      </c>
      <c r="B37" s="11" t="n">
        <f aca="false">COUNTIF('Raw Data'!$R$2:$R$2177,A37)</f>
        <v>2010</v>
      </c>
    </row>
    <row r="39" customFormat="false" ht="15" hidden="false" customHeight="false" outlineLevel="0" collapsed="false">
      <c r="A39" s="17" t="s">
        <v>46</v>
      </c>
    </row>
    <row r="40" customFormat="false" ht="15" hidden="false" customHeight="false" outlineLevel="0" collapsed="false">
      <c r="A40" s="18" t="s">
        <v>47</v>
      </c>
      <c r="B40" s="18" t="s">
        <v>24</v>
      </c>
      <c r="C40" s="18" t="s">
        <v>48</v>
      </c>
      <c r="D40" s="18" t="s">
        <v>49</v>
      </c>
      <c r="E40" s="18" t="s">
        <v>50</v>
      </c>
      <c r="F40" s="18" t="s">
        <v>51</v>
      </c>
    </row>
    <row r="41" customFormat="false" ht="15" hidden="false" customHeight="false" outlineLevel="0" collapsed="false">
      <c r="A41" s="11" t="str">
        <f aca="false">INDEX('Raw Data'!$A$2:$A$2177,MATCH(LARGE('Raw Data'!$S$2:$S$2177,1),'Raw Data'!$S$2:$S$2177,0))</f>
        <v>FB002157</v>
      </c>
      <c r="B41" s="11" t="str">
        <f aca="false">INDEX('Raw Data'!$B$2:$B$2177,MATCH(LARGE('Raw Data'!$S$2:$S$2177,1),'Raw Data'!$S$2:$S$2177,0))</f>
        <v>Dresses</v>
      </c>
      <c r="C41" s="11" t="str">
        <f aca="false">INDEX('Raw Data'!$C$2:$C$2177,MATCH(LARGE('Raw Data'!$S$2:$S$2177,1),'Raw Data'!$S$2:$S$2177,0))</f>
        <v>Forever21</v>
      </c>
      <c r="D41" s="11" t="n">
        <f aca="false">INDEX('Raw Data'!$K$2:$K$2177,MATCH(LARGE('Raw Data'!$S$2:$S$2177,1),'Raw Data'!$S$2:$S$2177,0))</f>
        <v>50</v>
      </c>
      <c r="E41" s="21" t="n">
        <f aca="false">INDEX('Raw Data'!$I$2:$I$2177,MATCH(LARGE('Raw Data'!$S$2:$S$2177,1),'Raw Data'!$S$2:$S$2177,0))</f>
        <v>154.11</v>
      </c>
      <c r="F41" s="19" t="n">
        <f aca="false">INDEX('Raw Data'!$H$2:$H$2177,MATCH(LARGE('Raw Data'!$S$2:$S$2177,1),'Raw Data'!$S$2:$S$2177,0))</f>
        <v>0</v>
      </c>
    </row>
    <row r="42" customFormat="false" ht="15" hidden="false" customHeight="false" outlineLevel="0" collapsed="false">
      <c r="A42" s="11" t="str">
        <f aca="false">INDEX('Raw Data'!$A$2:$A$2177,MATCH(LARGE('Raw Data'!$S$2:$S$2177,2),'Raw Data'!$S$2:$S$2177,0))</f>
        <v>FB001987</v>
      </c>
      <c r="B42" s="11" t="str">
        <f aca="false">INDEX('Raw Data'!$B$2:$B$2177,MATCH(LARGE('Raw Data'!$S$2:$S$2177,2),'Raw Data'!$S$2:$S$2177,0))</f>
        <v>Accessories</v>
      </c>
      <c r="C42" s="11" t="str">
        <f aca="false">INDEX('Raw Data'!$C$2:$C$2177,MATCH(LARGE('Raw Data'!$S$2:$S$2177,2),'Raw Data'!$S$2:$S$2177,0))</f>
        <v>Uniqlo</v>
      </c>
      <c r="D42" s="11" t="n">
        <f aca="false">INDEX('Raw Data'!$K$2:$K$2177,MATCH(LARGE('Raw Data'!$S$2:$S$2177,2),'Raw Data'!$S$2:$S$2177,0))</f>
        <v>50</v>
      </c>
      <c r="E42" s="21" t="n">
        <f aca="false">INDEX('Raw Data'!$I$2:$I$2177,MATCH(LARGE('Raw Data'!$S$2:$S$2177,2),'Raw Data'!$S$2:$S$2177,0))</f>
        <v>33</v>
      </c>
      <c r="F42" s="19" t="n">
        <f aca="false">INDEX('Raw Data'!$H$2:$H$2177,MATCH(LARGE('Raw Data'!$S$2:$S$2177,2),'Raw Data'!$S$2:$S$2177,0))</f>
        <v>0</v>
      </c>
    </row>
    <row r="43" customFormat="false" ht="15" hidden="false" customHeight="false" outlineLevel="0" collapsed="false">
      <c r="A43" s="11" t="str">
        <f aca="false">INDEX('Raw Data'!$A$2:$A$2177,MATCH(LARGE('Raw Data'!$S$2:$S$2177,3),'Raw Data'!$S$2:$S$2177,0))</f>
        <v>FB001892</v>
      </c>
      <c r="B43" s="11" t="str">
        <f aca="false">INDEX('Raw Data'!$B$2:$B$2177,MATCH(LARGE('Raw Data'!$S$2:$S$2177,3),'Raw Data'!$S$2:$S$2177,0))</f>
        <v>Outerwear</v>
      </c>
      <c r="C43" s="11" t="str">
        <f aca="false">INDEX('Raw Data'!$C$2:$C$2177,MATCH(LARGE('Raw Data'!$S$2:$S$2177,3),'Raw Data'!$S$2:$S$2177,0))</f>
        <v>Forever21</v>
      </c>
      <c r="D43" s="11" t="n">
        <f aca="false">INDEX('Raw Data'!$K$2:$K$2177,MATCH(LARGE('Raw Data'!$S$2:$S$2177,3),'Raw Data'!$S$2:$S$2177,0))</f>
        <v>50</v>
      </c>
      <c r="E43" s="21" t="n">
        <f aca="false">INDEX('Raw Data'!$I$2:$I$2177,MATCH(LARGE('Raw Data'!$S$2:$S$2177,3),'Raw Data'!$S$2:$S$2177,0))</f>
        <v>182.4</v>
      </c>
      <c r="F43" s="19" t="n">
        <f aca="false">INDEX('Raw Data'!$H$2:$H$2177,MATCH(LARGE('Raw Data'!$S$2:$S$2177,3),'Raw Data'!$S$2:$S$2177,0))</f>
        <v>18.9</v>
      </c>
    </row>
    <row r="44" customFormat="false" ht="15" hidden="false" customHeight="false" outlineLevel="0" collapsed="false">
      <c r="A44" s="11" t="str">
        <f aca="false">INDEX('Raw Data'!$A$2:$A$2177,MATCH(LARGE('Raw Data'!$S$2:$S$2177,4),'Raw Data'!$S$2:$S$2177,0))</f>
        <v>FB001881</v>
      </c>
      <c r="B44" s="11" t="str">
        <f aca="false">INDEX('Raw Data'!$B$2:$B$2177,MATCH(LARGE('Raw Data'!$S$2:$S$2177,4),'Raw Data'!$S$2:$S$2177,0))</f>
        <v>Accessories</v>
      </c>
      <c r="C44" s="11" t="str">
        <f aca="false">INDEX('Raw Data'!$C$2:$C$2177,MATCH(LARGE('Raw Data'!$S$2:$S$2177,4),'Raw Data'!$S$2:$S$2177,0))</f>
        <v>H&amp;M</v>
      </c>
      <c r="D44" s="11" t="n">
        <f aca="false">INDEX('Raw Data'!$K$2:$K$2177,MATCH(LARGE('Raw Data'!$S$2:$S$2177,4),'Raw Data'!$S$2:$S$2177,0))</f>
        <v>50</v>
      </c>
      <c r="E44" s="21" t="n">
        <f aca="false">INDEX('Raw Data'!$I$2:$I$2177,MATCH(LARGE('Raw Data'!$S$2:$S$2177,4),'Raw Data'!$S$2:$S$2177,0))</f>
        <v>52.57</v>
      </c>
      <c r="F44" s="19" t="n">
        <f aca="false">INDEX('Raw Data'!$H$2:$H$2177,MATCH(LARGE('Raw Data'!$S$2:$S$2177,4),'Raw Data'!$S$2:$S$2177,0))</f>
        <v>0</v>
      </c>
    </row>
    <row r="45" customFormat="false" ht="15" hidden="false" customHeight="false" outlineLevel="0" collapsed="false">
      <c r="A45" s="11" t="str">
        <f aca="false">INDEX('Raw Data'!$A$2:$A$2177,MATCH(LARGE('Raw Data'!$S$2:$S$2177,5),'Raw Data'!$S$2:$S$2177,0))</f>
        <v>FB001857</v>
      </c>
      <c r="B45" s="11" t="str">
        <f aca="false">INDEX('Raw Data'!$B$2:$B$2177,MATCH(LARGE('Raw Data'!$S$2:$S$2177,5),'Raw Data'!$S$2:$S$2177,0))</f>
        <v>Bottoms</v>
      </c>
      <c r="C45" s="11" t="str">
        <f aca="false">INDEX('Raw Data'!$C$2:$C$2177,MATCH(LARGE('Raw Data'!$S$2:$S$2177,5),'Raw Data'!$S$2:$S$2177,0))</f>
        <v>Mango</v>
      </c>
      <c r="D45" s="11" t="n">
        <f aca="false">INDEX('Raw Data'!$K$2:$K$2177,MATCH(LARGE('Raw Data'!$S$2:$S$2177,5),'Raw Data'!$S$2:$S$2177,0))</f>
        <v>50</v>
      </c>
      <c r="E45" s="21" t="n">
        <f aca="false">INDEX('Raw Data'!$I$2:$I$2177,MATCH(LARGE('Raw Data'!$S$2:$S$2177,5),'Raw Data'!$S$2:$S$2177,0))</f>
        <v>108.89</v>
      </c>
      <c r="F45" s="19" t="n">
        <f aca="false">INDEX('Raw Data'!$H$2:$H$2177,MATCH(LARGE('Raw Data'!$S$2:$S$2177,5),'Raw Data'!$S$2:$S$2177,0))</f>
        <v>0</v>
      </c>
    </row>
    <row r="46" customFormat="false" ht="15" hidden="false" customHeight="false" outlineLevel="0" collapsed="false">
      <c r="A46" s="11" t="str">
        <f aca="false">INDEX('Raw Data'!$A$2:$A$2177,MATCH(LARGE('Raw Data'!$S$2:$S$2177,6),'Raw Data'!$S$2:$S$2177,0))</f>
        <v>FB001799</v>
      </c>
      <c r="B46" s="11" t="str">
        <f aca="false">INDEX('Raw Data'!$B$2:$B$2177,MATCH(LARGE('Raw Data'!$S$2:$S$2177,6),'Raw Data'!$S$2:$S$2177,0))</f>
        <v>Accessories</v>
      </c>
      <c r="C46" s="11" t="str">
        <f aca="false">INDEX('Raw Data'!$C$2:$C$2177,MATCH(LARGE('Raw Data'!$S$2:$S$2177,6),'Raw Data'!$S$2:$S$2177,0))</f>
        <v>Gap</v>
      </c>
      <c r="D46" s="11" t="n">
        <f aca="false">INDEX('Raw Data'!$K$2:$K$2177,MATCH(LARGE('Raw Data'!$S$2:$S$2177,6),'Raw Data'!$S$2:$S$2177,0))</f>
        <v>50</v>
      </c>
      <c r="E46" s="21" t="n">
        <f aca="false">INDEX('Raw Data'!$I$2:$I$2177,MATCH(LARGE('Raw Data'!$S$2:$S$2177,6),'Raw Data'!$S$2:$S$2177,0))</f>
        <v>58.99</v>
      </c>
      <c r="F46" s="19" t="n">
        <f aca="false">INDEX('Raw Data'!$H$2:$H$2177,MATCH(LARGE('Raw Data'!$S$2:$S$2177,6),'Raw Data'!$S$2:$S$2177,0))</f>
        <v>0</v>
      </c>
    </row>
    <row r="47" customFormat="false" ht="15" hidden="false" customHeight="false" outlineLevel="0" collapsed="false">
      <c r="A47" s="11" t="str">
        <f aca="false">INDEX('Raw Data'!$A$2:$A$2177,MATCH(LARGE('Raw Data'!$S$2:$S$2177,7),'Raw Data'!$S$2:$S$2177,0))</f>
        <v>FB001793</v>
      </c>
      <c r="B47" s="11" t="str">
        <f aca="false">INDEX('Raw Data'!$B$2:$B$2177,MATCH(LARGE('Raw Data'!$S$2:$S$2177,7),'Raw Data'!$S$2:$S$2177,0))</f>
        <v>Outerwear</v>
      </c>
      <c r="C47" s="11" t="str">
        <f aca="false">INDEX('Raw Data'!$C$2:$C$2177,MATCH(LARGE('Raw Data'!$S$2:$S$2177,7),'Raw Data'!$S$2:$S$2177,0))</f>
        <v>H&amp;M</v>
      </c>
      <c r="D47" s="11" t="n">
        <f aca="false">INDEX('Raw Data'!$K$2:$K$2177,MATCH(LARGE('Raw Data'!$S$2:$S$2177,7),'Raw Data'!$S$2:$S$2177,0))</f>
        <v>50</v>
      </c>
      <c r="E47" s="21" t="n">
        <f aca="false">INDEX('Raw Data'!$I$2:$I$2177,MATCH(LARGE('Raw Data'!$S$2:$S$2177,7),'Raw Data'!$S$2:$S$2177,0))</f>
        <v>215.06</v>
      </c>
      <c r="F47" s="19" t="n">
        <f aca="false">INDEX('Raw Data'!$H$2:$H$2177,MATCH(LARGE('Raw Data'!$S$2:$S$2177,7),'Raw Data'!$S$2:$S$2177,0))</f>
        <v>0</v>
      </c>
    </row>
    <row r="48" customFormat="false" ht="15" hidden="false" customHeight="false" outlineLevel="0" collapsed="false">
      <c r="A48" s="11" t="str">
        <f aca="false">INDEX('Raw Data'!$A$2:$A$2177,MATCH(LARGE('Raw Data'!$S$2:$S$2177,8),'Raw Data'!$S$2:$S$2177,0))</f>
        <v>FB001789</v>
      </c>
      <c r="B48" s="11" t="str">
        <f aca="false">INDEX('Raw Data'!$B$2:$B$2177,MATCH(LARGE('Raw Data'!$S$2:$S$2177,8),'Raw Data'!$S$2:$S$2177,0))</f>
        <v>Bottoms</v>
      </c>
      <c r="C48" s="11" t="str">
        <f aca="false">INDEX('Raw Data'!$C$2:$C$2177,MATCH(LARGE('Raw Data'!$S$2:$S$2177,8),'Raw Data'!$S$2:$S$2177,0))</f>
        <v>H&amp;M</v>
      </c>
      <c r="D48" s="11" t="n">
        <f aca="false">INDEX('Raw Data'!$K$2:$K$2177,MATCH(LARGE('Raw Data'!$S$2:$S$2177,8),'Raw Data'!$S$2:$S$2177,0))</f>
        <v>50</v>
      </c>
      <c r="E48" s="21" t="n">
        <f aca="false">INDEX('Raw Data'!$I$2:$I$2177,MATCH(LARGE('Raw Data'!$S$2:$S$2177,8),'Raw Data'!$S$2:$S$2177,0))</f>
        <v>74.76</v>
      </c>
      <c r="F48" s="19" t="n">
        <f aca="false">INDEX('Raw Data'!$H$2:$H$2177,MATCH(LARGE('Raw Data'!$S$2:$S$2177,8),'Raw Data'!$S$2:$S$2177,0))</f>
        <v>0</v>
      </c>
    </row>
    <row r="49" customFormat="false" ht="15" hidden="false" customHeight="false" outlineLevel="0" collapsed="false">
      <c r="A49" s="11" t="str">
        <f aca="false">INDEX('Raw Data'!$A$2:$A$2177,MATCH(LARGE('Raw Data'!$S$2:$S$2177,9),'Raw Data'!$S$2:$S$2177,0))</f>
        <v>FB001638</v>
      </c>
      <c r="B49" s="11" t="str">
        <f aca="false">INDEX('Raw Data'!$B$2:$B$2177,MATCH(LARGE('Raw Data'!$S$2:$S$2177,9),'Raw Data'!$S$2:$S$2177,0))</f>
        <v>Accessories</v>
      </c>
      <c r="C49" s="11" t="str">
        <f aca="false">INDEX('Raw Data'!$C$2:$C$2177,MATCH(LARGE('Raw Data'!$S$2:$S$2177,9),'Raw Data'!$S$2:$S$2177,0))</f>
        <v>Ann Taylor</v>
      </c>
      <c r="D49" s="11" t="n">
        <f aca="false">INDEX('Raw Data'!$K$2:$K$2177,MATCH(LARGE('Raw Data'!$S$2:$S$2177,9),'Raw Data'!$S$2:$S$2177,0))</f>
        <v>50</v>
      </c>
      <c r="E49" s="21" t="n">
        <f aca="false">INDEX('Raw Data'!$I$2:$I$2177,MATCH(LARGE('Raw Data'!$S$2:$S$2177,9),'Raw Data'!$S$2:$S$2177,0))</f>
        <v>21.82</v>
      </c>
      <c r="F49" s="19" t="n">
        <f aca="false">INDEX('Raw Data'!$H$2:$H$2177,MATCH(LARGE('Raw Data'!$S$2:$S$2177,9),'Raw Data'!$S$2:$S$2177,0))</f>
        <v>45.5</v>
      </c>
    </row>
    <row r="50" customFormat="false" ht="15" hidden="false" customHeight="false" outlineLevel="0" collapsed="false">
      <c r="A50" s="11" t="str">
        <f aca="false">INDEX('Raw Data'!$A$2:$A$2177,MATCH(LARGE('Raw Data'!$S$2:$S$2177,10),'Raw Data'!$S$2:$S$2177,0))</f>
        <v>FB001559</v>
      </c>
      <c r="B50" s="11" t="str">
        <f aca="false">INDEX('Raw Data'!$B$2:$B$2177,MATCH(LARGE('Raw Data'!$S$2:$S$2177,10),'Raw Data'!$S$2:$S$2177,0))</f>
        <v>Tops</v>
      </c>
      <c r="C50" s="11" t="str">
        <f aca="false">INDEX('Raw Data'!$C$2:$C$2177,MATCH(LARGE('Raw Data'!$S$2:$S$2177,10),'Raw Data'!$S$2:$S$2177,0))</f>
        <v>H&amp;M</v>
      </c>
      <c r="D50" s="11" t="n">
        <f aca="false">INDEX('Raw Data'!$K$2:$K$2177,MATCH(LARGE('Raw Data'!$S$2:$S$2177,10),'Raw Data'!$S$2:$S$2177,0))</f>
        <v>50</v>
      </c>
      <c r="E50" s="21" t="n">
        <f aca="false">INDEX('Raw Data'!$I$2:$I$2177,MATCH(LARGE('Raw Data'!$S$2:$S$2177,10),'Raw Data'!$S$2:$S$2177,0))</f>
        <v>59.8</v>
      </c>
      <c r="F50" s="19" t="n">
        <f aca="false">INDEX('Raw Data'!$H$2:$H$2177,MATCH(LARGE('Raw Data'!$S$2:$S$2177,10),'Raw Data'!$S$2:$S$2177,0))</f>
        <v>0</v>
      </c>
    </row>
  </sheetData>
  <conditionalFormatting sqref="B12:B15">
    <cfRule type="cellIs" priority="2" operator="greaterThan" aboveAverage="0" equalAverage="0" bottom="0" percent="0" rank="0" text="" dxfId="0">
      <formula>OverallAvgMarkdown</formula>
    </cfRule>
  </conditionalFormatting>
  <conditionalFormatting sqref="B26:B31">
    <cfRule type="cellIs" priority="3" operator="greaterThan" aboveAverage="0" equalAverage="0" bottom="0" percent="0" rank="0" text="" dxfId="0">
      <formula>OverallReturnRate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2" min="11" style="0" width="8"/>
    <col collapsed="false" customWidth="true" hidden="false" outlineLevel="0" max="13" min="13" style="0" width="9"/>
    <col collapsed="false" customWidth="true" hidden="false" outlineLevel="0" max="14" min="14" style="0" width="14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17"/>
    <col collapsed="false" customWidth="true" hidden="false" outlineLevel="0" max="19" min="19" style="0" width="10"/>
  </cols>
  <sheetData>
    <row r="1" customFormat="false" ht="15" hidden="false" customHeight="false" outlineLevel="0" collapsed="false">
      <c r="A1" s="18" t="s">
        <v>52</v>
      </c>
      <c r="B1" s="18" t="s">
        <v>53</v>
      </c>
      <c r="C1" s="18" t="s">
        <v>54</v>
      </c>
      <c r="D1" s="18" t="s">
        <v>55</v>
      </c>
      <c r="E1" s="18" t="s">
        <v>56</v>
      </c>
      <c r="F1" s="18" t="s">
        <v>57</v>
      </c>
      <c r="G1" s="18" t="s">
        <v>58</v>
      </c>
      <c r="H1" s="18" t="s">
        <v>59</v>
      </c>
      <c r="I1" s="18" t="s">
        <v>60</v>
      </c>
      <c r="J1" s="18" t="s">
        <v>61</v>
      </c>
      <c r="K1" s="18" t="s">
        <v>62</v>
      </c>
      <c r="L1" s="18" t="s">
        <v>63</v>
      </c>
      <c r="M1" s="18" t="s">
        <v>64</v>
      </c>
      <c r="N1" s="18" t="s">
        <v>65</v>
      </c>
      <c r="O1" s="18" t="s">
        <v>66</v>
      </c>
      <c r="P1" s="18" t="s">
        <v>67</v>
      </c>
      <c r="Q1" s="18" t="s">
        <v>68</v>
      </c>
      <c r="R1" s="18" t="s">
        <v>69</v>
      </c>
      <c r="S1" s="18" t="s">
        <v>70</v>
      </c>
    </row>
    <row r="2" customFormat="false" ht="15" hidden="false" customHeight="false" outlineLevel="0" collapsed="false">
      <c r="A2" s="11" t="s">
        <v>71</v>
      </c>
      <c r="B2" s="11" t="s">
        <v>28</v>
      </c>
      <c r="C2" s="11" t="s">
        <v>72</v>
      </c>
      <c r="D2" s="11" t="s">
        <v>34</v>
      </c>
      <c r="E2" s="11" t="s">
        <v>73</v>
      </c>
      <c r="F2" s="11" t="s">
        <v>74</v>
      </c>
      <c r="G2" s="21" t="n">
        <v>196.01</v>
      </c>
      <c r="H2" s="19" t="n">
        <v>0</v>
      </c>
      <c r="I2" s="21" t="n">
        <v>196.01</v>
      </c>
      <c r="J2" s="22" t="s">
        <v>75</v>
      </c>
      <c r="K2" s="11" t="n">
        <v>37</v>
      </c>
      <c r="L2" s="23" t="n">
        <v>3</v>
      </c>
      <c r="M2" s="24" t="b">
        <f aca="false">FALSE()</f>
        <v>0</v>
      </c>
      <c r="N2" s="11"/>
      <c r="O2" s="11" t="str">
        <f aca="false">IF(K2&lt;=StockP33,"Low",IF(K2&lt;=StockP67,"Moderate","High"))</f>
        <v>High</v>
      </c>
      <c r="P2" s="11" t="str">
        <f aca="false">IF(H2=0,"Low",IF(H2&lt;=MarkdownP75,"Moderate","High"))</f>
        <v>Low</v>
      </c>
      <c r="Q2" s="11" t="str">
        <f aca="false">IF(ISBLANK(L2),"Unknown",IF(L2&gt;=4,"Good",IF(L2&lt;=2,"Poor","Neutral")))</f>
        <v>Neutral</v>
      </c>
      <c r="R2" s="11" t="str">
        <f aca="false">IF(AND(O2="Low",P2="Low",Q2="Good"),"BUY / PRIORITIZE",IF(AND(O2="High",P2="High",OR(Q2="Poor",M2=TRUE())),"HOLD / REVIEW","MONITOR"))</f>
        <v>MONITOR</v>
      </c>
      <c r="S2" s="11" t="n">
        <f aca="false">K2+(ROW()/10000000)</f>
        <v>37.0000002</v>
      </c>
    </row>
    <row r="3" customFormat="false" ht="15" hidden="false" customHeight="false" outlineLevel="0" collapsed="false">
      <c r="A3" s="11" t="s">
        <v>76</v>
      </c>
      <c r="B3" s="11" t="s">
        <v>30</v>
      </c>
      <c r="C3" s="11" t="s">
        <v>77</v>
      </c>
      <c r="D3" s="11" t="s">
        <v>37</v>
      </c>
      <c r="E3" s="11" t="s">
        <v>78</v>
      </c>
      <c r="F3" s="11" t="s">
        <v>79</v>
      </c>
      <c r="G3" s="21" t="n">
        <v>119.64</v>
      </c>
      <c r="H3" s="19" t="n">
        <v>0</v>
      </c>
      <c r="I3" s="21" t="n">
        <v>119.64</v>
      </c>
      <c r="J3" s="22" t="s">
        <v>80</v>
      </c>
      <c r="K3" s="11" t="n">
        <v>2</v>
      </c>
      <c r="L3" s="23" t="n">
        <v>2.5</v>
      </c>
      <c r="M3" s="24" t="b">
        <f aca="false">FALSE()</f>
        <v>0</v>
      </c>
      <c r="N3" s="11"/>
      <c r="O3" s="11" t="str">
        <f aca="false">IF(K3&lt;=StockP33,"Low",IF(K3&lt;=StockP67,"Moderate","High"))</f>
        <v>Low</v>
      </c>
      <c r="P3" s="11" t="str">
        <f aca="false">IF(H3=0,"Low",IF(H3&lt;=MarkdownP75,"Moderate","High"))</f>
        <v>Low</v>
      </c>
      <c r="Q3" s="11" t="str">
        <f aca="false">IF(ISBLANK(L3),"Unknown",IF(L3&gt;=4,"Good",IF(L3&lt;=2,"Poor","Neutral")))</f>
        <v>Neutral</v>
      </c>
      <c r="R3" s="11" t="str">
        <f aca="false">IF(AND(O3="Low",P3="Low",Q3="Good"),"BUY / PRIORITIZE",IF(AND(O3="High",P3="High",OR(Q3="Poor",M3=TRUE())),"HOLD / REVIEW","MONITOR"))</f>
        <v>MONITOR</v>
      </c>
      <c r="S3" s="11" t="n">
        <f aca="false">K3+(ROW()/10000000)</f>
        <v>2.0000003</v>
      </c>
    </row>
    <row r="4" customFormat="false" ht="15" hidden="false" customHeight="false" outlineLevel="0" collapsed="false">
      <c r="A4" s="11" t="s">
        <v>81</v>
      </c>
      <c r="B4" s="11" t="s">
        <v>8</v>
      </c>
      <c r="C4" s="11" t="s">
        <v>77</v>
      </c>
      <c r="D4" s="11" t="s">
        <v>37</v>
      </c>
      <c r="E4" s="11"/>
      <c r="F4" s="11" t="s">
        <v>82</v>
      </c>
      <c r="G4" s="21" t="n">
        <v>33.8</v>
      </c>
      <c r="H4" s="19" t="n">
        <v>0</v>
      </c>
      <c r="I4" s="21" t="n">
        <v>33.8</v>
      </c>
      <c r="J4" s="22" t="s">
        <v>80</v>
      </c>
      <c r="K4" s="11" t="n">
        <v>22</v>
      </c>
      <c r="L4" s="23" t="n">
        <v>4.3</v>
      </c>
      <c r="M4" s="24" t="b">
        <f aca="false">FALSE()</f>
        <v>0</v>
      </c>
      <c r="N4" s="11"/>
      <c r="O4" s="11" t="str">
        <f aca="false">IF(K4&lt;=StockP33,"Low",IF(K4&lt;=StockP67,"Moderate","High"))</f>
        <v>Moderate</v>
      </c>
      <c r="P4" s="11" t="str">
        <f aca="false">IF(H4=0,"Low",IF(H4&lt;=MarkdownP75,"Moderate","High"))</f>
        <v>Low</v>
      </c>
      <c r="Q4" s="11" t="str">
        <f aca="false">IF(ISBLANK(L4),"Unknown",IF(L4&gt;=4,"Good",IF(L4&lt;=2,"Poor","Neutral")))</f>
        <v>Good</v>
      </c>
      <c r="R4" s="11" t="str">
        <f aca="false">IF(AND(O4="Low",P4="Low",Q4="Good"),"BUY / PRIORITIZE",IF(AND(O4="High",P4="High",OR(Q4="Poor",M4=TRUE())),"HOLD / REVIEW","MONITOR"))</f>
        <v>MONITOR</v>
      </c>
      <c r="S4" s="11" t="n">
        <f aca="false">K4+(ROW()/10000000)</f>
        <v>22.0000004</v>
      </c>
    </row>
    <row r="5" customFormat="false" ht="15" hidden="false" customHeight="false" outlineLevel="0" collapsed="false">
      <c r="A5" s="11" t="s">
        <v>83</v>
      </c>
      <c r="B5" s="11" t="s">
        <v>29</v>
      </c>
      <c r="C5" s="11" t="s">
        <v>77</v>
      </c>
      <c r="D5" s="11" t="s">
        <v>34</v>
      </c>
      <c r="E5" s="11" t="s">
        <v>73</v>
      </c>
      <c r="F5" s="11" t="s">
        <v>82</v>
      </c>
      <c r="G5" s="21" t="n">
        <v>75.36</v>
      </c>
      <c r="H5" s="19" t="n">
        <v>0</v>
      </c>
      <c r="I5" s="21" t="n">
        <v>75.36</v>
      </c>
      <c r="J5" s="22" t="s">
        <v>84</v>
      </c>
      <c r="K5" s="11" t="n">
        <v>48</v>
      </c>
      <c r="L5" s="23" t="n">
        <v>2.6</v>
      </c>
      <c r="M5" s="24" t="b">
        <f aca="false">FALSE()</f>
        <v>0</v>
      </c>
      <c r="N5" s="11"/>
      <c r="O5" s="11" t="str">
        <f aca="false">IF(K5&lt;=StockP33,"Low",IF(K5&lt;=StockP67,"Moderate","High"))</f>
        <v>High</v>
      </c>
      <c r="P5" s="11" t="str">
        <f aca="false">IF(H5=0,"Low",IF(H5&lt;=MarkdownP75,"Moderate","High"))</f>
        <v>Low</v>
      </c>
      <c r="Q5" s="11" t="str">
        <f aca="false">IF(ISBLANK(L5),"Unknown",IF(L5&gt;=4,"Good",IF(L5&lt;=2,"Poor","Neutral")))</f>
        <v>Neutral</v>
      </c>
      <c r="R5" s="11" t="str">
        <f aca="false">IF(AND(O5="Low",P5="Low",Q5="Good"),"BUY / PRIORITIZE",IF(AND(O5="High",P5="High",OR(Q5="Poor",M5=TRUE())),"HOLD / REVIEW","MONITOR"))</f>
        <v>MONITOR</v>
      </c>
      <c r="S5" s="11" t="n">
        <f aca="false">K5+(ROW()/10000000)</f>
        <v>48.0000005</v>
      </c>
    </row>
    <row r="6" customFormat="false" ht="15" hidden="false" customHeight="false" outlineLevel="0" collapsed="false">
      <c r="A6" s="11" t="s">
        <v>85</v>
      </c>
      <c r="B6" s="11" t="s">
        <v>30</v>
      </c>
      <c r="C6" s="11" t="s">
        <v>86</v>
      </c>
      <c r="D6" s="11" t="s">
        <v>37</v>
      </c>
      <c r="E6" s="11" t="s">
        <v>73</v>
      </c>
      <c r="F6" s="11" t="s">
        <v>82</v>
      </c>
      <c r="G6" s="21" t="n">
        <v>105.02</v>
      </c>
      <c r="H6" s="19" t="n">
        <v>0</v>
      </c>
      <c r="I6" s="21" t="n">
        <v>105.02</v>
      </c>
      <c r="J6" s="22" t="s">
        <v>80</v>
      </c>
      <c r="K6" s="11" t="n">
        <v>10</v>
      </c>
      <c r="L6" s="23"/>
      <c r="M6" s="24" t="b">
        <f aca="false">FALSE()</f>
        <v>0</v>
      </c>
      <c r="N6" s="11"/>
      <c r="O6" s="11" t="str">
        <f aca="false">IF(K6&lt;=StockP33,"Low",IF(K6&lt;=StockP67,"Moderate","High"))</f>
        <v>Low</v>
      </c>
      <c r="P6" s="11" t="str">
        <f aca="false">IF(H6=0,"Low",IF(H6&lt;=MarkdownP75,"Moderate","High"))</f>
        <v>Low</v>
      </c>
      <c r="Q6" s="11" t="str">
        <f aca="false">IF(ISBLANK(L6),"Unknown",IF(L6&gt;=4,"Good",IF(L6&lt;=2,"Poor","Neutral")))</f>
        <v>Unknown</v>
      </c>
      <c r="R6" s="11" t="str">
        <f aca="false">IF(AND(O6="Low",P6="Low",Q6="Good"),"BUY / PRIORITIZE",IF(AND(O6="High",P6="High",OR(Q6="Poor",M6=TRUE())),"HOLD / REVIEW","MONITOR"))</f>
        <v>MONITOR</v>
      </c>
      <c r="S6" s="11" t="n">
        <f aca="false">K6+(ROW()/10000000)</f>
        <v>10.0000006</v>
      </c>
    </row>
    <row r="7" customFormat="false" ht="15" hidden="false" customHeight="false" outlineLevel="0" collapsed="false">
      <c r="A7" s="11" t="s">
        <v>87</v>
      </c>
      <c r="B7" s="11" t="s">
        <v>8</v>
      </c>
      <c r="C7" s="11" t="s">
        <v>72</v>
      </c>
      <c r="D7" s="11" t="s">
        <v>36</v>
      </c>
      <c r="E7" s="11"/>
      <c r="F7" s="11" t="s">
        <v>88</v>
      </c>
      <c r="G7" s="21" t="n">
        <v>35.03</v>
      </c>
      <c r="H7" s="19" t="n">
        <v>35.4</v>
      </c>
      <c r="I7" s="21" t="n">
        <v>22.63</v>
      </c>
      <c r="J7" s="22" t="s">
        <v>80</v>
      </c>
      <c r="K7" s="11" t="n">
        <v>38</v>
      </c>
      <c r="L7" s="23" t="n">
        <v>2.9</v>
      </c>
      <c r="M7" s="24" t="b">
        <f aca="false">TRUE()</f>
        <v>1</v>
      </c>
      <c r="N7" s="11" t="s">
        <v>89</v>
      </c>
      <c r="O7" s="11" t="str">
        <f aca="false">IF(K7&lt;=StockP33,"Low",IF(K7&lt;=StockP67,"Moderate","High"))</f>
        <v>High</v>
      </c>
      <c r="P7" s="11" t="str">
        <f aca="false">IF(H7=0,"Low",IF(H7&lt;=MarkdownP75,"Moderate","High"))</f>
        <v>High</v>
      </c>
      <c r="Q7" s="11" t="str">
        <f aca="false">IF(ISBLANK(L7),"Unknown",IF(L7&gt;=4,"Good",IF(L7&lt;=2,"Poor","Neutral")))</f>
        <v>Neutral</v>
      </c>
      <c r="R7" s="11" t="str">
        <f aca="false">IF(AND(O7="Low",P7="Low",Q7="Good"),"BUY / PRIORITIZE",IF(AND(O7="High",P7="High",OR(Q7="Poor",M7=TRUE())),"HOLD / REVIEW","MONITOR"))</f>
        <v>HOLD / REVIEW</v>
      </c>
      <c r="S7" s="11" t="n">
        <f aca="false">K7+(ROW()/10000000)</f>
        <v>38.0000007</v>
      </c>
    </row>
    <row r="8" customFormat="false" ht="15" hidden="false" customHeight="false" outlineLevel="0" collapsed="false">
      <c r="A8" s="11" t="s">
        <v>90</v>
      </c>
      <c r="B8" s="11" t="s">
        <v>26</v>
      </c>
      <c r="C8" s="11" t="s">
        <v>72</v>
      </c>
      <c r="D8" s="11" t="s">
        <v>34</v>
      </c>
      <c r="E8" s="11" t="s">
        <v>91</v>
      </c>
      <c r="F8" s="11" t="s">
        <v>92</v>
      </c>
      <c r="G8" s="21" t="n">
        <v>53.83</v>
      </c>
      <c r="H8" s="19" t="n">
        <v>54.5</v>
      </c>
      <c r="I8" s="21" t="n">
        <v>24.49</v>
      </c>
      <c r="J8" s="22" t="s">
        <v>93</v>
      </c>
      <c r="K8" s="11" t="n">
        <v>38</v>
      </c>
      <c r="L8" s="23" t="n">
        <v>2.6</v>
      </c>
      <c r="M8" s="24" t="b">
        <f aca="false">FALSE()</f>
        <v>0</v>
      </c>
      <c r="N8" s="11"/>
      <c r="O8" s="11" t="str">
        <f aca="false">IF(K8&lt;=StockP33,"Low",IF(K8&lt;=StockP67,"Moderate","High"))</f>
        <v>High</v>
      </c>
      <c r="P8" s="11" t="str">
        <f aca="false">IF(H8=0,"Low",IF(H8&lt;=MarkdownP75,"Moderate","High"))</f>
        <v>High</v>
      </c>
      <c r="Q8" s="11" t="str">
        <f aca="false">IF(ISBLANK(L8),"Unknown",IF(L8&gt;=4,"Good",IF(L8&lt;=2,"Poor","Neutral")))</f>
        <v>Neutral</v>
      </c>
      <c r="R8" s="11" t="str">
        <f aca="false">IF(AND(O8="Low",P8="Low",Q8="Good"),"BUY / PRIORITIZE",IF(AND(O8="High",P8="High",OR(Q8="Poor",M8=TRUE())),"HOLD / REVIEW","MONITOR"))</f>
        <v>MONITOR</v>
      </c>
      <c r="S8" s="11" t="n">
        <f aca="false">K8+(ROW()/10000000)</f>
        <v>38.0000008</v>
      </c>
    </row>
    <row r="9" customFormat="false" ht="15" hidden="false" customHeight="false" outlineLevel="0" collapsed="false">
      <c r="A9" s="11" t="s">
        <v>94</v>
      </c>
      <c r="B9" s="11" t="s">
        <v>27</v>
      </c>
      <c r="C9" s="11" t="s">
        <v>95</v>
      </c>
      <c r="D9" s="11" t="s">
        <v>37</v>
      </c>
      <c r="E9" s="11" t="s">
        <v>73</v>
      </c>
      <c r="F9" s="11" t="s">
        <v>96</v>
      </c>
      <c r="G9" s="21" t="n">
        <v>91.55</v>
      </c>
      <c r="H9" s="19" t="n">
        <v>22.1</v>
      </c>
      <c r="I9" s="21" t="n">
        <v>71.32</v>
      </c>
      <c r="J9" s="22" t="s">
        <v>80</v>
      </c>
      <c r="K9" s="11" t="n">
        <v>47</v>
      </c>
      <c r="L9" s="23" t="n">
        <v>1.6</v>
      </c>
      <c r="M9" s="24" t="b">
        <f aca="false">FALSE()</f>
        <v>0</v>
      </c>
      <c r="N9" s="11"/>
      <c r="O9" s="11" t="str">
        <f aca="false">IF(K9&lt;=StockP33,"Low",IF(K9&lt;=StockP67,"Moderate","High"))</f>
        <v>High</v>
      </c>
      <c r="P9" s="11" t="str">
        <f aca="false">IF(H9=0,"Low",IF(H9&lt;=MarkdownP75,"Moderate","High"))</f>
        <v>Moderate</v>
      </c>
      <c r="Q9" s="11" t="str">
        <f aca="false">IF(ISBLANK(L9),"Unknown",IF(L9&gt;=4,"Good",IF(L9&lt;=2,"Poor","Neutral")))</f>
        <v>Poor</v>
      </c>
      <c r="R9" s="11" t="str">
        <f aca="false">IF(AND(O9="Low",P9="Low",Q9="Good"),"BUY / PRIORITIZE",IF(AND(O9="High",P9="High",OR(Q9="Poor",M9=TRUE())),"HOLD / REVIEW","MONITOR"))</f>
        <v>MONITOR</v>
      </c>
      <c r="S9" s="11" t="n">
        <f aca="false">K9+(ROW()/10000000)</f>
        <v>47.0000009</v>
      </c>
    </row>
    <row r="10" customFormat="false" ht="15" hidden="false" customHeight="false" outlineLevel="0" collapsed="false">
      <c r="A10" s="11" t="s">
        <v>97</v>
      </c>
      <c r="B10" s="11" t="s">
        <v>28</v>
      </c>
      <c r="C10" s="11" t="s">
        <v>77</v>
      </c>
      <c r="D10" s="11" t="s">
        <v>34</v>
      </c>
      <c r="E10" s="11" t="s">
        <v>73</v>
      </c>
      <c r="F10" s="11" t="s">
        <v>98</v>
      </c>
      <c r="G10" s="21" t="n">
        <v>227.73</v>
      </c>
      <c r="H10" s="19" t="n">
        <v>12.8</v>
      </c>
      <c r="I10" s="21" t="n">
        <v>198.58</v>
      </c>
      <c r="J10" s="22" t="s">
        <v>99</v>
      </c>
      <c r="K10" s="11" t="n">
        <v>14</v>
      </c>
      <c r="L10" s="23"/>
      <c r="M10" s="24" t="b">
        <f aca="false">FALSE()</f>
        <v>0</v>
      </c>
      <c r="N10" s="11"/>
      <c r="O10" s="11" t="str">
        <f aca="false">IF(K10&lt;=StockP33,"Low",IF(K10&lt;=StockP67,"Moderate","High"))</f>
        <v>Low</v>
      </c>
      <c r="P10" s="11" t="str">
        <f aca="false">IF(H10=0,"Low",IF(H10&lt;=MarkdownP75,"Moderate","High"))</f>
        <v>Moderate</v>
      </c>
      <c r="Q10" s="11" t="str">
        <f aca="false">IF(ISBLANK(L10),"Unknown",IF(L10&gt;=4,"Good",IF(L10&lt;=2,"Poor","Neutral")))</f>
        <v>Unknown</v>
      </c>
      <c r="R10" s="11" t="str">
        <f aca="false">IF(AND(O10="Low",P10="Low",Q10="Good"),"BUY / PRIORITIZE",IF(AND(O10="High",P10="High",OR(Q10="Poor",M10=TRUE())),"HOLD / REVIEW","MONITOR"))</f>
        <v>MONITOR</v>
      </c>
      <c r="S10" s="11" t="n">
        <f aca="false">K10+(ROW()/10000000)</f>
        <v>14.000001</v>
      </c>
    </row>
    <row r="11" customFormat="false" ht="15" hidden="false" customHeight="false" outlineLevel="0" collapsed="false">
      <c r="A11" s="11" t="s">
        <v>100</v>
      </c>
      <c r="B11" s="11" t="s">
        <v>28</v>
      </c>
      <c r="C11" s="11" t="s">
        <v>101</v>
      </c>
      <c r="D11" s="11" t="s">
        <v>36</v>
      </c>
      <c r="E11" s="11" t="s">
        <v>102</v>
      </c>
      <c r="F11" s="11" t="s">
        <v>79</v>
      </c>
      <c r="G11" s="21" t="n">
        <v>248.41</v>
      </c>
      <c r="H11" s="19" t="n">
        <v>10.9</v>
      </c>
      <c r="I11" s="21" t="n">
        <v>221.33</v>
      </c>
      <c r="J11" s="22" t="s">
        <v>80</v>
      </c>
      <c r="K11" s="11" t="n">
        <v>37</v>
      </c>
      <c r="L11" s="23"/>
      <c r="M11" s="24" t="b">
        <f aca="false">FALSE()</f>
        <v>0</v>
      </c>
      <c r="N11" s="11"/>
      <c r="O11" s="11" t="str">
        <f aca="false">IF(K11&lt;=StockP33,"Low",IF(K11&lt;=StockP67,"Moderate","High"))</f>
        <v>High</v>
      </c>
      <c r="P11" s="11" t="str">
        <f aca="false">IF(H11=0,"Low",IF(H11&lt;=MarkdownP75,"Moderate","High"))</f>
        <v>Moderate</v>
      </c>
      <c r="Q11" s="11" t="str">
        <f aca="false">IF(ISBLANK(L11),"Unknown",IF(L11&gt;=4,"Good",IF(L11&lt;=2,"Poor","Neutral")))</f>
        <v>Unknown</v>
      </c>
      <c r="R11" s="11" t="str">
        <f aca="false">IF(AND(O11="Low",P11="Low",Q11="Good"),"BUY / PRIORITIZE",IF(AND(O11="High",P11="High",OR(Q11="Poor",M11=TRUE())),"HOLD / REVIEW","MONITOR"))</f>
        <v>MONITOR</v>
      </c>
      <c r="S11" s="11" t="n">
        <f aca="false">K11+(ROW()/10000000)</f>
        <v>37.0000011</v>
      </c>
    </row>
    <row r="12" customFormat="false" ht="15" hidden="false" customHeight="false" outlineLevel="0" collapsed="false">
      <c r="A12" s="11" t="s">
        <v>103</v>
      </c>
      <c r="B12" s="11" t="s">
        <v>30</v>
      </c>
      <c r="C12" s="11" t="s">
        <v>95</v>
      </c>
      <c r="D12" s="11" t="s">
        <v>34</v>
      </c>
      <c r="E12" s="11" t="s">
        <v>78</v>
      </c>
      <c r="F12" s="11" t="s">
        <v>82</v>
      </c>
      <c r="G12" s="21" t="n">
        <v>116.84</v>
      </c>
      <c r="H12" s="19" t="n">
        <v>0</v>
      </c>
      <c r="I12" s="21" t="n">
        <v>116.84</v>
      </c>
      <c r="J12" s="22" t="s">
        <v>104</v>
      </c>
      <c r="K12" s="11" t="n">
        <v>3</v>
      </c>
      <c r="L12" s="23" t="n">
        <v>4.4</v>
      </c>
      <c r="M12" s="24" t="b">
        <f aca="false">FALSE()</f>
        <v>0</v>
      </c>
      <c r="N12" s="11"/>
      <c r="O12" s="11" t="str">
        <f aca="false">IF(K12&lt;=StockP33,"Low",IF(K12&lt;=StockP67,"Moderate","High"))</f>
        <v>Low</v>
      </c>
      <c r="P12" s="11" t="str">
        <f aca="false">IF(H12=0,"Low",IF(H12&lt;=MarkdownP75,"Moderate","High"))</f>
        <v>Low</v>
      </c>
      <c r="Q12" s="11" t="str">
        <f aca="false">IF(ISBLANK(L12),"Unknown",IF(L12&gt;=4,"Good",IF(L12&lt;=2,"Poor","Neutral")))</f>
        <v>Good</v>
      </c>
      <c r="R12" s="11" t="str">
        <f aca="false">IF(AND(O12="Low",P12="Low",Q12="Good"),"BUY / PRIORITIZE",IF(AND(O12="High",P12="High",OR(Q12="Poor",M12=TRUE())),"HOLD / REVIEW","MONITOR"))</f>
        <v>BUY / PRIORITIZE</v>
      </c>
      <c r="S12" s="11" t="n">
        <f aca="false">K12+(ROW()/10000000)</f>
        <v>3.0000012</v>
      </c>
    </row>
    <row r="13" customFormat="false" ht="15" hidden="false" customHeight="false" outlineLevel="0" collapsed="false">
      <c r="A13" s="11" t="s">
        <v>105</v>
      </c>
      <c r="B13" s="11" t="s">
        <v>29</v>
      </c>
      <c r="C13" s="11" t="s">
        <v>77</v>
      </c>
      <c r="D13" s="11" t="s">
        <v>37</v>
      </c>
      <c r="E13" s="11" t="s">
        <v>91</v>
      </c>
      <c r="F13" s="11" t="s">
        <v>96</v>
      </c>
      <c r="G13" s="21" t="n">
        <v>146.98</v>
      </c>
      <c r="H13" s="19" t="n">
        <v>0</v>
      </c>
      <c r="I13" s="21" t="n">
        <v>146.98</v>
      </c>
      <c r="J13" s="22" t="s">
        <v>80</v>
      </c>
      <c r="K13" s="11" t="n">
        <v>2</v>
      </c>
      <c r="L13" s="23" t="n">
        <v>3.4</v>
      </c>
      <c r="M13" s="24" t="b">
        <f aca="false">FALSE()</f>
        <v>0</v>
      </c>
      <c r="N13" s="11"/>
      <c r="O13" s="11" t="str">
        <f aca="false">IF(K13&lt;=StockP33,"Low",IF(K13&lt;=StockP67,"Moderate","High"))</f>
        <v>Low</v>
      </c>
      <c r="P13" s="11" t="str">
        <f aca="false">IF(H13=0,"Low",IF(H13&lt;=MarkdownP75,"Moderate","High"))</f>
        <v>Low</v>
      </c>
      <c r="Q13" s="11" t="str">
        <f aca="false">IF(ISBLANK(L13),"Unknown",IF(L13&gt;=4,"Good",IF(L13&lt;=2,"Poor","Neutral")))</f>
        <v>Neutral</v>
      </c>
      <c r="R13" s="11" t="str">
        <f aca="false">IF(AND(O13="Low",P13="Low",Q13="Good"),"BUY / PRIORITIZE",IF(AND(O13="High",P13="High",OR(Q13="Poor",M13=TRUE())),"HOLD / REVIEW","MONITOR"))</f>
        <v>MONITOR</v>
      </c>
      <c r="S13" s="11" t="n">
        <f aca="false">K13+(ROW()/10000000)</f>
        <v>2.0000013</v>
      </c>
    </row>
    <row r="14" customFormat="false" ht="15" hidden="false" customHeight="false" outlineLevel="0" collapsed="false">
      <c r="A14" s="11" t="s">
        <v>106</v>
      </c>
      <c r="B14" s="11" t="s">
        <v>26</v>
      </c>
      <c r="C14" s="11" t="s">
        <v>107</v>
      </c>
      <c r="D14" s="11" t="s">
        <v>34</v>
      </c>
      <c r="E14" s="11" t="s">
        <v>91</v>
      </c>
      <c r="F14" s="11" t="s">
        <v>88</v>
      </c>
      <c r="G14" s="21" t="n">
        <v>37.51</v>
      </c>
      <c r="H14" s="19" t="n">
        <v>0</v>
      </c>
      <c r="I14" s="21" t="n">
        <v>37.51</v>
      </c>
      <c r="J14" s="22" t="s">
        <v>108</v>
      </c>
      <c r="K14" s="11" t="n">
        <v>43</v>
      </c>
      <c r="L14" s="23"/>
      <c r="M14" s="24" t="b">
        <f aca="false">FALSE()</f>
        <v>0</v>
      </c>
      <c r="N14" s="11"/>
      <c r="O14" s="11" t="str">
        <f aca="false">IF(K14&lt;=StockP33,"Low",IF(K14&lt;=StockP67,"Moderate","High"))</f>
        <v>High</v>
      </c>
      <c r="P14" s="11" t="str">
        <f aca="false">IF(H14=0,"Low",IF(H14&lt;=MarkdownP75,"Moderate","High"))</f>
        <v>Low</v>
      </c>
      <c r="Q14" s="11" t="str">
        <f aca="false">IF(ISBLANK(L14),"Unknown",IF(L14&gt;=4,"Good",IF(L14&lt;=2,"Poor","Neutral")))</f>
        <v>Unknown</v>
      </c>
      <c r="R14" s="11" t="str">
        <f aca="false">IF(AND(O14="Low",P14="Low",Q14="Good"),"BUY / PRIORITIZE",IF(AND(O14="High",P14="High",OR(Q14="Poor",M14=TRUE())),"HOLD / REVIEW","MONITOR"))</f>
        <v>MONITOR</v>
      </c>
      <c r="S14" s="11" t="n">
        <f aca="false">K14+(ROW()/10000000)</f>
        <v>43.0000014</v>
      </c>
    </row>
    <row r="15" customFormat="false" ht="15" hidden="false" customHeight="false" outlineLevel="0" collapsed="false">
      <c r="A15" s="11" t="s">
        <v>109</v>
      </c>
      <c r="B15" s="11" t="s">
        <v>27</v>
      </c>
      <c r="C15" s="11" t="s">
        <v>77</v>
      </c>
      <c r="D15" s="11" t="s">
        <v>36</v>
      </c>
      <c r="E15" s="11" t="s">
        <v>110</v>
      </c>
      <c r="F15" s="11" t="s">
        <v>111</v>
      </c>
      <c r="G15" s="21" t="n">
        <v>48.15</v>
      </c>
      <c r="H15" s="19" t="n">
        <v>0</v>
      </c>
      <c r="I15" s="21" t="n">
        <v>48.15</v>
      </c>
      <c r="J15" s="22" t="s">
        <v>80</v>
      </c>
      <c r="K15" s="11" t="n">
        <v>39</v>
      </c>
      <c r="L15" s="23" t="n">
        <v>1.6</v>
      </c>
      <c r="M15" s="24" t="b">
        <f aca="false">FALSE()</f>
        <v>0</v>
      </c>
      <c r="N15" s="11"/>
      <c r="O15" s="11" t="str">
        <f aca="false">IF(K15&lt;=StockP33,"Low",IF(K15&lt;=StockP67,"Moderate","High"))</f>
        <v>High</v>
      </c>
      <c r="P15" s="11" t="str">
        <f aca="false">IF(H15=0,"Low",IF(H15&lt;=MarkdownP75,"Moderate","High"))</f>
        <v>Low</v>
      </c>
      <c r="Q15" s="11" t="str">
        <f aca="false">IF(ISBLANK(L15),"Unknown",IF(L15&gt;=4,"Good",IF(L15&lt;=2,"Poor","Neutral")))</f>
        <v>Poor</v>
      </c>
      <c r="R15" s="11" t="str">
        <f aca="false">IF(AND(O15="Low",P15="Low",Q15="Good"),"BUY / PRIORITIZE",IF(AND(O15="High",P15="High",OR(Q15="Poor",M15=TRUE())),"HOLD / REVIEW","MONITOR"))</f>
        <v>MONITOR</v>
      </c>
      <c r="S15" s="11" t="n">
        <f aca="false">K15+(ROW()/10000000)</f>
        <v>39.0000015</v>
      </c>
    </row>
    <row r="16" customFormat="false" ht="15" hidden="false" customHeight="false" outlineLevel="0" collapsed="false">
      <c r="A16" s="11" t="s">
        <v>112</v>
      </c>
      <c r="B16" s="11" t="s">
        <v>30</v>
      </c>
      <c r="C16" s="11" t="s">
        <v>95</v>
      </c>
      <c r="D16" s="11" t="s">
        <v>37</v>
      </c>
      <c r="E16" s="11" t="s">
        <v>113</v>
      </c>
      <c r="F16" s="11" t="s">
        <v>111</v>
      </c>
      <c r="G16" s="21" t="n">
        <v>79.66</v>
      </c>
      <c r="H16" s="19" t="n">
        <v>0</v>
      </c>
      <c r="I16" s="21" t="n">
        <v>79.66</v>
      </c>
      <c r="J16" s="22" t="s">
        <v>80</v>
      </c>
      <c r="K16" s="11" t="n">
        <v>7</v>
      </c>
      <c r="L16" s="23" t="n">
        <v>1.7</v>
      </c>
      <c r="M16" s="24" t="b">
        <f aca="false">FALSE()</f>
        <v>0</v>
      </c>
      <c r="N16" s="11"/>
      <c r="O16" s="11" t="str">
        <f aca="false">IF(K16&lt;=StockP33,"Low",IF(K16&lt;=StockP67,"Moderate","High"))</f>
        <v>Low</v>
      </c>
      <c r="P16" s="11" t="str">
        <f aca="false">IF(H16=0,"Low",IF(H16&lt;=MarkdownP75,"Moderate","High"))</f>
        <v>Low</v>
      </c>
      <c r="Q16" s="11" t="str">
        <f aca="false">IF(ISBLANK(L16),"Unknown",IF(L16&gt;=4,"Good",IF(L16&lt;=2,"Poor","Neutral")))</f>
        <v>Poor</v>
      </c>
      <c r="R16" s="11" t="str">
        <f aca="false">IF(AND(O16="Low",P16="Low",Q16="Good"),"BUY / PRIORITIZE",IF(AND(O16="High",P16="High",OR(Q16="Poor",M16=TRUE())),"HOLD / REVIEW","MONITOR"))</f>
        <v>MONITOR</v>
      </c>
      <c r="S16" s="11" t="n">
        <f aca="false">K16+(ROW()/10000000)</f>
        <v>7.0000016</v>
      </c>
    </row>
    <row r="17" customFormat="false" ht="15" hidden="false" customHeight="false" outlineLevel="0" collapsed="false">
      <c r="A17" s="11" t="s">
        <v>114</v>
      </c>
      <c r="B17" s="11" t="s">
        <v>8</v>
      </c>
      <c r="C17" s="11" t="s">
        <v>95</v>
      </c>
      <c r="D17" s="11" t="s">
        <v>37</v>
      </c>
      <c r="E17" s="11"/>
      <c r="F17" s="11" t="s">
        <v>98</v>
      </c>
      <c r="G17" s="21" t="n">
        <v>67.57</v>
      </c>
      <c r="H17" s="19" t="n">
        <v>0</v>
      </c>
      <c r="I17" s="21" t="n">
        <v>67.57</v>
      </c>
      <c r="J17" s="22" t="s">
        <v>80</v>
      </c>
      <c r="K17" s="11" t="n">
        <v>17</v>
      </c>
      <c r="L17" s="23" t="n">
        <v>2.4</v>
      </c>
      <c r="M17" s="24" t="b">
        <f aca="false">FALSE()</f>
        <v>0</v>
      </c>
      <c r="N17" s="11"/>
      <c r="O17" s="11" t="str">
        <f aca="false">IF(K17&lt;=StockP33,"Low",IF(K17&lt;=StockP67,"Moderate","High"))</f>
        <v>Low</v>
      </c>
      <c r="P17" s="11" t="str">
        <f aca="false">IF(H17=0,"Low",IF(H17&lt;=MarkdownP75,"Moderate","High"))</f>
        <v>Low</v>
      </c>
      <c r="Q17" s="11" t="str">
        <f aca="false">IF(ISBLANK(L17),"Unknown",IF(L17&gt;=4,"Good",IF(L17&lt;=2,"Poor","Neutral")))</f>
        <v>Neutral</v>
      </c>
      <c r="R17" s="11" t="str">
        <f aca="false">IF(AND(O17="Low",P17="Low",Q17="Good"),"BUY / PRIORITIZE",IF(AND(O17="High",P17="High",OR(Q17="Poor",M17=TRUE())),"HOLD / REVIEW","MONITOR"))</f>
        <v>MONITOR</v>
      </c>
      <c r="S17" s="11" t="n">
        <f aca="false">K17+(ROW()/10000000)</f>
        <v>17.0000017</v>
      </c>
    </row>
    <row r="18" customFormat="false" ht="15" hidden="false" customHeight="false" outlineLevel="0" collapsed="false">
      <c r="A18" s="11" t="s">
        <v>115</v>
      </c>
      <c r="B18" s="11" t="s">
        <v>29</v>
      </c>
      <c r="C18" s="11" t="s">
        <v>116</v>
      </c>
      <c r="D18" s="11" t="s">
        <v>35</v>
      </c>
      <c r="E18" s="11" t="s">
        <v>91</v>
      </c>
      <c r="F18" s="11" t="s">
        <v>111</v>
      </c>
      <c r="G18" s="21" t="n">
        <v>123.53</v>
      </c>
      <c r="H18" s="19" t="n">
        <v>0</v>
      </c>
      <c r="I18" s="21" t="n">
        <v>123.53</v>
      </c>
      <c r="J18" s="22" t="s">
        <v>80</v>
      </c>
      <c r="K18" s="11" t="n">
        <v>14</v>
      </c>
      <c r="L18" s="23" t="n">
        <v>4.6</v>
      </c>
      <c r="M18" s="24" t="b">
        <f aca="false">FALSE()</f>
        <v>0</v>
      </c>
      <c r="N18" s="11"/>
      <c r="O18" s="11" t="str">
        <f aca="false">IF(K18&lt;=StockP33,"Low",IF(K18&lt;=StockP67,"Moderate","High"))</f>
        <v>Low</v>
      </c>
      <c r="P18" s="11" t="str">
        <f aca="false">IF(H18=0,"Low",IF(H18&lt;=MarkdownP75,"Moderate","High"))</f>
        <v>Low</v>
      </c>
      <c r="Q18" s="11" t="str">
        <f aca="false">IF(ISBLANK(L18),"Unknown",IF(L18&gt;=4,"Good",IF(L18&lt;=2,"Poor","Neutral")))</f>
        <v>Good</v>
      </c>
      <c r="R18" s="11" t="str">
        <f aca="false">IF(AND(O18="Low",P18="Low",Q18="Good"),"BUY / PRIORITIZE",IF(AND(O18="High",P18="High",OR(Q18="Poor",M18=TRUE())),"HOLD / REVIEW","MONITOR"))</f>
        <v>BUY / PRIORITIZE</v>
      </c>
      <c r="S18" s="11" t="n">
        <f aca="false">K18+(ROW()/10000000)</f>
        <v>14.0000018</v>
      </c>
    </row>
    <row r="19" customFormat="false" ht="15" hidden="false" customHeight="false" outlineLevel="0" collapsed="false">
      <c r="A19" s="11" t="s">
        <v>117</v>
      </c>
      <c r="B19" s="11" t="s">
        <v>30</v>
      </c>
      <c r="C19" s="11" t="s">
        <v>107</v>
      </c>
      <c r="D19" s="11" t="s">
        <v>37</v>
      </c>
      <c r="E19" s="11" t="s">
        <v>78</v>
      </c>
      <c r="F19" s="11" t="s">
        <v>118</v>
      </c>
      <c r="G19" s="21" t="n">
        <v>102.35</v>
      </c>
      <c r="H19" s="19" t="n">
        <v>0</v>
      </c>
      <c r="I19" s="21" t="n">
        <v>102.35</v>
      </c>
      <c r="J19" s="22" t="s">
        <v>80</v>
      </c>
      <c r="K19" s="11" t="n">
        <v>14</v>
      </c>
      <c r="L19" s="23" t="n">
        <v>3.5</v>
      </c>
      <c r="M19" s="24" t="b">
        <f aca="false">FALSE()</f>
        <v>0</v>
      </c>
      <c r="N19" s="11"/>
      <c r="O19" s="11" t="str">
        <f aca="false">IF(K19&lt;=StockP33,"Low",IF(K19&lt;=StockP67,"Moderate","High"))</f>
        <v>Low</v>
      </c>
      <c r="P19" s="11" t="str">
        <f aca="false">IF(H19=0,"Low",IF(H19&lt;=MarkdownP75,"Moderate","High"))</f>
        <v>Low</v>
      </c>
      <c r="Q19" s="11" t="str">
        <f aca="false">IF(ISBLANK(L19),"Unknown",IF(L19&gt;=4,"Good",IF(L19&lt;=2,"Poor","Neutral")))</f>
        <v>Neutral</v>
      </c>
      <c r="R19" s="11" t="str">
        <f aca="false">IF(AND(O19="Low",P19="Low",Q19="Good"),"BUY / PRIORITIZE",IF(AND(O19="High",P19="High",OR(Q19="Poor",M19=TRUE())),"HOLD / REVIEW","MONITOR"))</f>
        <v>MONITOR</v>
      </c>
      <c r="S19" s="11" t="n">
        <f aca="false">K19+(ROW()/10000000)</f>
        <v>14.0000019</v>
      </c>
    </row>
    <row r="20" customFormat="false" ht="15" hidden="false" customHeight="false" outlineLevel="0" collapsed="false">
      <c r="A20" s="11" t="s">
        <v>119</v>
      </c>
      <c r="B20" s="11" t="s">
        <v>28</v>
      </c>
      <c r="C20" s="11" t="s">
        <v>95</v>
      </c>
      <c r="D20" s="11" t="s">
        <v>35</v>
      </c>
      <c r="E20" s="11" t="s">
        <v>113</v>
      </c>
      <c r="F20" s="11" t="s">
        <v>120</v>
      </c>
      <c r="G20" s="21" t="n">
        <v>137.95</v>
      </c>
      <c r="H20" s="19" t="n">
        <v>58.5</v>
      </c>
      <c r="I20" s="21" t="n">
        <v>57.25</v>
      </c>
      <c r="J20" s="22" t="s">
        <v>80</v>
      </c>
      <c r="K20" s="11" t="n">
        <v>16</v>
      </c>
      <c r="L20" s="23" t="n">
        <v>4.1</v>
      </c>
      <c r="M20" s="24" t="b">
        <f aca="false">FALSE()</f>
        <v>0</v>
      </c>
      <c r="N20" s="11"/>
      <c r="O20" s="11" t="str">
        <f aca="false">IF(K20&lt;=StockP33,"Low",IF(K20&lt;=StockP67,"Moderate","High"))</f>
        <v>Low</v>
      </c>
      <c r="P20" s="11" t="str">
        <f aca="false">IF(H20=0,"Low",IF(H20&lt;=MarkdownP75,"Moderate","High"))</f>
        <v>High</v>
      </c>
      <c r="Q20" s="11" t="str">
        <f aca="false">IF(ISBLANK(L20),"Unknown",IF(L20&gt;=4,"Good",IF(L20&lt;=2,"Poor","Neutral")))</f>
        <v>Good</v>
      </c>
      <c r="R20" s="11" t="str">
        <f aca="false">IF(AND(O20="Low",P20="Low",Q20="Good"),"BUY / PRIORITIZE",IF(AND(O20="High",P20="High",OR(Q20="Poor",M20=TRUE())),"HOLD / REVIEW","MONITOR"))</f>
        <v>MONITOR</v>
      </c>
      <c r="S20" s="11" t="n">
        <f aca="false">K20+(ROW()/10000000)</f>
        <v>16.000002</v>
      </c>
    </row>
    <row r="21" customFormat="false" ht="15" hidden="false" customHeight="false" outlineLevel="0" collapsed="false">
      <c r="A21" s="11" t="s">
        <v>121</v>
      </c>
      <c r="B21" s="11" t="s">
        <v>28</v>
      </c>
      <c r="C21" s="11" t="s">
        <v>86</v>
      </c>
      <c r="D21" s="11" t="s">
        <v>35</v>
      </c>
      <c r="E21" s="11" t="s">
        <v>102</v>
      </c>
      <c r="F21" s="11" t="s">
        <v>92</v>
      </c>
      <c r="G21" s="21" t="n">
        <v>142.59</v>
      </c>
      <c r="H21" s="19" t="n">
        <v>0</v>
      </c>
      <c r="I21" s="21" t="n">
        <v>142.59</v>
      </c>
      <c r="J21" s="22" t="s">
        <v>80</v>
      </c>
      <c r="K21" s="11" t="n">
        <v>1</v>
      </c>
      <c r="L21" s="23" t="n">
        <v>3.7</v>
      </c>
      <c r="M21" s="24" t="b">
        <f aca="false">FALSE()</f>
        <v>0</v>
      </c>
      <c r="N21" s="11"/>
      <c r="O21" s="11" t="str">
        <f aca="false">IF(K21&lt;=StockP33,"Low",IF(K21&lt;=StockP67,"Moderate","High"))</f>
        <v>Low</v>
      </c>
      <c r="P21" s="11" t="str">
        <f aca="false">IF(H21=0,"Low",IF(H21&lt;=MarkdownP75,"Moderate","High"))</f>
        <v>Low</v>
      </c>
      <c r="Q21" s="11" t="str">
        <f aca="false">IF(ISBLANK(L21),"Unknown",IF(L21&gt;=4,"Good",IF(L21&lt;=2,"Poor","Neutral")))</f>
        <v>Neutral</v>
      </c>
      <c r="R21" s="11" t="str">
        <f aca="false">IF(AND(O21="Low",P21="Low",Q21="Good"),"BUY / PRIORITIZE",IF(AND(O21="High",P21="High",OR(Q21="Poor",M21=TRUE())),"HOLD / REVIEW","MONITOR"))</f>
        <v>MONITOR</v>
      </c>
      <c r="S21" s="11" t="n">
        <f aca="false">K21+(ROW()/10000000)</f>
        <v>1.0000021</v>
      </c>
    </row>
    <row r="22" customFormat="false" ht="15" hidden="false" customHeight="false" outlineLevel="0" collapsed="false">
      <c r="A22" s="11" t="s">
        <v>122</v>
      </c>
      <c r="B22" s="11" t="s">
        <v>26</v>
      </c>
      <c r="C22" s="11" t="s">
        <v>95</v>
      </c>
      <c r="D22" s="11" t="s">
        <v>36</v>
      </c>
      <c r="E22" s="11" t="s">
        <v>78</v>
      </c>
      <c r="F22" s="11" t="s">
        <v>111</v>
      </c>
      <c r="G22" s="21" t="n">
        <v>33.33</v>
      </c>
      <c r="H22" s="19" t="n">
        <v>21.8</v>
      </c>
      <c r="I22" s="21" t="n">
        <v>26.06</v>
      </c>
      <c r="J22" s="22" t="s">
        <v>80</v>
      </c>
      <c r="K22" s="11" t="n">
        <v>42</v>
      </c>
      <c r="L22" s="23"/>
      <c r="M22" s="24" t="b">
        <f aca="false">FALSE()</f>
        <v>0</v>
      </c>
      <c r="N22" s="11"/>
      <c r="O22" s="11" t="str">
        <f aca="false">IF(K22&lt;=StockP33,"Low",IF(K22&lt;=StockP67,"Moderate","High"))</f>
        <v>High</v>
      </c>
      <c r="P22" s="11" t="str">
        <f aca="false">IF(H22=0,"Low",IF(H22&lt;=MarkdownP75,"Moderate","High"))</f>
        <v>Moderate</v>
      </c>
      <c r="Q22" s="11" t="str">
        <f aca="false">IF(ISBLANK(L22),"Unknown",IF(L22&gt;=4,"Good",IF(L22&lt;=2,"Poor","Neutral")))</f>
        <v>Unknown</v>
      </c>
      <c r="R22" s="11" t="str">
        <f aca="false">IF(AND(O22="Low",P22="Low",Q22="Good"),"BUY / PRIORITIZE",IF(AND(O22="High",P22="High",OR(Q22="Poor",M22=TRUE())),"HOLD / REVIEW","MONITOR"))</f>
        <v>MONITOR</v>
      </c>
      <c r="S22" s="11" t="n">
        <f aca="false">K22+(ROW()/10000000)</f>
        <v>42.0000022</v>
      </c>
    </row>
    <row r="23" customFormat="false" ht="15" hidden="false" customHeight="false" outlineLevel="0" collapsed="false">
      <c r="A23" s="11" t="s">
        <v>123</v>
      </c>
      <c r="B23" s="11" t="s">
        <v>8</v>
      </c>
      <c r="C23" s="11" t="s">
        <v>72</v>
      </c>
      <c r="D23" s="11" t="s">
        <v>34</v>
      </c>
      <c r="E23" s="11"/>
      <c r="F23" s="11" t="s">
        <v>124</v>
      </c>
      <c r="G23" s="21" t="n">
        <v>62.3</v>
      </c>
      <c r="H23" s="19" t="n">
        <v>0</v>
      </c>
      <c r="I23" s="21" t="n">
        <v>62.3</v>
      </c>
      <c r="J23" s="22" t="s">
        <v>125</v>
      </c>
      <c r="K23" s="11" t="n">
        <v>10</v>
      </c>
      <c r="L23" s="23" t="n">
        <v>2.5</v>
      </c>
      <c r="M23" s="24" t="b">
        <f aca="false">FALSE()</f>
        <v>0</v>
      </c>
      <c r="N23" s="11"/>
      <c r="O23" s="11" t="str">
        <f aca="false">IF(K23&lt;=StockP33,"Low",IF(K23&lt;=StockP67,"Moderate","High"))</f>
        <v>Low</v>
      </c>
      <c r="P23" s="11" t="str">
        <f aca="false">IF(H23=0,"Low",IF(H23&lt;=MarkdownP75,"Moderate","High"))</f>
        <v>Low</v>
      </c>
      <c r="Q23" s="11" t="str">
        <f aca="false">IF(ISBLANK(L23),"Unknown",IF(L23&gt;=4,"Good",IF(L23&lt;=2,"Poor","Neutral")))</f>
        <v>Neutral</v>
      </c>
      <c r="R23" s="11" t="str">
        <f aca="false">IF(AND(O23="Low",P23="Low",Q23="Good"),"BUY / PRIORITIZE",IF(AND(O23="High",P23="High",OR(Q23="Poor",M23=TRUE())),"HOLD / REVIEW","MONITOR"))</f>
        <v>MONITOR</v>
      </c>
      <c r="S23" s="11" t="n">
        <f aca="false">K23+(ROW()/10000000)</f>
        <v>10.0000023</v>
      </c>
    </row>
    <row r="24" customFormat="false" ht="15" hidden="false" customHeight="false" outlineLevel="0" collapsed="false">
      <c r="A24" s="11" t="s">
        <v>126</v>
      </c>
      <c r="B24" s="11" t="s">
        <v>8</v>
      </c>
      <c r="C24" s="11" t="s">
        <v>72</v>
      </c>
      <c r="D24" s="11" t="s">
        <v>37</v>
      </c>
      <c r="E24" s="11"/>
      <c r="F24" s="11" t="s">
        <v>79</v>
      </c>
      <c r="G24" s="21" t="n">
        <v>38.48</v>
      </c>
      <c r="H24" s="19" t="n">
        <v>0</v>
      </c>
      <c r="I24" s="21" t="n">
        <v>38.48</v>
      </c>
      <c r="J24" s="22" t="s">
        <v>80</v>
      </c>
      <c r="K24" s="11" t="n">
        <v>46</v>
      </c>
      <c r="L24" s="23" t="n">
        <v>1.2</v>
      </c>
      <c r="M24" s="24" t="b">
        <f aca="false">FALSE()</f>
        <v>0</v>
      </c>
      <c r="N24" s="11"/>
      <c r="O24" s="11" t="str">
        <f aca="false">IF(K24&lt;=StockP33,"Low",IF(K24&lt;=StockP67,"Moderate","High"))</f>
        <v>High</v>
      </c>
      <c r="P24" s="11" t="str">
        <f aca="false">IF(H24=0,"Low",IF(H24&lt;=MarkdownP75,"Moderate","High"))</f>
        <v>Low</v>
      </c>
      <c r="Q24" s="11" t="str">
        <f aca="false">IF(ISBLANK(L24),"Unknown",IF(L24&gt;=4,"Good",IF(L24&lt;=2,"Poor","Neutral")))</f>
        <v>Poor</v>
      </c>
      <c r="R24" s="11" t="str">
        <f aca="false">IF(AND(O24="Low",P24="Low",Q24="Good"),"BUY / PRIORITIZE",IF(AND(O24="High",P24="High",OR(Q24="Poor",M24=TRUE())),"HOLD / REVIEW","MONITOR"))</f>
        <v>MONITOR</v>
      </c>
      <c r="S24" s="11" t="n">
        <f aca="false">K24+(ROW()/10000000)</f>
        <v>46.0000024</v>
      </c>
    </row>
    <row r="25" customFormat="false" ht="15" hidden="false" customHeight="false" outlineLevel="0" collapsed="false">
      <c r="A25" s="11" t="s">
        <v>127</v>
      </c>
      <c r="B25" s="11" t="s">
        <v>27</v>
      </c>
      <c r="C25" s="11" t="s">
        <v>86</v>
      </c>
      <c r="D25" s="11" t="s">
        <v>35</v>
      </c>
      <c r="E25" s="11" t="s">
        <v>73</v>
      </c>
      <c r="F25" s="11" t="s">
        <v>98</v>
      </c>
      <c r="G25" s="21" t="n">
        <v>91.36</v>
      </c>
      <c r="H25" s="19" t="n">
        <v>0</v>
      </c>
      <c r="I25" s="21" t="n">
        <v>91.36</v>
      </c>
      <c r="J25" s="22" t="s">
        <v>80</v>
      </c>
      <c r="K25" s="11" t="n">
        <v>37</v>
      </c>
      <c r="L25" s="23" t="n">
        <v>1.2</v>
      </c>
      <c r="M25" s="24" t="b">
        <f aca="false">TRUE()</f>
        <v>1</v>
      </c>
      <c r="N25" s="11" t="s">
        <v>128</v>
      </c>
      <c r="O25" s="11" t="str">
        <f aca="false">IF(K25&lt;=StockP33,"Low",IF(K25&lt;=StockP67,"Moderate","High"))</f>
        <v>High</v>
      </c>
      <c r="P25" s="11" t="str">
        <f aca="false">IF(H25=0,"Low",IF(H25&lt;=MarkdownP75,"Moderate","High"))</f>
        <v>Low</v>
      </c>
      <c r="Q25" s="11" t="str">
        <f aca="false">IF(ISBLANK(L25),"Unknown",IF(L25&gt;=4,"Good",IF(L25&lt;=2,"Poor","Neutral")))</f>
        <v>Poor</v>
      </c>
      <c r="R25" s="11" t="str">
        <f aca="false">IF(AND(O25="Low",P25="Low",Q25="Good"),"BUY / PRIORITIZE",IF(AND(O25="High",P25="High",OR(Q25="Poor",M25=TRUE())),"HOLD / REVIEW","MONITOR"))</f>
        <v>MONITOR</v>
      </c>
      <c r="S25" s="11" t="n">
        <f aca="false">K25+(ROW()/10000000)</f>
        <v>37.0000025</v>
      </c>
    </row>
    <row r="26" customFormat="false" ht="15" hidden="false" customHeight="false" outlineLevel="0" collapsed="false">
      <c r="A26" s="11" t="s">
        <v>129</v>
      </c>
      <c r="B26" s="11" t="s">
        <v>30</v>
      </c>
      <c r="C26" s="11" t="s">
        <v>130</v>
      </c>
      <c r="D26" s="11" t="s">
        <v>36</v>
      </c>
      <c r="E26" s="11" t="s">
        <v>110</v>
      </c>
      <c r="F26" s="11" t="s">
        <v>96</v>
      </c>
      <c r="G26" s="21" t="n">
        <v>80.47</v>
      </c>
      <c r="H26" s="19" t="n">
        <v>29.1</v>
      </c>
      <c r="I26" s="21" t="n">
        <v>57.05</v>
      </c>
      <c r="J26" s="22" t="s">
        <v>80</v>
      </c>
      <c r="K26" s="11" t="n">
        <v>38</v>
      </c>
      <c r="L26" s="23" t="n">
        <v>3.6</v>
      </c>
      <c r="M26" s="24" t="b">
        <f aca="false">FALSE()</f>
        <v>0</v>
      </c>
      <c r="N26" s="11"/>
      <c r="O26" s="11" t="str">
        <f aca="false">IF(K26&lt;=StockP33,"Low",IF(K26&lt;=StockP67,"Moderate","High"))</f>
        <v>High</v>
      </c>
      <c r="P26" s="11" t="str">
        <f aca="false">IF(H26=0,"Low",IF(H26&lt;=MarkdownP75,"Moderate","High"))</f>
        <v>High</v>
      </c>
      <c r="Q26" s="11" t="str">
        <f aca="false">IF(ISBLANK(L26),"Unknown",IF(L26&gt;=4,"Good",IF(L26&lt;=2,"Poor","Neutral")))</f>
        <v>Neutral</v>
      </c>
      <c r="R26" s="11" t="str">
        <f aca="false">IF(AND(O26="Low",P26="Low",Q26="Good"),"BUY / PRIORITIZE",IF(AND(O26="High",P26="High",OR(Q26="Poor",M26=TRUE())),"HOLD / REVIEW","MONITOR"))</f>
        <v>MONITOR</v>
      </c>
      <c r="S26" s="11" t="n">
        <f aca="false">K26+(ROW()/10000000)</f>
        <v>38.0000026</v>
      </c>
    </row>
    <row r="27" customFormat="false" ht="15" hidden="false" customHeight="false" outlineLevel="0" collapsed="false">
      <c r="A27" s="11" t="s">
        <v>131</v>
      </c>
      <c r="B27" s="11" t="s">
        <v>26</v>
      </c>
      <c r="C27" s="11" t="s">
        <v>77</v>
      </c>
      <c r="D27" s="11" t="s">
        <v>34</v>
      </c>
      <c r="E27" s="11" t="s">
        <v>113</v>
      </c>
      <c r="F27" s="11" t="s">
        <v>74</v>
      </c>
      <c r="G27" s="21" t="n">
        <v>40.89</v>
      </c>
      <c r="H27" s="19" t="n">
        <v>34</v>
      </c>
      <c r="I27" s="21" t="n">
        <v>26.99</v>
      </c>
      <c r="J27" s="22" t="s">
        <v>132</v>
      </c>
      <c r="K27" s="11" t="n">
        <v>16</v>
      </c>
      <c r="L27" s="23" t="n">
        <v>3.7</v>
      </c>
      <c r="M27" s="24" t="b">
        <f aca="false">FALSE()</f>
        <v>0</v>
      </c>
      <c r="N27" s="11"/>
      <c r="O27" s="11" t="str">
        <f aca="false">IF(K27&lt;=StockP33,"Low",IF(K27&lt;=StockP67,"Moderate","High"))</f>
        <v>Low</v>
      </c>
      <c r="P27" s="11" t="str">
        <f aca="false">IF(H27=0,"Low",IF(H27&lt;=MarkdownP75,"Moderate","High"))</f>
        <v>High</v>
      </c>
      <c r="Q27" s="11" t="str">
        <f aca="false">IF(ISBLANK(L27),"Unknown",IF(L27&gt;=4,"Good",IF(L27&lt;=2,"Poor","Neutral")))</f>
        <v>Neutral</v>
      </c>
      <c r="R27" s="11" t="str">
        <f aca="false">IF(AND(O27="Low",P27="Low",Q27="Good"),"BUY / PRIORITIZE",IF(AND(O27="High",P27="High",OR(Q27="Poor",M27=TRUE())),"HOLD / REVIEW","MONITOR"))</f>
        <v>MONITOR</v>
      </c>
      <c r="S27" s="11" t="n">
        <f aca="false">K27+(ROW()/10000000)</f>
        <v>16.0000027</v>
      </c>
    </row>
    <row r="28" customFormat="false" ht="15" hidden="false" customHeight="false" outlineLevel="0" collapsed="false">
      <c r="A28" s="11" t="s">
        <v>133</v>
      </c>
      <c r="B28" s="11" t="s">
        <v>26</v>
      </c>
      <c r="C28" s="11" t="s">
        <v>86</v>
      </c>
      <c r="D28" s="11" t="s">
        <v>35</v>
      </c>
      <c r="E28" s="11" t="s">
        <v>78</v>
      </c>
      <c r="F28" s="11" t="s">
        <v>74</v>
      </c>
      <c r="G28" s="21" t="n">
        <v>47.04</v>
      </c>
      <c r="H28" s="19" t="n">
        <v>36</v>
      </c>
      <c r="I28" s="21" t="n">
        <v>30.11</v>
      </c>
      <c r="J28" s="22" t="s">
        <v>80</v>
      </c>
      <c r="K28" s="11" t="n">
        <v>25</v>
      </c>
      <c r="L28" s="23" t="n">
        <v>1.1</v>
      </c>
      <c r="M28" s="24" t="b">
        <f aca="false">TRUE()</f>
        <v>1</v>
      </c>
      <c r="N28" s="11" t="s">
        <v>134</v>
      </c>
      <c r="O28" s="11" t="str">
        <f aca="false">IF(K28&lt;=StockP33,"Low",IF(K28&lt;=StockP67,"Moderate","High"))</f>
        <v>Moderate</v>
      </c>
      <c r="P28" s="11" t="str">
        <f aca="false">IF(H28=0,"Low",IF(H28&lt;=MarkdownP75,"Moderate","High"))</f>
        <v>High</v>
      </c>
      <c r="Q28" s="11" t="str">
        <f aca="false">IF(ISBLANK(L28),"Unknown",IF(L28&gt;=4,"Good",IF(L28&lt;=2,"Poor","Neutral")))</f>
        <v>Poor</v>
      </c>
      <c r="R28" s="11" t="str">
        <f aca="false">IF(AND(O28="Low",P28="Low",Q28="Good"),"BUY / PRIORITIZE",IF(AND(O28="High",P28="High",OR(Q28="Poor",M28=TRUE())),"HOLD / REVIEW","MONITOR"))</f>
        <v>MONITOR</v>
      </c>
      <c r="S28" s="11" t="n">
        <f aca="false">K28+(ROW()/10000000)</f>
        <v>25.0000028</v>
      </c>
    </row>
    <row r="29" customFormat="false" ht="15" hidden="false" customHeight="false" outlineLevel="0" collapsed="false">
      <c r="A29" s="11" t="s">
        <v>135</v>
      </c>
      <c r="B29" s="11" t="s">
        <v>26</v>
      </c>
      <c r="C29" s="11" t="s">
        <v>116</v>
      </c>
      <c r="D29" s="11" t="s">
        <v>35</v>
      </c>
      <c r="E29" s="11" t="s">
        <v>113</v>
      </c>
      <c r="F29" s="11" t="s">
        <v>96</v>
      </c>
      <c r="G29" s="21" t="n">
        <v>53.37</v>
      </c>
      <c r="H29" s="19" t="n">
        <v>0</v>
      </c>
      <c r="I29" s="21" t="n">
        <v>53.37</v>
      </c>
      <c r="J29" s="22" t="s">
        <v>80</v>
      </c>
      <c r="K29" s="11" t="n">
        <v>28</v>
      </c>
      <c r="L29" s="23" t="n">
        <v>3.8</v>
      </c>
      <c r="M29" s="24" t="b">
        <f aca="false">FALSE()</f>
        <v>0</v>
      </c>
      <c r="N29" s="11"/>
      <c r="O29" s="11" t="str">
        <f aca="false">IF(K29&lt;=StockP33,"Low",IF(K29&lt;=StockP67,"Moderate","High"))</f>
        <v>Moderate</v>
      </c>
      <c r="P29" s="11" t="str">
        <f aca="false">IF(H29=0,"Low",IF(H29&lt;=MarkdownP75,"Moderate","High"))</f>
        <v>Low</v>
      </c>
      <c r="Q29" s="11" t="str">
        <f aca="false">IF(ISBLANK(L29),"Unknown",IF(L29&gt;=4,"Good",IF(L29&lt;=2,"Poor","Neutral")))</f>
        <v>Neutral</v>
      </c>
      <c r="R29" s="11" t="str">
        <f aca="false">IF(AND(O29="Low",P29="Low",Q29="Good"),"BUY / PRIORITIZE",IF(AND(O29="High",P29="High",OR(Q29="Poor",M29=TRUE())),"HOLD / REVIEW","MONITOR"))</f>
        <v>MONITOR</v>
      </c>
      <c r="S29" s="11" t="n">
        <f aca="false">K29+(ROW()/10000000)</f>
        <v>28.0000029</v>
      </c>
    </row>
    <row r="30" customFormat="false" ht="15" hidden="false" customHeight="false" outlineLevel="0" collapsed="false">
      <c r="A30" s="11" t="s">
        <v>136</v>
      </c>
      <c r="B30" s="11" t="s">
        <v>27</v>
      </c>
      <c r="C30" s="11" t="s">
        <v>107</v>
      </c>
      <c r="D30" s="11" t="s">
        <v>35</v>
      </c>
      <c r="E30" s="11" t="s">
        <v>78</v>
      </c>
      <c r="F30" s="11" t="s">
        <v>88</v>
      </c>
      <c r="G30" s="21" t="n">
        <v>114.35</v>
      </c>
      <c r="H30" s="19" t="n">
        <v>0</v>
      </c>
      <c r="I30" s="21" t="n">
        <v>114.35</v>
      </c>
      <c r="J30" s="22" t="s">
        <v>80</v>
      </c>
      <c r="K30" s="11" t="n">
        <v>6</v>
      </c>
      <c r="L30" s="23" t="n">
        <v>1.2</v>
      </c>
      <c r="M30" s="24" t="b">
        <f aca="false">FALSE()</f>
        <v>0</v>
      </c>
      <c r="N30" s="11"/>
      <c r="O30" s="11" t="str">
        <f aca="false">IF(K30&lt;=StockP33,"Low",IF(K30&lt;=StockP67,"Moderate","High"))</f>
        <v>Low</v>
      </c>
      <c r="P30" s="11" t="str">
        <f aca="false">IF(H30=0,"Low",IF(H30&lt;=MarkdownP75,"Moderate","High"))</f>
        <v>Low</v>
      </c>
      <c r="Q30" s="11" t="str">
        <f aca="false">IF(ISBLANK(L30),"Unknown",IF(L30&gt;=4,"Good",IF(L30&lt;=2,"Poor","Neutral")))</f>
        <v>Poor</v>
      </c>
      <c r="R30" s="11" t="str">
        <f aca="false">IF(AND(O30="Low",P30="Low",Q30="Good"),"BUY / PRIORITIZE",IF(AND(O30="High",P30="High",OR(Q30="Poor",M30=TRUE())),"HOLD / REVIEW","MONITOR"))</f>
        <v>MONITOR</v>
      </c>
      <c r="S30" s="11" t="n">
        <f aca="false">K30+(ROW()/10000000)</f>
        <v>6.000003</v>
      </c>
    </row>
    <row r="31" customFormat="false" ht="15" hidden="false" customHeight="false" outlineLevel="0" collapsed="false">
      <c r="A31" s="11" t="s">
        <v>137</v>
      </c>
      <c r="B31" s="11" t="s">
        <v>29</v>
      </c>
      <c r="C31" s="11" t="s">
        <v>116</v>
      </c>
      <c r="D31" s="11" t="s">
        <v>34</v>
      </c>
      <c r="E31" s="11" t="s">
        <v>73</v>
      </c>
      <c r="F31" s="11" t="s">
        <v>74</v>
      </c>
      <c r="G31" s="21" t="n">
        <v>77.63</v>
      </c>
      <c r="H31" s="19" t="n">
        <v>0</v>
      </c>
      <c r="I31" s="21" t="n">
        <v>77.63</v>
      </c>
      <c r="J31" s="22" t="s">
        <v>138</v>
      </c>
      <c r="K31" s="11" t="n">
        <v>1</v>
      </c>
      <c r="L31" s="23"/>
      <c r="M31" s="24" t="b">
        <f aca="false">FALSE()</f>
        <v>0</v>
      </c>
      <c r="N31" s="11"/>
      <c r="O31" s="11" t="str">
        <f aca="false">IF(K31&lt;=StockP33,"Low",IF(K31&lt;=StockP67,"Moderate","High"))</f>
        <v>Low</v>
      </c>
      <c r="P31" s="11" t="str">
        <f aca="false">IF(H31=0,"Low",IF(H31&lt;=MarkdownP75,"Moderate","High"))</f>
        <v>Low</v>
      </c>
      <c r="Q31" s="11" t="str">
        <f aca="false">IF(ISBLANK(L31),"Unknown",IF(L31&gt;=4,"Good",IF(L31&lt;=2,"Poor","Neutral")))</f>
        <v>Unknown</v>
      </c>
      <c r="R31" s="11" t="str">
        <f aca="false">IF(AND(O31="Low",P31="Low",Q31="Good"),"BUY / PRIORITIZE",IF(AND(O31="High",P31="High",OR(Q31="Poor",M31=TRUE())),"HOLD / REVIEW","MONITOR"))</f>
        <v>MONITOR</v>
      </c>
      <c r="S31" s="11" t="n">
        <f aca="false">K31+(ROW()/10000000)</f>
        <v>1.0000031</v>
      </c>
    </row>
    <row r="32" customFormat="false" ht="15" hidden="false" customHeight="false" outlineLevel="0" collapsed="false">
      <c r="A32" s="11" t="s">
        <v>139</v>
      </c>
      <c r="B32" s="11" t="s">
        <v>29</v>
      </c>
      <c r="C32" s="11" t="s">
        <v>77</v>
      </c>
      <c r="D32" s="11" t="s">
        <v>35</v>
      </c>
      <c r="E32" s="11" t="s">
        <v>91</v>
      </c>
      <c r="F32" s="11" t="s">
        <v>74</v>
      </c>
      <c r="G32" s="21" t="n">
        <v>71.29</v>
      </c>
      <c r="H32" s="19" t="n">
        <v>0</v>
      </c>
      <c r="I32" s="21" t="n">
        <v>71.29</v>
      </c>
      <c r="J32" s="22" t="s">
        <v>80</v>
      </c>
      <c r="K32" s="11" t="n">
        <v>37</v>
      </c>
      <c r="L32" s="23" t="n">
        <v>4.1</v>
      </c>
      <c r="M32" s="24" t="b">
        <f aca="false">TRUE()</f>
        <v>1</v>
      </c>
      <c r="N32" s="11" t="s">
        <v>140</v>
      </c>
      <c r="O32" s="11" t="str">
        <f aca="false">IF(K32&lt;=StockP33,"Low",IF(K32&lt;=StockP67,"Moderate","High"))</f>
        <v>High</v>
      </c>
      <c r="P32" s="11" t="str">
        <f aca="false">IF(H32=0,"Low",IF(H32&lt;=MarkdownP75,"Moderate","High"))</f>
        <v>Low</v>
      </c>
      <c r="Q32" s="11" t="str">
        <f aca="false">IF(ISBLANK(L32),"Unknown",IF(L32&gt;=4,"Good",IF(L32&lt;=2,"Poor","Neutral")))</f>
        <v>Good</v>
      </c>
      <c r="R32" s="11" t="str">
        <f aca="false">IF(AND(O32="Low",P32="Low",Q32="Good"),"BUY / PRIORITIZE",IF(AND(O32="High",P32="High",OR(Q32="Poor",M32=TRUE())),"HOLD / REVIEW","MONITOR"))</f>
        <v>MONITOR</v>
      </c>
      <c r="S32" s="11" t="n">
        <f aca="false">K32+(ROW()/10000000)</f>
        <v>37.0000032</v>
      </c>
    </row>
    <row r="33" customFormat="false" ht="15" hidden="false" customHeight="false" outlineLevel="0" collapsed="false">
      <c r="A33" s="11" t="s">
        <v>141</v>
      </c>
      <c r="B33" s="11" t="s">
        <v>30</v>
      </c>
      <c r="C33" s="11" t="s">
        <v>116</v>
      </c>
      <c r="D33" s="11" t="s">
        <v>34</v>
      </c>
      <c r="E33" s="11" t="s">
        <v>78</v>
      </c>
      <c r="F33" s="11" t="s">
        <v>120</v>
      </c>
      <c r="G33" s="21" t="n">
        <v>37.43</v>
      </c>
      <c r="H33" s="19" t="n">
        <v>24.4</v>
      </c>
      <c r="I33" s="21" t="n">
        <v>28.3</v>
      </c>
      <c r="J33" s="22" t="s">
        <v>142</v>
      </c>
      <c r="K33" s="11" t="n">
        <v>5</v>
      </c>
      <c r="L33" s="23"/>
      <c r="M33" s="24" t="b">
        <f aca="false">FALSE()</f>
        <v>0</v>
      </c>
      <c r="N33" s="11"/>
      <c r="O33" s="11" t="str">
        <f aca="false">IF(K33&lt;=StockP33,"Low",IF(K33&lt;=StockP67,"Moderate","High"))</f>
        <v>Low</v>
      </c>
      <c r="P33" s="11" t="str">
        <f aca="false">IF(H33=0,"Low",IF(H33&lt;=MarkdownP75,"Moderate","High"))</f>
        <v>High</v>
      </c>
      <c r="Q33" s="11" t="str">
        <f aca="false">IF(ISBLANK(L33),"Unknown",IF(L33&gt;=4,"Good",IF(L33&lt;=2,"Poor","Neutral")))</f>
        <v>Unknown</v>
      </c>
      <c r="R33" s="11" t="str">
        <f aca="false">IF(AND(O33="Low",P33="Low",Q33="Good"),"BUY / PRIORITIZE",IF(AND(O33="High",P33="High",OR(Q33="Poor",M33=TRUE())),"HOLD / REVIEW","MONITOR"))</f>
        <v>MONITOR</v>
      </c>
      <c r="S33" s="11" t="n">
        <f aca="false">K33+(ROW()/10000000)</f>
        <v>5.0000033</v>
      </c>
    </row>
    <row r="34" customFormat="false" ht="15" hidden="false" customHeight="false" outlineLevel="0" collapsed="false">
      <c r="A34" s="11" t="s">
        <v>143</v>
      </c>
      <c r="B34" s="11" t="s">
        <v>29</v>
      </c>
      <c r="C34" s="11" t="s">
        <v>72</v>
      </c>
      <c r="D34" s="11" t="s">
        <v>34</v>
      </c>
      <c r="E34" s="11" t="s">
        <v>73</v>
      </c>
      <c r="F34" s="11" t="s">
        <v>120</v>
      </c>
      <c r="G34" s="21" t="n">
        <v>143.78</v>
      </c>
      <c r="H34" s="19" t="n">
        <v>0</v>
      </c>
      <c r="I34" s="21" t="n">
        <v>143.78</v>
      </c>
      <c r="J34" s="22" t="s">
        <v>144</v>
      </c>
      <c r="K34" s="11" t="n">
        <v>43</v>
      </c>
      <c r="L34" s="23" t="n">
        <v>1.1</v>
      </c>
      <c r="M34" s="24" t="b">
        <f aca="false">FALSE()</f>
        <v>0</v>
      </c>
      <c r="N34" s="11"/>
      <c r="O34" s="11" t="str">
        <f aca="false">IF(K34&lt;=StockP33,"Low",IF(K34&lt;=StockP67,"Moderate","High"))</f>
        <v>High</v>
      </c>
      <c r="P34" s="11" t="str">
        <f aca="false">IF(H34=0,"Low",IF(H34&lt;=MarkdownP75,"Moderate","High"))</f>
        <v>Low</v>
      </c>
      <c r="Q34" s="11" t="str">
        <f aca="false">IF(ISBLANK(L34),"Unknown",IF(L34&gt;=4,"Good",IF(L34&lt;=2,"Poor","Neutral")))</f>
        <v>Poor</v>
      </c>
      <c r="R34" s="11" t="str">
        <f aca="false">IF(AND(O34="Low",P34="Low",Q34="Good"),"BUY / PRIORITIZE",IF(AND(O34="High",P34="High",OR(Q34="Poor",M34=TRUE())),"HOLD / REVIEW","MONITOR"))</f>
        <v>MONITOR</v>
      </c>
      <c r="S34" s="11" t="n">
        <f aca="false">K34+(ROW()/10000000)</f>
        <v>43.0000034</v>
      </c>
    </row>
    <row r="35" customFormat="false" ht="15" hidden="false" customHeight="false" outlineLevel="0" collapsed="false">
      <c r="A35" s="11" t="s">
        <v>145</v>
      </c>
      <c r="B35" s="11" t="s">
        <v>30</v>
      </c>
      <c r="C35" s="11" t="s">
        <v>86</v>
      </c>
      <c r="D35" s="11" t="s">
        <v>35</v>
      </c>
      <c r="E35" s="11" t="s">
        <v>73</v>
      </c>
      <c r="F35" s="11" t="s">
        <v>92</v>
      </c>
      <c r="G35" s="21" t="n">
        <v>88.23</v>
      </c>
      <c r="H35" s="19" t="n">
        <v>0</v>
      </c>
      <c r="I35" s="21" t="n">
        <v>88.23</v>
      </c>
      <c r="J35" s="22" t="s">
        <v>80</v>
      </c>
      <c r="K35" s="11" t="n">
        <v>44</v>
      </c>
      <c r="L35" s="23" t="n">
        <v>1.6</v>
      </c>
      <c r="M35" s="24" t="b">
        <f aca="false">FALSE()</f>
        <v>0</v>
      </c>
      <c r="N35" s="11"/>
      <c r="O35" s="11" t="str">
        <f aca="false">IF(K35&lt;=StockP33,"Low",IF(K35&lt;=StockP67,"Moderate","High"))</f>
        <v>High</v>
      </c>
      <c r="P35" s="11" t="str">
        <f aca="false">IF(H35=0,"Low",IF(H35&lt;=MarkdownP75,"Moderate","High"))</f>
        <v>Low</v>
      </c>
      <c r="Q35" s="11" t="str">
        <f aca="false">IF(ISBLANK(L35),"Unknown",IF(L35&gt;=4,"Good",IF(L35&lt;=2,"Poor","Neutral")))</f>
        <v>Poor</v>
      </c>
      <c r="R35" s="11" t="str">
        <f aca="false">IF(AND(O35="Low",P35="Low",Q35="Good"),"BUY / PRIORITIZE",IF(AND(O35="High",P35="High",OR(Q35="Poor",M35=TRUE())),"HOLD / REVIEW","MONITOR"))</f>
        <v>MONITOR</v>
      </c>
      <c r="S35" s="11" t="n">
        <f aca="false">K35+(ROW()/10000000)</f>
        <v>44.0000035</v>
      </c>
    </row>
    <row r="36" customFormat="false" ht="15" hidden="false" customHeight="false" outlineLevel="0" collapsed="false">
      <c r="A36" s="11" t="s">
        <v>146</v>
      </c>
      <c r="B36" s="11" t="s">
        <v>8</v>
      </c>
      <c r="C36" s="11" t="s">
        <v>130</v>
      </c>
      <c r="D36" s="11" t="s">
        <v>36</v>
      </c>
      <c r="E36" s="11"/>
      <c r="F36" s="11" t="s">
        <v>118</v>
      </c>
      <c r="G36" s="21" t="n">
        <v>58.57</v>
      </c>
      <c r="H36" s="19" t="n">
        <v>0</v>
      </c>
      <c r="I36" s="21" t="n">
        <v>58.57</v>
      </c>
      <c r="J36" s="22" t="s">
        <v>80</v>
      </c>
      <c r="K36" s="11" t="n">
        <v>38</v>
      </c>
      <c r="L36" s="23" t="n">
        <v>1.5</v>
      </c>
      <c r="M36" s="24" t="b">
        <f aca="false">FALSE()</f>
        <v>0</v>
      </c>
      <c r="N36" s="11"/>
      <c r="O36" s="11" t="str">
        <f aca="false">IF(K36&lt;=StockP33,"Low",IF(K36&lt;=StockP67,"Moderate","High"))</f>
        <v>High</v>
      </c>
      <c r="P36" s="11" t="str">
        <f aca="false">IF(H36=0,"Low",IF(H36&lt;=MarkdownP75,"Moderate","High"))</f>
        <v>Low</v>
      </c>
      <c r="Q36" s="11" t="str">
        <f aca="false">IF(ISBLANK(L36),"Unknown",IF(L36&gt;=4,"Good",IF(L36&lt;=2,"Poor","Neutral")))</f>
        <v>Poor</v>
      </c>
      <c r="R36" s="11" t="str">
        <f aca="false">IF(AND(O36="Low",P36="Low",Q36="Good"),"BUY / PRIORITIZE",IF(AND(O36="High",P36="High",OR(Q36="Poor",M36=TRUE())),"HOLD / REVIEW","MONITOR"))</f>
        <v>MONITOR</v>
      </c>
      <c r="S36" s="11" t="n">
        <f aca="false">K36+(ROW()/10000000)</f>
        <v>38.0000036</v>
      </c>
    </row>
    <row r="37" customFormat="false" ht="15" hidden="false" customHeight="false" outlineLevel="0" collapsed="false">
      <c r="A37" s="11" t="s">
        <v>147</v>
      </c>
      <c r="B37" s="11" t="s">
        <v>30</v>
      </c>
      <c r="C37" s="11" t="s">
        <v>77</v>
      </c>
      <c r="D37" s="11" t="s">
        <v>37</v>
      </c>
      <c r="E37" s="11" t="s">
        <v>102</v>
      </c>
      <c r="F37" s="11" t="s">
        <v>88</v>
      </c>
      <c r="G37" s="21" t="n">
        <v>119.7</v>
      </c>
      <c r="H37" s="19" t="n">
        <v>5.7</v>
      </c>
      <c r="I37" s="21" t="n">
        <v>112.88</v>
      </c>
      <c r="J37" s="22" t="s">
        <v>80</v>
      </c>
      <c r="K37" s="11" t="n">
        <v>37</v>
      </c>
      <c r="L37" s="23" t="n">
        <v>4.9</v>
      </c>
      <c r="M37" s="24" t="b">
        <f aca="false">FALSE()</f>
        <v>0</v>
      </c>
      <c r="N37" s="11"/>
      <c r="O37" s="11" t="str">
        <f aca="false">IF(K37&lt;=StockP33,"Low",IF(K37&lt;=StockP67,"Moderate","High"))</f>
        <v>High</v>
      </c>
      <c r="P37" s="11" t="str">
        <f aca="false">IF(H37=0,"Low",IF(H37&lt;=MarkdownP75,"Moderate","High"))</f>
        <v>Moderate</v>
      </c>
      <c r="Q37" s="11" t="str">
        <f aca="false">IF(ISBLANK(L37),"Unknown",IF(L37&gt;=4,"Good",IF(L37&lt;=2,"Poor","Neutral")))</f>
        <v>Good</v>
      </c>
      <c r="R37" s="11" t="str">
        <f aca="false">IF(AND(O37="Low",P37="Low",Q37="Good"),"BUY / PRIORITIZE",IF(AND(O37="High",P37="High",OR(Q37="Poor",M37=TRUE())),"HOLD / REVIEW","MONITOR"))</f>
        <v>MONITOR</v>
      </c>
      <c r="S37" s="11" t="n">
        <f aca="false">K37+(ROW()/10000000)</f>
        <v>37.0000037</v>
      </c>
    </row>
    <row r="38" customFormat="false" ht="15" hidden="false" customHeight="false" outlineLevel="0" collapsed="false">
      <c r="A38" s="11" t="s">
        <v>148</v>
      </c>
      <c r="B38" s="11" t="s">
        <v>26</v>
      </c>
      <c r="C38" s="11" t="s">
        <v>86</v>
      </c>
      <c r="D38" s="11" t="s">
        <v>36</v>
      </c>
      <c r="E38" s="11" t="s">
        <v>102</v>
      </c>
      <c r="F38" s="11" t="s">
        <v>98</v>
      </c>
      <c r="G38" s="21" t="n">
        <v>97.06</v>
      </c>
      <c r="H38" s="19" t="n">
        <v>47.8</v>
      </c>
      <c r="I38" s="21" t="n">
        <v>50.67</v>
      </c>
      <c r="J38" s="22" t="s">
        <v>80</v>
      </c>
      <c r="K38" s="11" t="n">
        <v>31</v>
      </c>
      <c r="L38" s="23" t="n">
        <v>4.1</v>
      </c>
      <c r="M38" s="24" t="b">
        <f aca="false">FALSE()</f>
        <v>0</v>
      </c>
      <c r="N38" s="11"/>
      <c r="O38" s="11" t="str">
        <f aca="false">IF(K38&lt;=StockP33,"Low",IF(K38&lt;=StockP67,"Moderate","High"))</f>
        <v>Moderate</v>
      </c>
      <c r="P38" s="11" t="str">
        <f aca="false">IF(H38=0,"Low",IF(H38&lt;=MarkdownP75,"Moderate","High"))</f>
        <v>High</v>
      </c>
      <c r="Q38" s="11" t="str">
        <f aca="false">IF(ISBLANK(L38),"Unknown",IF(L38&gt;=4,"Good",IF(L38&lt;=2,"Poor","Neutral")))</f>
        <v>Good</v>
      </c>
      <c r="R38" s="11" t="str">
        <f aca="false">IF(AND(O38="Low",P38="Low",Q38="Good"),"BUY / PRIORITIZE",IF(AND(O38="High",P38="High",OR(Q38="Poor",M38=TRUE())),"HOLD / REVIEW","MONITOR"))</f>
        <v>MONITOR</v>
      </c>
      <c r="S38" s="11" t="n">
        <f aca="false">K38+(ROW()/10000000)</f>
        <v>31.0000038</v>
      </c>
    </row>
    <row r="39" customFormat="false" ht="15" hidden="false" customHeight="false" outlineLevel="0" collapsed="false">
      <c r="A39" s="11" t="s">
        <v>149</v>
      </c>
      <c r="B39" s="11" t="s">
        <v>27</v>
      </c>
      <c r="C39" s="11" t="s">
        <v>86</v>
      </c>
      <c r="D39" s="11" t="s">
        <v>35</v>
      </c>
      <c r="E39" s="11" t="s">
        <v>78</v>
      </c>
      <c r="F39" s="11" t="s">
        <v>88</v>
      </c>
      <c r="G39" s="21" t="n">
        <v>110.09</v>
      </c>
      <c r="H39" s="19" t="n">
        <v>0</v>
      </c>
      <c r="I39" s="21" t="n">
        <v>110.09</v>
      </c>
      <c r="J39" s="22" t="s">
        <v>80</v>
      </c>
      <c r="K39" s="11" t="n">
        <v>32</v>
      </c>
      <c r="L39" s="23" t="n">
        <v>3.4</v>
      </c>
      <c r="M39" s="24" t="b">
        <f aca="false">FALSE()</f>
        <v>0</v>
      </c>
      <c r="N39" s="11"/>
      <c r="O39" s="11" t="str">
        <f aca="false">IF(K39&lt;=StockP33,"Low",IF(K39&lt;=StockP67,"Moderate","High"))</f>
        <v>Moderate</v>
      </c>
      <c r="P39" s="11" t="str">
        <f aca="false">IF(H39=0,"Low",IF(H39&lt;=MarkdownP75,"Moderate","High"))</f>
        <v>Low</v>
      </c>
      <c r="Q39" s="11" t="str">
        <f aca="false">IF(ISBLANK(L39),"Unknown",IF(L39&gt;=4,"Good",IF(L39&lt;=2,"Poor","Neutral")))</f>
        <v>Neutral</v>
      </c>
      <c r="R39" s="11" t="str">
        <f aca="false">IF(AND(O39="Low",P39="Low",Q39="Good"),"BUY / PRIORITIZE",IF(AND(O39="High",P39="High",OR(Q39="Poor",M39=TRUE())),"HOLD / REVIEW","MONITOR"))</f>
        <v>MONITOR</v>
      </c>
      <c r="S39" s="11" t="n">
        <f aca="false">K39+(ROW()/10000000)</f>
        <v>32.0000039</v>
      </c>
    </row>
    <row r="40" customFormat="false" ht="15" hidden="false" customHeight="false" outlineLevel="0" collapsed="false">
      <c r="A40" s="11" t="s">
        <v>150</v>
      </c>
      <c r="B40" s="11" t="s">
        <v>29</v>
      </c>
      <c r="C40" s="11" t="s">
        <v>72</v>
      </c>
      <c r="D40" s="11" t="s">
        <v>37</v>
      </c>
      <c r="E40" s="11" t="s">
        <v>110</v>
      </c>
      <c r="F40" s="11" t="s">
        <v>98</v>
      </c>
      <c r="G40" s="21" t="n">
        <v>198.42</v>
      </c>
      <c r="H40" s="19" t="n">
        <v>14.2</v>
      </c>
      <c r="I40" s="21" t="n">
        <v>170.24</v>
      </c>
      <c r="J40" s="22" t="s">
        <v>80</v>
      </c>
      <c r="K40" s="11" t="n">
        <v>10</v>
      </c>
      <c r="L40" s="23"/>
      <c r="M40" s="24" t="b">
        <f aca="false">FALSE()</f>
        <v>0</v>
      </c>
      <c r="N40" s="11"/>
      <c r="O40" s="11" t="str">
        <f aca="false">IF(K40&lt;=StockP33,"Low",IF(K40&lt;=StockP67,"Moderate","High"))</f>
        <v>Low</v>
      </c>
      <c r="P40" s="11" t="str">
        <f aca="false">IF(H40=0,"Low",IF(H40&lt;=MarkdownP75,"Moderate","High"))</f>
        <v>Moderate</v>
      </c>
      <c r="Q40" s="11" t="str">
        <f aca="false">IF(ISBLANK(L40),"Unknown",IF(L40&gt;=4,"Good",IF(L40&lt;=2,"Poor","Neutral")))</f>
        <v>Unknown</v>
      </c>
      <c r="R40" s="11" t="str">
        <f aca="false">IF(AND(O40="Low",P40="Low",Q40="Good"),"BUY / PRIORITIZE",IF(AND(O40="High",P40="High",OR(Q40="Poor",M40=TRUE())),"HOLD / REVIEW","MONITOR"))</f>
        <v>MONITOR</v>
      </c>
      <c r="S40" s="11" t="n">
        <f aca="false">K40+(ROW()/10000000)</f>
        <v>10.000004</v>
      </c>
    </row>
    <row r="41" customFormat="false" ht="15" hidden="false" customHeight="false" outlineLevel="0" collapsed="false">
      <c r="A41" s="11" t="s">
        <v>151</v>
      </c>
      <c r="B41" s="11" t="s">
        <v>26</v>
      </c>
      <c r="C41" s="11" t="s">
        <v>86</v>
      </c>
      <c r="D41" s="11" t="s">
        <v>37</v>
      </c>
      <c r="E41" s="11"/>
      <c r="F41" s="11" t="s">
        <v>120</v>
      </c>
      <c r="G41" s="21" t="n">
        <v>101.72</v>
      </c>
      <c r="H41" s="19" t="n">
        <v>0</v>
      </c>
      <c r="I41" s="21" t="n">
        <v>101.72</v>
      </c>
      <c r="J41" s="22" t="s">
        <v>80</v>
      </c>
      <c r="K41" s="11" t="n">
        <v>40</v>
      </c>
      <c r="L41" s="23"/>
      <c r="M41" s="24" t="b">
        <f aca="false">FALSE()</f>
        <v>0</v>
      </c>
      <c r="N41" s="11"/>
      <c r="O41" s="11" t="str">
        <f aca="false">IF(K41&lt;=StockP33,"Low",IF(K41&lt;=StockP67,"Moderate","High"))</f>
        <v>High</v>
      </c>
      <c r="P41" s="11" t="str">
        <f aca="false">IF(H41=0,"Low",IF(H41&lt;=MarkdownP75,"Moderate","High"))</f>
        <v>Low</v>
      </c>
      <c r="Q41" s="11" t="str">
        <f aca="false">IF(ISBLANK(L41),"Unknown",IF(L41&gt;=4,"Good",IF(L41&lt;=2,"Poor","Neutral")))</f>
        <v>Unknown</v>
      </c>
      <c r="R41" s="11" t="str">
        <f aca="false">IF(AND(O41="Low",P41="Low",Q41="Good"),"BUY / PRIORITIZE",IF(AND(O41="High",P41="High",OR(Q41="Poor",M41=TRUE())),"HOLD / REVIEW","MONITOR"))</f>
        <v>MONITOR</v>
      </c>
      <c r="S41" s="11" t="n">
        <f aca="false">K41+(ROW()/10000000)</f>
        <v>40.0000041</v>
      </c>
    </row>
    <row r="42" customFormat="false" ht="15" hidden="false" customHeight="false" outlineLevel="0" collapsed="false">
      <c r="A42" s="11" t="s">
        <v>152</v>
      </c>
      <c r="B42" s="11" t="s">
        <v>30</v>
      </c>
      <c r="C42" s="11" t="s">
        <v>77</v>
      </c>
      <c r="D42" s="11" t="s">
        <v>35</v>
      </c>
      <c r="E42" s="11" t="s">
        <v>91</v>
      </c>
      <c r="F42" s="11" t="s">
        <v>88</v>
      </c>
      <c r="G42" s="21" t="n">
        <v>117.86</v>
      </c>
      <c r="H42" s="19" t="n">
        <v>0</v>
      </c>
      <c r="I42" s="21" t="n">
        <v>117.86</v>
      </c>
      <c r="J42" s="22" t="s">
        <v>80</v>
      </c>
      <c r="K42" s="11" t="n">
        <v>6</v>
      </c>
      <c r="L42" s="23"/>
      <c r="M42" s="24" t="b">
        <f aca="false">FALSE()</f>
        <v>0</v>
      </c>
      <c r="N42" s="11"/>
      <c r="O42" s="11" t="str">
        <f aca="false">IF(K42&lt;=StockP33,"Low",IF(K42&lt;=StockP67,"Moderate","High"))</f>
        <v>Low</v>
      </c>
      <c r="P42" s="11" t="str">
        <f aca="false">IF(H42=0,"Low",IF(H42&lt;=MarkdownP75,"Moderate","High"))</f>
        <v>Low</v>
      </c>
      <c r="Q42" s="11" t="str">
        <f aca="false">IF(ISBLANK(L42),"Unknown",IF(L42&gt;=4,"Good",IF(L42&lt;=2,"Poor","Neutral")))</f>
        <v>Unknown</v>
      </c>
      <c r="R42" s="11" t="str">
        <f aca="false">IF(AND(O42="Low",P42="Low",Q42="Good"),"BUY / PRIORITIZE",IF(AND(O42="High",P42="High",OR(Q42="Poor",M42=TRUE())),"HOLD / REVIEW","MONITOR"))</f>
        <v>MONITOR</v>
      </c>
      <c r="S42" s="11" t="n">
        <f aca="false">K42+(ROW()/10000000)</f>
        <v>6.0000042</v>
      </c>
    </row>
    <row r="43" customFormat="false" ht="15" hidden="false" customHeight="false" outlineLevel="0" collapsed="false">
      <c r="A43" s="11" t="s">
        <v>153</v>
      </c>
      <c r="B43" s="11" t="s">
        <v>30</v>
      </c>
      <c r="C43" s="11" t="s">
        <v>107</v>
      </c>
      <c r="D43" s="11" t="s">
        <v>35</v>
      </c>
      <c r="E43" s="11" t="s">
        <v>113</v>
      </c>
      <c r="F43" s="11" t="s">
        <v>98</v>
      </c>
      <c r="G43" s="21" t="n">
        <v>78.86</v>
      </c>
      <c r="H43" s="19" t="n">
        <v>0</v>
      </c>
      <c r="I43" s="21" t="n">
        <v>78.86</v>
      </c>
      <c r="J43" s="22" t="s">
        <v>80</v>
      </c>
      <c r="K43" s="11" t="n">
        <v>22</v>
      </c>
      <c r="L43" s="23" t="n">
        <v>4.3</v>
      </c>
      <c r="M43" s="24" t="b">
        <f aca="false">FALSE()</f>
        <v>0</v>
      </c>
      <c r="N43" s="11"/>
      <c r="O43" s="11" t="str">
        <f aca="false">IF(K43&lt;=StockP33,"Low",IF(K43&lt;=StockP67,"Moderate","High"))</f>
        <v>Moderate</v>
      </c>
      <c r="P43" s="11" t="str">
        <f aca="false">IF(H43=0,"Low",IF(H43&lt;=MarkdownP75,"Moderate","High"))</f>
        <v>Low</v>
      </c>
      <c r="Q43" s="11" t="str">
        <f aca="false">IF(ISBLANK(L43),"Unknown",IF(L43&gt;=4,"Good",IF(L43&lt;=2,"Poor","Neutral")))</f>
        <v>Good</v>
      </c>
      <c r="R43" s="11" t="str">
        <f aca="false">IF(AND(O43="Low",P43="Low",Q43="Good"),"BUY / PRIORITIZE",IF(AND(O43="High",P43="High",OR(Q43="Poor",M43=TRUE())),"HOLD / REVIEW","MONITOR"))</f>
        <v>MONITOR</v>
      </c>
      <c r="S43" s="11" t="n">
        <f aca="false">K43+(ROW()/10000000)</f>
        <v>22.0000043</v>
      </c>
    </row>
    <row r="44" customFormat="false" ht="15" hidden="false" customHeight="false" outlineLevel="0" collapsed="false">
      <c r="A44" s="11" t="s">
        <v>154</v>
      </c>
      <c r="B44" s="11" t="s">
        <v>28</v>
      </c>
      <c r="C44" s="11" t="s">
        <v>72</v>
      </c>
      <c r="D44" s="11" t="s">
        <v>37</v>
      </c>
      <c r="E44" s="11" t="s">
        <v>110</v>
      </c>
      <c r="F44" s="11" t="s">
        <v>118</v>
      </c>
      <c r="G44" s="21" t="n">
        <v>216.16</v>
      </c>
      <c r="H44" s="19" t="n">
        <v>51.4</v>
      </c>
      <c r="I44" s="21" t="n">
        <v>105.05</v>
      </c>
      <c r="J44" s="22" t="s">
        <v>80</v>
      </c>
      <c r="K44" s="11" t="n">
        <v>36</v>
      </c>
      <c r="L44" s="23" t="n">
        <v>4</v>
      </c>
      <c r="M44" s="24" t="b">
        <f aca="false">FALSE()</f>
        <v>0</v>
      </c>
      <c r="N44" s="11"/>
      <c r="O44" s="11" t="str">
        <f aca="false">IF(K44&lt;=StockP33,"Low",IF(K44&lt;=StockP67,"Moderate","High"))</f>
        <v>High</v>
      </c>
      <c r="P44" s="11" t="str">
        <f aca="false">IF(H44=0,"Low",IF(H44&lt;=MarkdownP75,"Moderate","High"))</f>
        <v>High</v>
      </c>
      <c r="Q44" s="11" t="str">
        <f aca="false">IF(ISBLANK(L44),"Unknown",IF(L44&gt;=4,"Good",IF(L44&lt;=2,"Poor","Neutral")))</f>
        <v>Good</v>
      </c>
      <c r="R44" s="11" t="str">
        <f aca="false">IF(AND(O44="Low",P44="Low",Q44="Good"),"BUY / PRIORITIZE",IF(AND(O44="High",P44="High",OR(Q44="Poor",M44=TRUE())),"HOLD / REVIEW","MONITOR"))</f>
        <v>MONITOR</v>
      </c>
      <c r="S44" s="11" t="n">
        <f aca="false">K44+(ROW()/10000000)</f>
        <v>36.0000044</v>
      </c>
    </row>
    <row r="45" customFormat="false" ht="15" hidden="false" customHeight="false" outlineLevel="0" collapsed="false">
      <c r="A45" s="11" t="s">
        <v>155</v>
      </c>
      <c r="B45" s="11" t="s">
        <v>29</v>
      </c>
      <c r="C45" s="11" t="s">
        <v>72</v>
      </c>
      <c r="D45" s="11" t="s">
        <v>34</v>
      </c>
      <c r="E45" s="11" t="s">
        <v>73</v>
      </c>
      <c r="F45" s="11" t="s">
        <v>79</v>
      </c>
      <c r="G45" s="21" t="n">
        <v>129.85</v>
      </c>
      <c r="H45" s="19" t="n">
        <v>0</v>
      </c>
      <c r="I45" s="21" t="n">
        <v>129.85</v>
      </c>
      <c r="J45" s="22" t="s">
        <v>104</v>
      </c>
      <c r="K45" s="11" t="n">
        <v>36</v>
      </c>
      <c r="L45" s="23" t="n">
        <v>3.3</v>
      </c>
      <c r="M45" s="24" t="b">
        <f aca="false">FALSE()</f>
        <v>0</v>
      </c>
      <c r="N45" s="11"/>
      <c r="O45" s="11" t="str">
        <f aca="false">IF(K45&lt;=StockP33,"Low",IF(K45&lt;=StockP67,"Moderate","High"))</f>
        <v>High</v>
      </c>
      <c r="P45" s="11" t="str">
        <f aca="false">IF(H45=0,"Low",IF(H45&lt;=MarkdownP75,"Moderate","High"))</f>
        <v>Low</v>
      </c>
      <c r="Q45" s="11" t="str">
        <f aca="false">IF(ISBLANK(L45),"Unknown",IF(L45&gt;=4,"Good",IF(L45&lt;=2,"Poor","Neutral")))</f>
        <v>Neutral</v>
      </c>
      <c r="R45" s="11" t="str">
        <f aca="false">IF(AND(O45="Low",P45="Low",Q45="Good"),"BUY / PRIORITIZE",IF(AND(O45="High",P45="High",OR(Q45="Poor",M45=TRUE())),"HOLD / REVIEW","MONITOR"))</f>
        <v>MONITOR</v>
      </c>
      <c r="S45" s="11" t="n">
        <f aca="false">K45+(ROW()/10000000)</f>
        <v>36.0000045</v>
      </c>
    </row>
    <row r="46" customFormat="false" ht="15" hidden="false" customHeight="false" outlineLevel="0" collapsed="false">
      <c r="A46" s="11" t="s">
        <v>156</v>
      </c>
      <c r="B46" s="11" t="s">
        <v>30</v>
      </c>
      <c r="C46" s="11" t="s">
        <v>86</v>
      </c>
      <c r="D46" s="11" t="s">
        <v>37</v>
      </c>
      <c r="E46" s="11" t="s">
        <v>102</v>
      </c>
      <c r="F46" s="11" t="s">
        <v>98</v>
      </c>
      <c r="G46" s="21" t="n">
        <v>111.3</v>
      </c>
      <c r="H46" s="19" t="n">
        <v>0</v>
      </c>
      <c r="I46" s="21" t="n">
        <v>111.3</v>
      </c>
      <c r="J46" s="22" t="s">
        <v>80</v>
      </c>
      <c r="K46" s="11" t="n">
        <v>11</v>
      </c>
      <c r="L46" s="23" t="n">
        <v>1.7</v>
      </c>
      <c r="M46" s="24" t="b">
        <f aca="false">FALSE()</f>
        <v>0</v>
      </c>
      <c r="N46" s="11"/>
      <c r="O46" s="11" t="str">
        <f aca="false">IF(K46&lt;=StockP33,"Low",IF(K46&lt;=StockP67,"Moderate","High"))</f>
        <v>Low</v>
      </c>
      <c r="P46" s="11" t="str">
        <f aca="false">IF(H46=0,"Low",IF(H46&lt;=MarkdownP75,"Moderate","High"))</f>
        <v>Low</v>
      </c>
      <c r="Q46" s="11" t="str">
        <f aca="false">IF(ISBLANK(L46),"Unknown",IF(L46&gt;=4,"Good",IF(L46&lt;=2,"Poor","Neutral")))</f>
        <v>Poor</v>
      </c>
      <c r="R46" s="11" t="str">
        <f aca="false">IF(AND(O46="Low",P46="Low",Q46="Good"),"BUY / PRIORITIZE",IF(AND(O46="High",P46="High",OR(Q46="Poor",M46=TRUE())),"HOLD / REVIEW","MONITOR"))</f>
        <v>MONITOR</v>
      </c>
      <c r="S46" s="11" t="n">
        <f aca="false">K46+(ROW()/10000000)</f>
        <v>11.0000046</v>
      </c>
    </row>
    <row r="47" customFormat="false" ht="15" hidden="false" customHeight="false" outlineLevel="0" collapsed="false">
      <c r="A47" s="11" t="s">
        <v>157</v>
      </c>
      <c r="B47" s="11" t="s">
        <v>27</v>
      </c>
      <c r="C47" s="11" t="s">
        <v>77</v>
      </c>
      <c r="D47" s="11" t="s">
        <v>35</v>
      </c>
      <c r="E47" s="11" t="s">
        <v>73</v>
      </c>
      <c r="F47" s="11" t="s">
        <v>124</v>
      </c>
      <c r="G47" s="21" t="n">
        <v>73.65</v>
      </c>
      <c r="H47" s="19" t="n">
        <v>0</v>
      </c>
      <c r="I47" s="21" t="n">
        <v>73.65</v>
      </c>
      <c r="J47" s="22" t="s">
        <v>80</v>
      </c>
      <c r="K47" s="11" t="n">
        <v>33</v>
      </c>
      <c r="L47" s="23" t="n">
        <v>3.6</v>
      </c>
      <c r="M47" s="24" t="b">
        <f aca="false">FALSE()</f>
        <v>0</v>
      </c>
      <c r="N47" s="11"/>
      <c r="O47" s="11" t="str">
        <f aca="false">IF(K47&lt;=StockP33,"Low",IF(K47&lt;=StockP67,"Moderate","High"))</f>
        <v>Moderate</v>
      </c>
      <c r="P47" s="11" t="str">
        <f aca="false">IF(H47=0,"Low",IF(H47&lt;=MarkdownP75,"Moderate","High"))</f>
        <v>Low</v>
      </c>
      <c r="Q47" s="11" t="str">
        <f aca="false">IF(ISBLANK(L47),"Unknown",IF(L47&gt;=4,"Good",IF(L47&lt;=2,"Poor","Neutral")))</f>
        <v>Neutral</v>
      </c>
      <c r="R47" s="11" t="str">
        <f aca="false">IF(AND(O47="Low",P47="Low",Q47="Good"),"BUY / PRIORITIZE",IF(AND(O47="High",P47="High",OR(Q47="Poor",M47=TRUE())),"HOLD / REVIEW","MONITOR"))</f>
        <v>MONITOR</v>
      </c>
      <c r="S47" s="11" t="n">
        <f aca="false">K47+(ROW()/10000000)</f>
        <v>33.0000047</v>
      </c>
    </row>
    <row r="48" customFormat="false" ht="15" hidden="false" customHeight="false" outlineLevel="0" collapsed="false">
      <c r="A48" s="11" t="s">
        <v>158</v>
      </c>
      <c r="B48" s="11" t="s">
        <v>29</v>
      </c>
      <c r="C48" s="11" t="s">
        <v>95</v>
      </c>
      <c r="D48" s="11" t="s">
        <v>35</v>
      </c>
      <c r="E48" s="11" t="s">
        <v>78</v>
      </c>
      <c r="F48" s="11" t="s">
        <v>79</v>
      </c>
      <c r="G48" s="21" t="n">
        <v>147.13</v>
      </c>
      <c r="H48" s="19" t="n">
        <v>30.3</v>
      </c>
      <c r="I48" s="21" t="n">
        <v>102.55</v>
      </c>
      <c r="J48" s="22" t="s">
        <v>80</v>
      </c>
      <c r="K48" s="11" t="n">
        <v>13</v>
      </c>
      <c r="L48" s="23" t="n">
        <v>4.4</v>
      </c>
      <c r="M48" s="24" t="b">
        <f aca="false">FALSE()</f>
        <v>0</v>
      </c>
      <c r="N48" s="11"/>
      <c r="O48" s="11" t="str">
        <f aca="false">IF(K48&lt;=StockP33,"Low",IF(K48&lt;=StockP67,"Moderate","High"))</f>
        <v>Low</v>
      </c>
      <c r="P48" s="11" t="str">
        <f aca="false">IF(H48=0,"Low",IF(H48&lt;=MarkdownP75,"Moderate","High"))</f>
        <v>High</v>
      </c>
      <c r="Q48" s="11" t="str">
        <f aca="false">IF(ISBLANK(L48),"Unknown",IF(L48&gt;=4,"Good",IF(L48&lt;=2,"Poor","Neutral")))</f>
        <v>Good</v>
      </c>
      <c r="R48" s="11" t="str">
        <f aca="false">IF(AND(O48="Low",P48="Low",Q48="Good"),"BUY / PRIORITIZE",IF(AND(O48="High",P48="High",OR(Q48="Poor",M48=TRUE())),"HOLD / REVIEW","MONITOR"))</f>
        <v>MONITOR</v>
      </c>
      <c r="S48" s="11" t="n">
        <f aca="false">K48+(ROW()/10000000)</f>
        <v>13.0000048</v>
      </c>
    </row>
    <row r="49" customFormat="false" ht="15" hidden="false" customHeight="false" outlineLevel="0" collapsed="false">
      <c r="A49" s="11" t="s">
        <v>159</v>
      </c>
      <c r="B49" s="11" t="s">
        <v>8</v>
      </c>
      <c r="C49" s="11" t="s">
        <v>107</v>
      </c>
      <c r="D49" s="11" t="s">
        <v>37</v>
      </c>
      <c r="E49" s="11"/>
      <c r="F49" s="11" t="s">
        <v>98</v>
      </c>
      <c r="G49" s="21" t="n">
        <v>44.6</v>
      </c>
      <c r="H49" s="19" t="n">
        <v>53.9</v>
      </c>
      <c r="I49" s="21" t="n">
        <v>20.56</v>
      </c>
      <c r="J49" s="22" t="s">
        <v>80</v>
      </c>
      <c r="K49" s="11" t="n">
        <v>42</v>
      </c>
      <c r="L49" s="23" t="n">
        <v>2.4</v>
      </c>
      <c r="M49" s="24" t="b">
        <f aca="false">FALSE()</f>
        <v>0</v>
      </c>
      <c r="N49" s="11"/>
      <c r="O49" s="11" t="str">
        <f aca="false">IF(K49&lt;=StockP33,"Low",IF(K49&lt;=StockP67,"Moderate","High"))</f>
        <v>High</v>
      </c>
      <c r="P49" s="11" t="str">
        <f aca="false">IF(H49=0,"Low",IF(H49&lt;=MarkdownP75,"Moderate","High"))</f>
        <v>High</v>
      </c>
      <c r="Q49" s="11" t="str">
        <f aca="false">IF(ISBLANK(L49),"Unknown",IF(L49&gt;=4,"Good",IF(L49&lt;=2,"Poor","Neutral")))</f>
        <v>Neutral</v>
      </c>
      <c r="R49" s="11" t="str">
        <f aca="false">IF(AND(O49="Low",P49="Low",Q49="Good"),"BUY / PRIORITIZE",IF(AND(O49="High",P49="High",OR(Q49="Poor",M49=TRUE())),"HOLD / REVIEW","MONITOR"))</f>
        <v>MONITOR</v>
      </c>
      <c r="S49" s="11" t="n">
        <f aca="false">K49+(ROW()/10000000)</f>
        <v>42.0000049</v>
      </c>
    </row>
    <row r="50" customFormat="false" ht="15" hidden="false" customHeight="false" outlineLevel="0" collapsed="false">
      <c r="A50" s="11" t="s">
        <v>160</v>
      </c>
      <c r="B50" s="11" t="s">
        <v>26</v>
      </c>
      <c r="C50" s="11" t="s">
        <v>130</v>
      </c>
      <c r="D50" s="11" t="s">
        <v>35</v>
      </c>
      <c r="E50" s="11" t="s">
        <v>73</v>
      </c>
      <c r="F50" s="11" t="s">
        <v>88</v>
      </c>
      <c r="G50" s="21" t="n">
        <v>101.8</v>
      </c>
      <c r="H50" s="19" t="n">
        <v>0</v>
      </c>
      <c r="I50" s="21" t="n">
        <v>101.8</v>
      </c>
      <c r="J50" s="22" t="s">
        <v>80</v>
      </c>
      <c r="K50" s="11" t="n">
        <v>7</v>
      </c>
      <c r="L50" s="23" t="n">
        <v>2.8</v>
      </c>
      <c r="M50" s="24" t="b">
        <f aca="false">FALSE()</f>
        <v>0</v>
      </c>
      <c r="N50" s="11"/>
      <c r="O50" s="11" t="str">
        <f aca="false">IF(K50&lt;=StockP33,"Low",IF(K50&lt;=StockP67,"Moderate","High"))</f>
        <v>Low</v>
      </c>
      <c r="P50" s="11" t="str">
        <f aca="false">IF(H50=0,"Low",IF(H50&lt;=MarkdownP75,"Moderate","High"))</f>
        <v>Low</v>
      </c>
      <c r="Q50" s="11" t="str">
        <f aca="false">IF(ISBLANK(L50),"Unknown",IF(L50&gt;=4,"Good",IF(L50&lt;=2,"Poor","Neutral")))</f>
        <v>Neutral</v>
      </c>
      <c r="R50" s="11" t="str">
        <f aca="false">IF(AND(O50="Low",P50="Low",Q50="Good"),"BUY / PRIORITIZE",IF(AND(O50="High",P50="High",OR(Q50="Poor",M50=TRUE())),"HOLD / REVIEW","MONITOR"))</f>
        <v>MONITOR</v>
      </c>
      <c r="S50" s="11" t="n">
        <f aca="false">K50+(ROW()/10000000)</f>
        <v>7.000005</v>
      </c>
    </row>
    <row r="51" customFormat="false" ht="15" hidden="false" customHeight="false" outlineLevel="0" collapsed="false">
      <c r="A51" s="11" t="s">
        <v>161</v>
      </c>
      <c r="B51" s="11" t="s">
        <v>8</v>
      </c>
      <c r="C51" s="11" t="s">
        <v>86</v>
      </c>
      <c r="D51" s="11" t="s">
        <v>35</v>
      </c>
      <c r="E51" s="11"/>
      <c r="F51" s="11" t="s">
        <v>124</v>
      </c>
      <c r="G51" s="21" t="n">
        <v>16.52</v>
      </c>
      <c r="H51" s="19" t="n">
        <v>55.9</v>
      </c>
      <c r="I51" s="21" t="n">
        <v>7.29</v>
      </c>
      <c r="J51" s="22" t="s">
        <v>80</v>
      </c>
      <c r="K51" s="11" t="n">
        <v>43</v>
      </c>
      <c r="L51" s="23"/>
      <c r="M51" s="24" t="b">
        <f aca="false">FALSE()</f>
        <v>0</v>
      </c>
      <c r="N51" s="11"/>
      <c r="O51" s="11" t="str">
        <f aca="false">IF(K51&lt;=StockP33,"Low",IF(K51&lt;=StockP67,"Moderate","High"))</f>
        <v>High</v>
      </c>
      <c r="P51" s="11" t="str">
        <f aca="false">IF(H51=0,"Low",IF(H51&lt;=MarkdownP75,"Moderate","High"))</f>
        <v>High</v>
      </c>
      <c r="Q51" s="11" t="str">
        <f aca="false">IF(ISBLANK(L51),"Unknown",IF(L51&gt;=4,"Good",IF(L51&lt;=2,"Poor","Neutral")))</f>
        <v>Unknown</v>
      </c>
      <c r="R51" s="11" t="str">
        <f aca="false">IF(AND(O51="Low",P51="Low",Q51="Good"),"BUY / PRIORITIZE",IF(AND(O51="High",P51="High",OR(Q51="Poor",M51=TRUE())),"HOLD / REVIEW","MONITOR"))</f>
        <v>MONITOR</v>
      </c>
      <c r="S51" s="11" t="n">
        <f aca="false">K51+(ROW()/10000000)</f>
        <v>43.0000051</v>
      </c>
    </row>
    <row r="52" customFormat="false" ht="15" hidden="false" customHeight="false" outlineLevel="0" collapsed="false">
      <c r="A52" s="11" t="s">
        <v>162</v>
      </c>
      <c r="B52" s="11" t="s">
        <v>26</v>
      </c>
      <c r="C52" s="11" t="s">
        <v>101</v>
      </c>
      <c r="D52" s="11" t="s">
        <v>36</v>
      </c>
      <c r="E52" s="11" t="s">
        <v>113</v>
      </c>
      <c r="F52" s="11" t="s">
        <v>111</v>
      </c>
      <c r="G52" s="21" t="n">
        <v>50.91</v>
      </c>
      <c r="H52" s="19" t="n">
        <v>0</v>
      </c>
      <c r="I52" s="21" t="n">
        <v>50.91</v>
      </c>
      <c r="J52" s="22" t="s">
        <v>80</v>
      </c>
      <c r="K52" s="11" t="n">
        <v>3</v>
      </c>
      <c r="L52" s="23" t="n">
        <v>1.8</v>
      </c>
      <c r="M52" s="24" t="b">
        <f aca="false">FALSE()</f>
        <v>0</v>
      </c>
      <c r="N52" s="11"/>
      <c r="O52" s="11" t="str">
        <f aca="false">IF(K52&lt;=StockP33,"Low",IF(K52&lt;=StockP67,"Moderate","High"))</f>
        <v>Low</v>
      </c>
      <c r="P52" s="11" t="str">
        <f aca="false">IF(H52=0,"Low",IF(H52&lt;=MarkdownP75,"Moderate","High"))</f>
        <v>Low</v>
      </c>
      <c r="Q52" s="11" t="str">
        <f aca="false">IF(ISBLANK(L52),"Unknown",IF(L52&gt;=4,"Good",IF(L52&lt;=2,"Poor","Neutral")))</f>
        <v>Poor</v>
      </c>
      <c r="R52" s="11" t="str">
        <f aca="false">IF(AND(O52="Low",P52="Low",Q52="Good"),"BUY / PRIORITIZE",IF(AND(O52="High",P52="High",OR(Q52="Poor",M52=TRUE())),"HOLD / REVIEW","MONITOR"))</f>
        <v>MONITOR</v>
      </c>
      <c r="S52" s="11" t="n">
        <f aca="false">K52+(ROW()/10000000)</f>
        <v>3.0000052</v>
      </c>
    </row>
    <row r="53" customFormat="false" ht="15" hidden="false" customHeight="false" outlineLevel="0" collapsed="false">
      <c r="A53" s="11" t="s">
        <v>163</v>
      </c>
      <c r="B53" s="11" t="s">
        <v>28</v>
      </c>
      <c r="C53" s="11" t="s">
        <v>130</v>
      </c>
      <c r="D53" s="11" t="s">
        <v>34</v>
      </c>
      <c r="E53" s="11" t="s">
        <v>91</v>
      </c>
      <c r="F53" s="11" t="s">
        <v>88</v>
      </c>
      <c r="G53" s="21" t="n">
        <v>222.26</v>
      </c>
      <c r="H53" s="19" t="n">
        <v>0</v>
      </c>
      <c r="I53" s="21" t="n">
        <v>222.26</v>
      </c>
      <c r="J53" s="22" t="s">
        <v>164</v>
      </c>
      <c r="K53" s="11" t="n">
        <v>50</v>
      </c>
      <c r="L53" s="23" t="n">
        <v>4.5</v>
      </c>
      <c r="M53" s="24" t="b">
        <f aca="false">FALSE()</f>
        <v>0</v>
      </c>
      <c r="N53" s="11"/>
      <c r="O53" s="11" t="str">
        <f aca="false">IF(K53&lt;=StockP33,"Low",IF(K53&lt;=StockP67,"Moderate","High"))</f>
        <v>High</v>
      </c>
      <c r="P53" s="11" t="str">
        <f aca="false">IF(H53=0,"Low",IF(H53&lt;=MarkdownP75,"Moderate","High"))</f>
        <v>Low</v>
      </c>
      <c r="Q53" s="11" t="str">
        <f aca="false">IF(ISBLANK(L53),"Unknown",IF(L53&gt;=4,"Good",IF(L53&lt;=2,"Poor","Neutral")))</f>
        <v>Good</v>
      </c>
      <c r="R53" s="11" t="str">
        <f aca="false">IF(AND(O53="Low",P53="Low",Q53="Good"),"BUY / PRIORITIZE",IF(AND(O53="High",P53="High",OR(Q53="Poor",M53=TRUE())),"HOLD / REVIEW","MONITOR"))</f>
        <v>MONITOR</v>
      </c>
      <c r="S53" s="11" t="n">
        <f aca="false">K53+(ROW()/10000000)</f>
        <v>50.0000053</v>
      </c>
    </row>
    <row r="54" customFormat="false" ht="15" hidden="false" customHeight="false" outlineLevel="0" collapsed="false">
      <c r="A54" s="11" t="s">
        <v>165</v>
      </c>
      <c r="B54" s="11" t="s">
        <v>29</v>
      </c>
      <c r="C54" s="11" t="s">
        <v>116</v>
      </c>
      <c r="D54" s="11" t="s">
        <v>35</v>
      </c>
      <c r="E54" s="11" t="s">
        <v>91</v>
      </c>
      <c r="F54" s="11" t="s">
        <v>118</v>
      </c>
      <c r="G54" s="21" t="n">
        <v>104.14</v>
      </c>
      <c r="H54" s="19" t="n">
        <v>57.1</v>
      </c>
      <c r="I54" s="21" t="n">
        <v>44.68</v>
      </c>
      <c r="J54" s="22" t="s">
        <v>80</v>
      </c>
      <c r="K54" s="11" t="n">
        <v>14</v>
      </c>
      <c r="L54" s="23" t="n">
        <v>1.8</v>
      </c>
      <c r="M54" s="24" t="b">
        <f aca="false">FALSE()</f>
        <v>0</v>
      </c>
      <c r="N54" s="11"/>
      <c r="O54" s="11" t="str">
        <f aca="false">IF(K54&lt;=StockP33,"Low",IF(K54&lt;=StockP67,"Moderate","High"))</f>
        <v>Low</v>
      </c>
      <c r="P54" s="11" t="str">
        <f aca="false">IF(H54=0,"Low",IF(H54&lt;=MarkdownP75,"Moderate","High"))</f>
        <v>High</v>
      </c>
      <c r="Q54" s="11" t="str">
        <f aca="false">IF(ISBLANK(L54),"Unknown",IF(L54&gt;=4,"Good",IF(L54&lt;=2,"Poor","Neutral")))</f>
        <v>Poor</v>
      </c>
      <c r="R54" s="11" t="str">
        <f aca="false">IF(AND(O54="Low",P54="Low",Q54="Good"),"BUY / PRIORITIZE",IF(AND(O54="High",P54="High",OR(Q54="Poor",M54=TRUE())),"HOLD / REVIEW","MONITOR"))</f>
        <v>MONITOR</v>
      </c>
      <c r="S54" s="11" t="n">
        <f aca="false">K54+(ROW()/10000000)</f>
        <v>14.0000054</v>
      </c>
    </row>
    <row r="55" customFormat="false" ht="15" hidden="false" customHeight="false" outlineLevel="0" collapsed="false">
      <c r="A55" s="11" t="s">
        <v>166</v>
      </c>
      <c r="B55" s="11" t="s">
        <v>28</v>
      </c>
      <c r="C55" s="11" t="s">
        <v>72</v>
      </c>
      <c r="D55" s="11" t="s">
        <v>34</v>
      </c>
      <c r="E55" s="11" t="s">
        <v>91</v>
      </c>
      <c r="F55" s="11" t="s">
        <v>88</v>
      </c>
      <c r="G55" s="21" t="n">
        <v>166.76</v>
      </c>
      <c r="H55" s="19" t="n">
        <v>0</v>
      </c>
      <c r="I55" s="21" t="n">
        <v>166.76</v>
      </c>
      <c r="J55" s="22" t="s">
        <v>167</v>
      </c>
      <c r="K55" s="11" t="n">
        <v>21</v>
      </c>
      <c r="L55" s="23" t="n">
        <v>4.2</v>
      </c>
      <c r="M55" s="24" t="b">
        <f aca="false">FALSE()</f>
        <v>0</v>
      </c>
      <c r="N55" s="11"/>
      <c r="O55" s="11" t="str">
        <f aca="false">IF(K55&lt;=StockP33,"Low",IF(K55&lt;=StockP67,"Moderate","High"))</f>
        <v>Moderate</v>
      </c>
      <c r="P55" s="11" t="str">
        <f aca="false">IF(H55=0,"Low",IF(H55&lt;=MarkdownP75,"Moderate","High"))</f>
        <v>Low</v>
      </c>
      <c r="Q55" s="11" t="str">
        <f aca="false">IF(ISBLANK(L55),"Unknown",IF(L55&gt;=4,"Good",IF(L55&lt;=2,"Poor","Neutral")))</f>
        <v>Good</v>
      </c>
      <c r="R55" s="11" t="str">
        <f aca="false">IF(AND(O55="Low",P55="Low",Q55="Good"),"BUY / PRIORITIZE",IF(AND(O55="High",P55="High",OR(Q55="Poor",M55=TRUE())),"HOLD / REVIEW","MONITOR"))</f>
        <v>MONITOR</v>
      </c>
      <c r="S55" s="11" t="n">
        <f aca="false">K55+(ROW()/10000000)</f>
        <v>21.0000055</v>
      </c>
    </row>
    <row r="56" customFormat="false" ht="15" hidden="false" customHeight="false" outlineLevel="0" collapsed="false">
      <c r="A56" s="11" t="s">
        <v>168</v>
      </c>
      <c r="B56" s="11" t="s">
        <v>8</v>
      </c>
      <c r="C56" s="11" t="s">
        <v>86</v>
      </c>
      <c r="D56" s="11" t="s">
        <v>36</v>
      </c>
      <c r="E56" s="11"/>
      <c r="F56" s="11" t="s">
        <v>82</v>
      </c>
      <c r="G56" s="21" t="n">
        <v>44.13</v>
      </c>
      <c r="H56" s="19" t="n">
        <v>50.9</v>
      </c>
      <c r="I56" s="21" t="n">
        <v>21.67</v>
      </c>
      <c r="J56" s="22" t="s">
        <v>80</v>
      </c>
      <c r="K56" s="11" t="n">
        <v>21</v>
      </c>
      <c r="L56" s="23" t="n">
        <v>3</v>
      </c>
      <c r="M56" s="24" t="b">
        <f aca="false">FALSE()</f>
        <v>0</v>
      </c>
      <c r="N56" s="11"/>
      <c r="O56" s="11" t="str">
        <f aca="false">IF(K56&lt;=StockP33,"Low",IF(K56&lt;=StockP67,"Moderate","High"))</f>
        <v>Moderate</v>
      </c>
      <c r="P56" s="11" t="str">
        <f aca="false">IF(H56=0,"Low",IF(H56&lt;=MarkdownP75,"Moderate","High"))</f>
        <v>High</v>
      </c>
      <c r="Q56" s="11" t="str">
        <f aca="false">IF(ISBLANK(L56),"Unknown",IF(L56&gt;=4,"Good",IF(L56&lt;=2,"Poor","Neutral")))</f>
        <v>Neutral</v>
      </c>
      <c r="R56" s="11" t="str">
        <f aca="false">IF(AND(O56="Low",P56="Low",Q56="Good"),"BUY / PRIORITIZE",IF(AND(O56="High",P56="High",OR(Q56="Poor",M56=TRUE())),"HOLD / REVIEW","MONITOR"))</f>
        <v>MONITOR</v>
      </c>
      <c r="S56" s="11" t="n">
        <f aca="false">K56+(ROW()/10000000)</f>
        <v>21.0000056</v>
      </c>
    </row>
    <row r="57" customFormat="false" ht="15" hidden="false" customHeight="false" outlineLevel="0" collapsed="false">
      <c r="A57" s="11" t="s">
        <v>169</v>
      </c>
      <c r="B57" s="11" t="s">
        <v>28</v>
      </c>
      <c r="C57" s="11" t="s">
        <v>116</v>
      </c>
      <c r="D57" s="11" t="s">
        <v>35</v>
      </c>
      <c r="E57" s="11" t="s">
        <v>91</v>
      </c>
      <c r="F57" s="11" t="s">
        <v>98</v>
      </c>
      <c r="G57" s="21" t="n">
        <v>121.29</v>
      </c>
      <c r="H57" s="19" t="n">
        <v>15.2</v>
      </c>
      <c r="I57" s="21" t="n">
        <v>102.85</v>
      </c>
      <c r="J57" s="22" t="s">
        <v>80</v>
      </c>
      <c r="K57" s="11" t="n">
        <v>42</v>
      </c>
      <c r="L57" s="23"/>
      <c r="M57" s="24" t="b">
        <f aca="false">FALSE()</f>
        <v>0</v>
      </c>
      <c r="N57" s="11"/>
      <c r="O57" s="11" t="str">
        <f aca="false">IF(K57&lt;=StockP33,"Low",IF(K57&lt;=StockP67,"Moderate","High"))</f>
        <v>High</v>
      </c>
      <c r="P57" s="11" t="str">
        <f aca="false">IF(H57=0,"Low",IF(H57&lt;=MarkdownP75,"Moderate","High"))</f>
        <v>Moderate</v>
      </c>
      <c r="Q57" s="11" t="str">
        <f aca="false">IF(ISBLANK(L57),"Unknown",IF(L57&gt;=4,"Good",IF(L57&lt;=2,"Poor","Neutral")))</f>
        <v>Unknown</v>
      </c>
      <c r="R57" s="11" t="str">
        <f aca="false">IF(AND(O57="Low",P57="Low",Q57="Good"),"BUY / PRIORITIZE",IF(AND(O57="High",P57="High",OR(Q57="Poor",M57=TRUE())),"HOLD / REVIEW","MONITOR"))</f>
        <v>MONITOR</v>
      </c>
      <c r="S57" s="11" t="n">
        <f aca="false">K57+(ROW()/10000000)</f>
        <v>42.0000057</v>
      </c>
    </row>
    <row r="58" customFormat="false" ht="15" hidden="false" customHeight="false" outlineLevel="0" collapsed="false">
      <c r="A58" s="11" t="s">
        <v>170</v>
      </c>
      <c r="B58" s="11" t="s">
        <v>30</v>
      </c>
      <c r="C58" s="11" t="s">
        <v>101</v>
      </c>
      <c r="D58" s="11" t="s">
        <v>34</v>
      </c>
      <c r="E58" s="11" t="s">
        <v>91</v>
      </c>
      <c r="F58" s="11" t="s">
        <v>111</v>
      </c>
      <c r="G58" s="21" t="n">
        <v>73.71</v>
      </c>
      <c r="H58" s="19" t="n">
        <v>0</v>
      </c>
      <c r="I58" s="21" t="n">
        <v>73.71</v>
      </c>
      <c r="J58" s="22" t="s">
        <v>171</v>
      </c>
      <c r="K58" s="11" t="n">
        <v>35</v>
      </c>
      <c r="L58" s="23" t="n">
        <v>3.9</v>
      </c>
      <c r="M58" s="24" t="b">
        <f aca="false">TRUE()</f>
        <v>1</v>
      </c>
      <c r="N58" s="11" t="s">
        <v>140</v>
      </c>
      <c r="O58" s="11" t="str">
        <f aca="false">IF(K58&lt;=StockP33,"Low",IF(K58&lt;=StockP67,"Moderate","High"))</f>
        <v>High</v>
      </c>
      <c r="P58" s="11" t="str">
        <f aca="false">IF(H58=0,"Low",IF(H58&lt;=MarkdownP75,"Moderate","High"))</f>
        <v>Low</v>
      </c>
      <c r="Q58" s="11" t="str">
        <f aca="false">IF(ISBLANK(L58),"Unknown",IF(L58&gt;=4,"Good",IF(L58&lt;=2,"Poor","Neutral")))</f>
        <v>Neutral</v>
      </c>
      <c r="R58" s="11" t="str">
        <f aca="false">IF(AND(O58="Low",P58="Low",Q58="Good"),"BUY / PRIORITIZE",IF(AND(O58="High",P58="High",OR(Q58="Poor",M58=TRUE())),"HOLD / REVIEW","MONITOR"))</f>
        <v>MONITOR</v>
      </c>
      <c r="S58" s="11" t="n">
        <f aca="false">K58+(ROW()/10000000)</f>
        <v>35.0000058</v>
      </c>
    </row>
    <row r="59" customFormat="false" ht="15" hidden="false" customHeight="false" outlineLevel="0" collapsed="false">
      <c r="A59" s="11" t="s">
        <v>172</v>
      </c>
      <c r="B59" s="11" t="s">
        <v>26</v>
      </c>
      <c r="C59" s="11" t="s">
        <v>72</v>
      </c>
      <c r="D59" s="11" t="s">
        <v>34</v>
      </c>
      <c r="E59" s="11" t="s">
        <v>73</v>
      </c>
      <c r="F59" s="11" t="s">
        <v>124</v>
      </c>
      <c r="G59" s="21" t="n">
        <v>84.07</v>
      </c>
      <c r="H59" s="19" t="n">
        <v>26.3</v>
      </c>
      <c r="I59" s="21" t="n">
        <v>61.96</v>
      </c>
      <c r="J59" s="22" t="s">
        <v>173</v>
      </c>
      <c r="K59" s="11" t="n">
        <v>19</v>
      </c>
      <c r="L59" s="23" t="n">
        <v>2.3</v>
      </c>
      <c r="M59" s="24" t="b">
        <f aca="false">TRUE()</f>
        <v>1</v>
      </c>
      <c r="N59" s="11" t="s">
        <v>128</v>
      </c>
      <c r="O59" s="11" t="str">
        <f aca="false">IF(K59&lt;=StockP33,"Low",IF(K59&lt;=StockP67,"Moderate","High"))</f>
        <v>Moderate</v>
      </c>
      <c r="P59" s="11" t="str">
        <f aca="false">IF(H59=0,"Low",IF(H59&lt;=MarkdownP75,"Moderate","High"))</f>
        <v>High</v>
      </c>
      <c r="Q59" s="11" t="str">
        <f aca="false">IF(ISBLANK(L59),"Unknown",IF(L59&gt;=4,"Good",IF(L59&lt;=2,"Poor","Neutral")))</f>
        <v>Neutral</v>
      </c>
      <c r="R59" s="11" t="str">
        <f aca="false">IF(AND(O59="Low",P59="Low",Q59="Good"),"BUY / PRIORITIZE",IF(AND(O59="High",P59="High",OR(Q59="Poor",M59=TRUE())),"HOLD / REVIEW","MONITOR"))</f>
        <v>MONITOR</v>
      </c>
      <c r="S59" s="11" t="n">
        <f aca="false">K59+(ROW()/10000000)</f>
        <v>19.0000059</v>
      </c>
    </row>
    <row r="60" customFormat="false" ht="15" hidden="false" customHeight="false" outlineLevel="0" collapsed="false">
      <c r="A60" s="11" t="s">
        <v>174</v>
      </c>
      <c r="B60" s="11" t="s">
        <v>30</v>
      </c>
      <c r="C60" s="11" t="s">
        <v>95</v>
      </c>
      <c r="D60" s="11" t="s">
        <v>35</v>
      </c>
      <c r="E60" s="11" t="s">
        <v>110</v>
      </c>
      <c r="F60" s="11" t="s">
        <v>82</v>
      </c>
      <c r="G60" s="21" t="n">
        <v>28.59</v>
      </c>
      <c r="H60" s="19" t="n">
        <v>0</v>
      </c>
      <c r="I60" s="21" t="n">
        <v>28.59</v>
      </c>
      <c r="J60" s="22" t="s">
        <v>80</v>
      </c>
      <c r="K60" s="11" t="n">
        <v>39</v>
      </c>
      <c r="L60" s="23" t="n">
        <v>1.4</v>
      </c>
      <c r="M60" s="24" t="b">
        <f aca="false">FALSE()</f>
        <v>0</v>
      </c>
      <c r="N60" s="11"/>
      <c r="O60" s="11" t="str">
        <f aca="false">IF(K60&lt;=StockP33,"Low",IF(K60&lt;=StockP67,"Moderate","High"))</f>
        <v>High</v>
      </c>
      <c r="P60" s="11" t="str">
        <f aca="false">IF(H60=0,"Low",IF(H60&lt;=MarkdownP75,"Moderate","High"))</f>
        <v>Low</v>
      </c>
      <c r="Q60" s="11" t="str">
        <f aca="false">IF(ISBLANK(L60),"Unknown",IF(L60&gt;=4,"Good",IF(L60&lt;=2,"Poor","Neutral")))</f>
        <v>Poor</v>
      </c>
      <c r="R60" s="11" t="str">
        <f aca="false">IF(AND(O60="Low",P60="Low",Q60="Good"),"BUY / PRIORITIZE",IF(AND(O60="High",P60="High",OR(Q60="Poor",M60=TRUE())),"HOLD / REVIEW","MONITOR"))</f>
        <v>MONITOR</v>
      </c>
      <c r="S60" s="11" t="n">
        <f aca="false">K60+(ROW()/10000000)</f>
        <v>39.000006</v>
      </c>
    </row>
    <row r="61" customFormat="false" ht="15" hidden="false" customHeight="false" outlineLevel="0" collapsed="false">
      <c r="A61" s="11" t="s">
        <v>175</v>
      </c>
      <c r="B61" s="11" t="s">
        <v>29</v>
      </c>
      <c r="C61" s="11" t="s">
        <v>95</v>
      </c>
      <c r="D61" s="11" t="s">
        <v>37</v>
      </c>
      <c r="E61" s="11" t="s">
        <v>102</v>
      </c>
      <c r="F61" s="11" t="s">
        <v>96</v>
      </c>
      <c r="G61" s="21" t="n">
        <v>166.49</v>
      </c>
      <c r="H61" s="19" t="n">
        <v>2.6</v>
      </c>
      <c r="I61" s="21" t="n">
        <v>162.16</v>
      </c>
      <c r="J61" s="22" t="s">
        <v>80</v>
      </c>
      <c r="K61" s="11" t="n">
        <v>27</v>
      </c>
      <c r="L61" s="23"/>
      <c r="M61" s="24" t="b">
        <f aca="false">FALSE()</f>
        <v>0</v>
      </c>
      <c r="N61" s="11"/>
      <c r="O61" s="11" t="str">
        <f aca="false">IF(K61&lt;=StockP33,"Low",IF(K61&lt;=StockP67,"Moderate","High"))</f>
        <v>Moderate</v>
      </c>
      <c r="P61" s="11" t="str">
        <f aca="false">IF(H61=0,"Low",IF(H61&lt;=MarkdownP75,"Moderate","High"))</f>
        <v>Moderate</v>
      </c>
      <c r="Q61" s="11" t="str">
        <f aca="false">IF(ISBLANK(L61),"Unknown",IF(L61&gt;=4,"Good",IF(L61&lt;=2,"Poor","Neutral")))</f>
        <v>Unknown</v>
      </c>
      <c r="R61" s="11" t="str">
        <f aca="false">IF(AND(O61="Low",P61="Low",Q61="Good"),"BUY / PRIORITIZE",IF(AND(O61="High",P61="High",OR(Q61="Poor",M61=TRUE())),"HOLD / REVIEW","MONITOR"))</f>
        <v>MONITOR</v>
      </c>
      <c r="S61" s="11" t="n">
        <f aca="false">K61+(ROW()/10000000)</f>
        <v>27.0000061</v>
      </c>
    </row>
    <row r="62" customFormat="false" ht="15" hidden="false" customHeight="false" outlineLevel="0" collapsed="false">
      <c r="A62" s="11" t="s">
        <v>176</v>
      </c>
      <c r="B62" s="11" t="s">
        <v>29</v>
      </c>
      <c r="C62" s="11" t="s">
        <v>107</v>
      </c>
      <c r="D62" s="11" t="s">
        <v>35</v>
      </c>
      <c r="E62" s="11" t="s">
        <v>113</v>
      </c>
      <c r="F62" s="11" t="s">
        <v>88</v>
      </c>
      <c r="G62" s="21" t="n">
        <v>145.95</v>
      </c>
      <c r="H62" s="19" t="n">
        <v>6.6</v>
      </c>
      <c r="I62" s="21" t="n">
        <v>136.32</v>
      </c>
      <c r="J62" s="22" t="s">
        <v>80</v>
      </c>
      <c r="K62" s="11" t="n">
        <v>15</v>
      </c>
      <c r="L62" s="23" t="n">
        <v>4</v>
      </c>
      <c r="M62" s="24" t="b">
        <f aca="false">FALSE()</f>
        <v>0</v>
      </c>
      <c r="N62" s="11"/>
      <c r="O62" s="11" t="str">
        <f aca="false">IF(K62&lt;=StockP33,"Low",IF(K62&lt;=StockP67,"Moderate","High"))</f>
        <v>Low</v>
      </c>
      <c r="P62" s="11" t="str">
        <f aca="false">IF(H62=0,"Low",IF(H62&lt;=MarkdownP75,"Moderate","High"))</f>
        <v>Moderate</v>
      </c>
      <c r="Q62" s="11" t="str">
        <f aca="false">IF(ISBLANK(L62),"Unknown",IF(L62&gt;=4,"Good",IF(L62&lt;=2,"Poor","Neutral")))</f>
        <v>Good</v>
      </c>
      <c r="R62" s="11" t="str">
        <f aca="false">IF(AND(O62="Low",P62="Low",Q62="Good"),"BUY / PRIORITIZE",IF(AND(O62="High",P62="High",OR(Q62="Poor",M62=TRUE())),"HOLD / REVIEW","MONITOR"))</f>
        <v>MONITOR</v>
      </c>
      <c r="S62" s="11" t="n">
        <f aca="false">K62+(ROW()/10000000)</f>
        <v>15.0000062</v>
      </c>
    </row>
    <row r="63" customFormat="false" ht="15" hidden="false" customHeight="false" outlineLevel="0" collapsed="false">
      <c r="A63" s="11" t="s">
        <v>177</v>
      </c>
      <c r="B63" s="11" t="s">
        <v>28</v>
      </c>
      <c r="C63" s="11" t="s">
        <v>116</v>
      </c>
      <c r="D63" s="11" t="s">
        <v>36</v>
      </c>
      <c r="E63" s="11" t="s">
        <v>113</v>
      </c>
      <c r="F63" s="11" t="s">
        <v>120</v>
      </c>
      <c r="G63" s="21" t="n">
        <v>218.42</v>
      </c>
      <c r="H63" s="19" t="n">
        <v>0</v>
      </c>
      <c r="I63" s="21" t="n">
        <v>218.42</v>
      </c>
      <c r="J63" s="22" t="s">
        <v>80</v>
      </c>
      <c r="K63" s="11" t="n">
        <v>33</v>
      </c>
      <c r="L63" s="23" t="n">
        <v>4.4</v>
      </c>
      <c r="M63" s="24" t="b">
        <f aca="false">TRUE()</f>
        <v>1</v>
      </c>
      <c r="N63" s="11" t="s">
        <v>178</v>
      </c>
      <c r="O63" s="11" t="str">
        <f aca="false">IF(K63&lt;=StockP33,"Low",IF(K63&lt;=StockP67,"Moderate","High"))</f>
        <v>Moderate</v>
      </c>
      <c r="P63" s="11" t="str">
        <f aca="false">IF(H63=0,"Low",IF(H63&lt;=MarkdownP75,"Moderate","High"))</f>
        <v>Low</v>
      </c>
      <c r="Q63" s="11" t="str">
        <f aca="false">IF(ISBLANK(L63),"Unknown",IF(L63&gt;=4,"Good",IF(L63&lt;=2,"Poor","Neutral")))</f>
        <v>Good</v>
      </c>
      <c r="R63" s="11" t="str">
        <f aca="false">IF(AND(O63="Low",P63="Low",Q63="Good"),"BUY / PRIORITIZE",IF(AND(O63="High",P63="High",OR(Q63="Poor",M63=TRUE())),"HOLD / REVIEW","MONITOR"))</f>
        <v>MONITOR</v>
      </c>
      <c r="S63" s="11" t="n">
        <f aca="false">K63+(ROW()/10000000)</f>
        <v>33.0000063</v>
      </c>
    </row>
    <row r="64" customFormat="false" ht="15" hidden="false" customHeight="false" outlineLevel="0" collapsed="false">
      <c r="A64" s="11" t="s">
        <v>179</v>
      </c>
      <c r="B64" s="11" t="s">
        <v>8</v>
      </c>
      <c r="C64" s="11" t="s">
        <v>130</v>
      </c>
      <c r="D64" s="11" t="s">
        <v>37</v>
      </c>
      <c r="E64" s="11"/>
      <c r="F64" s="11" t="s">
        <v>88</v>
      </c>
      <c r="G64" s="21" t="n">
        <v>46.17</v>
      </c>
      <c r="H64" s="19" t="n">
        <v>1.1</v>
      </c>
      <c r="I64" s="21" t="n">
        <v>45.66</v>
      </c>
      <c r="J64" s="22" t="s">
        <v>80</v>
      </c>
      <c r="K64" s="11" t="n">
        <v>30</v>
      </c>
      <c r="L64" s="23" t="n">
        <v>1.9</v>
      </c>
      <c r="M64" s="24" t="b">
        <f aca="false">FALSE()</f>
        <v>0</v>
      </c>
      <c r="N64" s="11"/>
      <c r="O64" s="11" t="str">
        <f aca="false">IF(K64&lt;=StockP33,"Low",IF(K64&lt;=StockP67,"Moderate","High"))</f>
        <v>Moderate</v>
      </c>
      <c r="P64" s="11" t="str">
        <f aca="false">IF(H64=0,"Low",IF(H64&lt;=MarkdownP75,"Moderate","High"))</f>
        <v>Moderate</v>
      </c>
      <c r="Q64" s="11" t="str">
        <f aca="false">IF(ISBLANK(L64),"Unknown",IF(L64&gt;=4,"Good",IF(L64&lt;=2,"Poor","Neutral")))</f>
        <v>Poor</v>
      </c>
      <c r="R64" s="11" t="str">
        <f aca="false">IF(AND(O64="Low",P64="Low",Q64="Good"),"BUY / PRIORITIZE",IF(AND(O64="High",P64="High",OR(Q64="Poor",M64=TRUE())),"HOLD / REVIEW","MONITOR"))</f>
        <v>MONITOR</v>
      </c>
      <c r="S64" s="11" t="n">
        <f aca="false">K64+(ROW()/10000000)</f>
        <v>30.0000064</v>
      </c>
    </row>
    <row r="65" customFormat="false" ht="15" hidden="false" customHeight="false" outlineLevel="0" collapsed="false">
      <c r="A65" s="11" t="s">
        <v>180</v>
      </c>
      <c r="B65" s="11" t="s">
        <v>29</v>
      </c>
      <c r="C65" s="11" t="s">
        <v>101</v>
      </c>
      <c r="D65" s="11" t="s">
        <v>35</v>
      </c>
      <c r="E65" s="11"/>
      <c r="F65" s="11" t="s">
        <v>98</v>
      </c>
      <c r="G65" s="21" t="n">
        <v>106.18</v>
      </c>
      <c r="H65" s="19" t="n">
        <v>18</v>
      </c>
      <c r="I65" s="21" t="n">
        <v>87.07</v>
      </c>
      <c r="J65" s="22" t="s">
        <v>80</v>
      </c>
      <c r="K65" s="11" t="n">
        <v>11</v>
      </c>
      <c r="L65" s="23" t="n">
        <v>4.5</v>
      </c>
      <c r="M65" s="24" t="b">
        <f aca="false">FALSE()</f>
        <v>0</v>
      </c>
      <c r="N65" s="11"/>
      <c r="O65" s="11" t="str">
        <f aca="false">IF(K65&lt;=StockP33,"Low",IF(K65&lt;=StockP67,"Moderate","High"))</f>
        <v>Low</v>
      </c>
      <c r="P65" s="11" t="str">
        <f aca="false">IF(H65=0,"Low",IF(H65&lt;=MarkdownP75,"Moderate","High"))</f>
        <v>Moderate</v>
      </c>
      <c r="Q65" s="11" t="str">
        <f aca="false">IF(ISBLANK(L65),"Unknown",IF(L65&gt;=4,"Good",IF(L65&lt;=2,"Poor","Neutral")))</f>
        <v>Good</v>
      </c>
      <c r="R65" s="11" t="str">
        <f aca="false">IF(AND(O65="Low",P65="Low",Q65="Good"),"BUY / PRIORITIZE",IF(AND(O65="High",P65="High",OR(Q65="Poor",M65=TRUE())),"HOLD / REVIEW","MONITOR"))</f>
        <v>MONITOR</v>
      </c>
      <c r="S65" s="11" t="n">
        <f aca="false">K65+(ROW()/10000000)</f>
        <v>11.0000065</v>
      </c>
    </row>
    <row r="66" customFormat="false" ht="15" hidden="false" customHeight="false" outlineLevel="0" collapsed="false">
      <c r="A66" s="11" t="s">
        <v>181</v>
      </c>
      <c r="B66" s="11" t="s">
        <v>30</v>
      </c>
      <c r="C66" s="11" t="s">
        <v>72</v>
      </c>
      <c r="D66" s="11" t="s">
        <v>37</v>
      </c>
      <c r="E66" s="11" t="s">
        <v>110</v>
      </c>
      <c r="F66" s="11" t="s">
        <v>92</v>
      </c>
      <c r="G66" s="21" t="n">
        <v>93.33</v>
      </c>
      <c r="H66" s="19" t="n">
        <v>2.4</v>
      </c>
      <c r="I66" s="21" t="n">
        <v>91.09</v>
      </c>
      <c r="J66" s="22" t="s">
        <v>80</v>
      </c>
      <c r="K66" s="11" t="n">
        <v>20</v>
      </c>
      <c r="L66" s="23" t="n">
        <v>4.2</v>
      </c>
      <c r="M66" s="24" t="b">
        <f aca="false">FALSE()</f>
        <v>0</v>
      </c>
      <c r="N66" s="11"/>
      <c r="O66" s="11" t="str">
        <f aca="false">IF(K66&lt;=StockP33,"Low",IF(K66&lt;=StockP67,"Moderate","High"))</f>
        <v>Moderate</v>
      </c>
      <c r="P66" s="11" t="str">
        <f aca="false">IF(H66=0,"Low",IF(H66&lt;=MarkdownP75,"Moderate","High"))</f>
        <v>Moderate</v>
      </c>
      <c r="Q66" s="11" t="str">
        <f aca="false">IF(ISBLANK(L66),"Unknown",IF(L66&gt;=4,"Good",IF(L66&lt;=2,"Poor","Neutral")))</f>
        <v>Good</v>
      </c>
      <c r="R66" s="11" t="str">
        <f aca="false">IF(AND(O66="Low",P66="Low",Q66="Good"),"BUY / PRIORITIZE",IF(AND(O66="High",P66="High",OR(Q66="Poor",M66=TRUE())),"HOLD / REVIEW","MONITOR"))</f>
        <v>MONITOR</v>
      </c>
      <c r="S66" s="11" t="n">
        <f aca="false">K66+(ROW()/10000000)</f>
        <v>20.0000066</v>
      </c>
    </row>
    <row r="67" customFormat="false" ht="15" hidden="false" customHeight="false" outlineLevel="0" collapsed="false">
      <c r="A67" s="11" t="s">
        <v>182</v>
      </c>
      <c r="B67" s="11" t="s">
        <v>26</v>
      </c>
      <c r="C67" s="11" t="s">
        <v>95</v>
      </c>
      <c r="D67" s="11" t="s">
        <v>34</v>
      </c>
      <c r="E67" s="11" t="s">
        <v>110</v>
      </c>
      <c r="F67" s="11" t="s">
        <v>88</v>
      </c>
      <c r="G67" s="21" t="n">
        <v>86.54</v>
      </c>
      <c r="H67" s="19" t="n">
        <v>21.7</v>
      </c>
      <c r="I67" s="21" t="n">
        <v>67.76</v>
      </c>
      <c r="J67" s="22" t="s">
        <v>183</v>
      </c>
      <c r="K67" s="11" t="n">
        <v>21</v>
      </c>
      <c r="L67" s="23" t="n">
        <v>3.6</v>
      </c>
      <c r="M67" s="24" t="b">
        <f aca="false">TRUE()</f>
        <v>1</v>
      </c>
      <c r="N67" s="11" t="s">
        <v>178</v>
      </c>
      <c r="O67" s="11" t="str">
        <f aca="false">IF(K67&lt;=StockP33,"Low",IF(K67&lt;=StockP67,"Moderate","High"))</f>
        <v>Moderate</v>
      </c>
      <c r="P67" s="11" t="str">
        <f aca="false">IF(H67=0,"Low",IF(H67&lt;=MarkdownP75,"Moderate","High"))</f>
        <v>Moderate</v>
      </c>
      <c r="Q67" s="11" t="str">
        <f aca="false">IF(ISBLANK(L67),"Unknown",IF(L67&gt;=4,"Good",IF(L67&lt;=2,"Poor","Neutral")))</f>
        <v>Neutral</v>
      </c>
      <c r="R67" s="11" t="str">
        <f aca="false">IF(AND(O67="Low",P67="Low",Q67="Good"),"BUY / PRIORITIZE",IF(AND(O67="High",P67="High",OR(Q67="Poor",M67=TRUE())),"HOLD / REVIEW","MONITOR"))</f>
        <v>MONITOR</v>
      </c>
      <c r="S67" s="11" t="n">
        <f aca="false">K67+(ROW()/10000000)</f>
        <v>21.0000067</v>
      </c>
    </row>
    <row r="68" customFormat="false" ht="15" hidden="false" customHeight="false" outlineLevel="0" collapsed="false">
      <c r="A68" s="11" t="s">
        <v>184</v>
      </c>
      <c r="B68" s="11" t="s">
        <v>8</v>
      </c>
      <c r="C68" s="11" t="s">
        <v>107</v>
      </c>
      <c r="D68" s="11" t="s">
        <v>35</v>
      </c>
      <c r="E68" s="11"/>
      <c r="F68" s="11" t="s">
        <v>98</v>
      </c>
      <c r="G68" s="21" t="n">
        <v>55.57</v>
      </c>
      <c r="H68" s="19" t="n">
        <v>0</v>
      </c>
      <c r="I68" s="21" t="n">
        <v>55.57</v>
      </c>
      <c r="J68" s="22" t="s">
        <v>80</v>
      </c>
      <c r="K68" s="11" t="n">
        <v>44</v>
      </c>
      <c r="L68" s="23" t="n">
        <v>3.8</v>
      </c>
      <c r="M68" s="24" t="b">
        <f aca="false">FALSE()</f>
        <v>0</v>
      </c>
      <c r="N68" s="11"/>
      <c r="O68" s="11" t="str">
        <f aca="false">IF(K68&lt;=StockP33,"Low",IF(K68&lt;=StockP67,"Moderate","High"))</f>
        <v>High</v>
      </c>
      <c r="P68" s="11" t="str">
        <f aca="false">IF(H68=0,"Low",IF(H68&lt;=MarkdownP75,"Moderate","High"))</f>
        <v>Low</v>
      </c>
      <c r="Q68" s="11" t="str">
        <f aca="false">IF(ISBLANK(L68),"Unknown",IF(L68&gt;=4,"Good",IF(L68&lt;=2,"Poor","Neutral")))</f>
        <v>Neutral</v>
      </c>
      <c r="R68" s="11" t="str">
        <f aca="false">IF(AND(O68="Low",P68="Low",Q68="Good"),"BUY / PRIORITIZE",IF(AND(O68="High",P68="High",OR(Q68="Poor",M68=TRUE())),"HOLD / REVIEW","MONITOR"))</f>
        <v>MONITOR</v>
      </c>
      <c r="S68" s="11" t="n">
        <f aca="false">K68+(ROW()/10000000)</f>
        <v>44.0000068</v>
      </c>
    </row>
    <row r="69" customFormat="false" ht="15" hidden="false" customHeight="false" outlineLevel="0" collapsed="false">
      <c r="A69" s="11" t="s">
        <v>185</v>
      </c>
      <c r="B69" s="11" t="s">
        <v>30</v>
      </c>
      <c r="C69" s="11" t="s">
        <v>130</v>
      </c>
      <c r="D69" s="11" t="s">
        <v>34</v>
      </c>
      <c r="E69" s="11" t="s">
        <v>73</v>
      </c>
      <c r="F69" s="11" t="s">
        <v>82</v>
      </c>
      <c r="G69" s="21" t="n">
        <v>76.5</v>
      </c>
      <c r="H69" s="19" t="n">
        <v>0</v>
      </c>
      <c r="I69" s="21" t="n">
        <v>76.5</v>
      </c>
      <c r="J69" s="22" t="s">
        <v>186</v>
      </c>
      <c r="K69" s="11" t="n">
        <v>17</v>
      </c>
      <c r="L69" s="23" t="n">
        <v>4.6</v>
      </c>
      <c r="M69" s="24" t="b">
        <f aca="false">FALSE()</f>
        <v>0</v>
      </c>
      <c r="N69" s="11"/>
      <c r="O69" s="11" t="str">
        <f aca="false">IF(K69&lt;=StockP33,"Low",IF(K69&lt;=StockP67,"Moderate","High"))</f>
        <v>Low</v>
      </c>
      <c r="P69" s="11" t="str">
        <f aca="false">IF(H69=0,"Low",IF(H69&lt;=MarkdownP75,"Moderate","High"))</f>
        <v>Low</v>
      </c>
      <c r="Q69" s="11" t="str">
        <f aca="false">IF(ISBLANK(L69),"Unknown",IF(L69&gt;=4,"Good",IF(L69&lt;=2,"Poor","Neutral")))</f>
        <v>Good</v>
      </c>
      <c r="R69" s="11" t="str">
        <f aca="false">IF(AND(O69="Low",P69="Low",Q69="Good"),"BUY / PRIORITIZE",IF(AND(O69="High",P69="High",OR(Q69="Poor",M69=TRUE())),"HOLD / REVIEW","MONITOR"))</f>
        <v>BUY / PRIORITIZE</v>
      </c>
      <c r="S69" s="11" t="n">
        <f aca="false">K69+(ROW()/10000000)</f>
        <v>17.0000069</v>
      </c>
    </row>
    <row r="70" customFormat="false" ht="15" hidden="false" customHeight="false" outlineLevel="0" collapsed="false">
      <c r="A70" s="11" t="s">
        <v>187</v>
      </c>
      <c r="B70" s="11" t="s">
        <v>27</v>
      </c>
      <c r="C70" s="11" t="s">
        <v>130</v>
      </c>
      <c r="D70" s="11" t="s">
        <v>34</v>
      </c>
      <c r="E70" s="11" t="s">
        <v>110</v>
      </c>
      <c r="F70" s="11" t="s">
        <v>98</v>
      </c>
      <c r="G70" s="21" t="n">
        <v>137.19</v>
      </c>
      <c r="H70" s="19" t="n">
        <v>9.5</v>
      </c>
      <c r="I70" s="21" t="n">
        <v>124.16</v>
      </c>
      <c r="J70" s="22" t="s">
        <v>188</v>
      </c>
      <c r="K70" s="11" t="n">
        <v>17</v>
      </c>
      <c r="L70" s="23"/>
      <c r="M70" s="24" t="b">
        <f aca="false">FALSE()</f>
        <v>0</v>
      </c>
      <c r="N70" s="11"/>
      <c r="O70" s="11" t="str">
        <f aca="false">IF(K70&lt;=StockP33,"Low",IF(K70&lt;=StockP67,"Moderate","High"))</f>
        <v>Low</v>
      </c>
      <c r="P70" s="11" t="str">
        <f aca="false">IF(H70=0,"Low",IF(H70&lt;=MarkdownP75,"Moderate","High"))</f>
        <v>Moderate</v>
      </c>
      <c r="Q70" s="11" t="str">
        <f aca="false">IF(ISBLANK(L70),"Unknown",IF(L70&gt;=4,"Good",IF(L70&lt;=2,"Poor","Neutral")))</f>
        <v>Unknown</v>
      </c>
      <c r="R70" s="11" t="str">
        <f aca="false">IF(AND(O70="Low",P70="Low",Q70="Good"),"BUY / PRIORITIZE",IF(AND(O70="High",P70="High",OR(Q70="Poor",M70=TRUE())),"HOLD / REVIEW","MONITOR"))</f>
        <v>MONITOR</v>
      </c>
      <c r="S70" s="11" t="n">
        <f aca="false">K70+(ROW()/10000000)</f>
        <v>17.000007</v>
      </c>
    </row>
    <row r="71" customFormat="false" ht="15" hidden="false" customHeight="false" outlineLevel="0" collapsed="false">
      <c r="A71" s="11" t="s">
        <v>189</v>
      </c>
      <c r="B71" s="11" t="s">
        <v>30</v>
      </c>
      <c r="C71" s="11" t="s">
        <v>72</v>
      </c>
      <c r="D71" s="11" t="s">
        <v>35</v>
      </c>
      <c r="E71" s="11" t="s">
        <v>73</v>
      </c>
      <c r="F71" s="11" t="s">
        <v>120</v>
      </c>
      <c r="G71" s="21" t="n">
        <v>48.92</v>
      </c>
      <c r="H71" s="19" t="n">
        <v>19.8</v>
      </c>
      <c r="I71" s="21" t="n">
        <v>39.23</v>
      </c>
      <c r="J71" s="22" t="s">
        <v>80</v>
      </c>
      <c r="K71" s="11" t="n">
        <v>17</v>
      </c>
      <c r="L71" s="23" t="n">
        <v>2.6</v>
      </c>
      <c r="M71" s="24" t="b">
        <f aca="false">FALSE()</f>
        <v>0</v>
      </c>
      <c r="N71" s="11"/>
      <c r="O71" s="11" t="str">
        <f aca="false">IF(K71&lt;=StockP33,"Low",IF(K71&lt;=StockP67,"Moderate","High"))</f>
        <v>Low</v>
      </c>
      <c r="P71" s="11" t="str">
        <f aca="false">IF(H71=0,"Low",IF(H71&lt;=MarkdownP75,"Moderate","High"))</f>
        <v>Moderate</v>
      </c>
      <c r="Q71" s="11" t="str">
        <f aca="false">IF(ISBLANK(L71),"Unknown",IF(L71&gt;=4,"Good",IF(L71&lt;=2,"Poor","Neutral")))</f>
        <v>Neutral</v>
      </c>
      <c r="R71" s="11" t="str">
        <f aca="false">IF(AND(O71="Low",P71="Low",Q71="Good"),"BUY / PRIORITIZE",IF(AND(O71="High",P71="High",OR(Q71="Poor",M71=TRUE())),"HOLD / REVIEW","MONITOR"))</f>
        <v>MONITOR</v>
      </c>
      <c r="S71" s="11" t="n">
        <f aca="false">K71+(ROW()/10000000)</f>
        <v>17.0000071</v>
      </c>
    </row>
    <row r="72" customFormat="false" ht="15" hidden="false" customHeight="false" outlineLevel="0" collapsed="false">
      <c r="A72" s="11" t="s">
        <v>190</v>
      </c>
      <c r="B72" s="11" t="s">
        <v>29</v>
      </c>
      <c r="C72" s="11" t="s">
        <v>107</v>
      </c>
      <c r="D72" s="11" t="s">
        <v>37</v>
      </c>
      <c r="E72" s="11" t="s">
        <v>73</v>
      </c>
      <c r="F72" s="11" t="s">
        <v>88</v>
      </c>
      <c r="G72" s="21" t="n">
        <v>69.82</v>
      </c>
      <c r="H72" s="19" t="n">
        <v>0</v>
      </c>
      <c r="I72" s="21" t="n">
        <v>69.82</v>
      </c>
      <c r="J72" s="22" t="s">
        <v>80</v>
      </c>
      <c r="K72" s="11" t="n">
        <v>46</v>
      </c>
      <c r="L72" s="23"/>
      <c r="M72" s="24" t="b">
        <f aca="false">TRUE()</f>
        <v>1</v>
      </c>
      <c r="N72" s="11" t="s">
        <v>191</v>
      </c>
      <c r="O72" s="11" t="str">
        <f aca="false">IF(K72&lt;=StockP33,"Low",IF(K72&lt;=StockP67,"Moderate","High"))</f>
        <v>High</v>
      </c>
      <c r="P72" s="11" t="str">
        <f aca="false">IF(H72=0,"Low",IF(H72&lt;=MarkdownP75,"Moderate","High"))</f>
        <v>Low</v>
      </c>
      <c r="Q72" s="11" t="str">
        <f aca="false">IF(ISBLANK(L72),"Unknown",IF(L72&gt;=4,"Good",IF(L72&lt;=2,"Poor","Neutral")))</f>
        <v>Unknown</v>
      </c>
      <c r="R72" s="11" t="str">
        <f aca="false">IF(AND(O72="Low",P72="Low",Q72="Good"),"BUY / PRIORITIZE",IF(AND(O72="High",P72="High",OR(Q72="Poor",M72=TRUE())),"HOLD / REVIEW","MONITOR"))</f>
        <v>MONITOR</v>
      </c>
      <c r="S72" s="11" t="n">
        <f aca="false">K72+(ROW()/10000000)</f>
        <v>46.0000072</v>
      </c>
    </row>
    <row r="73" customFormat="false" ht="15" hidden="false" customHeight="false" outlineLevel="0" collapsed="false">
      <c r="A73" s="11" t="s">
        <v>192</v>
      </c>
      <c r="B73" s="11" t="s">
        <v>28</v>
      </c>
      <c r="C73" s="11" t="s">
        <v>95</v>
      </c>
      <c r="D73" s="11" t="s">
        <v>35</v>
      </c>
      <c r="E73" s="11" t="s">
        <v>102</v>
      </c>
      <c r="F73" s="11" t="s">
        <v>74</v>
      </c>
      <c r="G73" s="21" t="n">
        <v>199.39</v>
      </c>
      <c r="H73" s="19" t="n">
        <v>7.4</v>
      </c>
      <c r="I73" s="21" t="n">
        <v>184.64</v>
      </c>
      <c r="J73" s="22" t="s">
        <v>80</v>
      </c>
      <c r="K73" s="11" t="n">
        <v>49</v>
      </c>
      <c r="L73" s="23"/>
      <c r="M73" s="24" t="b">
        <f aca="false">FALSE()</f>
        <v>0</v>
      </c>
      <c r="N73" s="11"/>
      <c r="O73" s="11" t="str">
        <f aca="false">IF(K73&lt;=StockP33,"Low",IF(K73&lt;=StockP67,"Moderate","High"))</f>
        <v>High</v>
      </c>
      <c r="P73" s="11" t="str">
        <f aca="false">IF(H73=0,"Low",IF(H73&lt;=MarkdownP75,"Moderate","High"))</f>
        <v>Moderate</v>
      </c>
      <c r="Q73" s="11" t="str">
        <f aca="false">IF(ISBLANK(L73),"Unknown",IF(L73&gt;=4,"Good",IF(L73&lt;=2,"Poor","Neutral")))</f>
        <v>Unknown</v>
      </c>
      <c r="R73" s="11" t="str">
        <f aca="false">IF(AND(O73="Low",P73="Low",Q73="Good"),"BUY / PRIORITIZE",IF(AND(O73="High",P73="High",OR(Q73="Poor",M73=TRUE())),"HOLD / REVIEW","MONITOR"))</f>
        <v>MONITOR</v>
      </c>
      <c r="S73" s="11" t="n">
        <f aca="false">K73+(ROW()/10000000)</f>
        <v>49.0000073</v>
      </c>
    </row>
    <row r="74" customFormat="false" ht="15" hidden="false" customHeight="false" outlineLevel="0" collapsed="false">
      <c r="A74" s="11" t="s">
        <v>193</v>
      </c>
      <c r="B74" s="11" t="s">
        <v>28</v>
      </c>
      <c r="C74" s="11" t="s">
        <v>86</v>
      </c>
      <c r="D74" s="11" t="s">
        <v>35</v>
      </c>
      <c r="E74" s="11" t="s">
        <v>113</v>
      </c>
      <c r="F74" s="11" t="s">
        <v>88</v>
      </c>
      <c r="G74" s="21" t="n">
        <v>222.09</v>
      </c>
      <c r="H74" s="19" t="n">
        <v>55.2</v>
      </c>
      <c r="I74" s="21" t="n">
        <v>99.5</v>
      </c>
      <c r="J74" s="22" t="s">
        <v>80</v>
      </c>
      <c r="K74" s="11" t="n">
        <v>21</v>
      </c>
      <c r="L74" s="23" t="n">
        <v>4.5</v>
      </c>
      <c r="M74" s="24" t="b">
        <f aca="false">FALSE()</f>
        <v>0</v>
      </c>
      <c r="N74" s="11"/>
      <c r="O74" s="11" t="str">
        <f aca="false">IF(K74&lt;=StockP33,"Low",IF(K74&lt;=StockP67,"Moderate","High"))</f>
        <v>Moderate</v>
      </c>
      <c r="P74" s="11" t="str">
        <f aca="false">IF(H74=0,"Low",IF(H74&lt;=MarkdownP75,"Moderate","High"))</f>
        <v>High</v>
      </c>
      <c r="Q74" s="11" t="str">
        <f aca="false">IF(ISBLANK(L74),"Unknown",IF(L74&gt;=4,"Good",IF(L74&lt;=2,"Poor","Neutral")))</f>
        <v>Good</v>
      </c>
      <c r="R74" s="11" t="str">
        <f aca="false">IF(AND(O74="Low",P74="Low",Q74="Good"),"BUY / PRIORITIZE",IF(AND(O74="High",P74="High",OR(Q74="Poor",M74=TRUE())),"HOLD / REVIEW","MONITOR"))</f>
        <v>MONITOR</v>
      </c>
      <c r="S74" s="11" t="n">
        <f aca="false">K74+(ROW()/10000000)</f>
        <v>21.0000074</v>
      </c>
    </row>
    <row r="75" customFormat="false" ht="15" hidden="false" customHeight="false" outlineLevel="0" collapsed="false">
      <c r="A75" s="11" t="s">
        <v>194</v>
      </c>
      <c r="B75" s="11" t="s">
        <v>30</v>
      </c>
      <c r="C75" s="11" t="s">
        <v>95</v>
      </c>
      <c r="D75" s="11" t="s">
        <v>36</v>
      </c>
      <c r="E75" s="11" t="s">
        <v>110</v>
      </c>
      <c r="F75" s="11" t="s">
        <v>74</v>
      </c>
      <c r="G75" s="21" t="n">
        <v>112.86</v>
      </c>
      <c r="H75" s="19" t="n">
        <v>0</v>
      </c>
      <c r="I75" s="21" t="n">
        <v>112.86</v>
      </c>
      <c r="J75" s="22" t="s">
        <v>80</v>
      </c>
      <c r="K75" s="11" t="n">
        <v>8</v>
      </c>
      <c r="L75" s="23" t="n">
        <v>2.9</v>
      </c>
      <c r="M75" s="24" t="b">
        <f aca="false">FALSE()</f>
        <v>0</v>
      </c>
      <c r="N75" s="11"/>
      <c r="O75" s="11" t="str">
        <f aca="false">IF(K75&lt;=StockP33,"Low",IF(K75&lt;=StockP67,"Moderate","High"))</f>
        <v>Low</v>
      </c>
      <c r="P75" s="11" t="str">
        <f aca="false">IF(H75=0,"Low",IF(H75&lt;=MarkdownP75,"Moderate","High"))</f>
        <v>Low</v>
      </c>
      <c r="Q75" s="11" t="str">
        <f aca="false">IF(ISBLANK(L75),"Unknown",IF(L75&gt;=4,"Good",IF(L75&lt;=2,"Poor","Neutral")))</f>
        <v>Neutral</v>
      </c>
      <c r="R75" s="11" t="str">
        <f aca="false">IF(AND(O75="Low",P75="Low",Q75="Good"),"BUY / PRIORITIZE",IF(AND(O75="High",P75="High",OR(Q75="Poor",M75=TRUE())),"HOLD / REVIEW","MONITOR"))</f>
        <v>MONITOR</v>
      </c>
      <c r="S75" s="11" t="n">
        <f aca="false">K75+(ROW()/10000000)</f>
        <v>8.0000075</v>
      </c>
    </row>
    <row r="76" customFormat="false" ht="15" hidden="false" customHeight="false" outlineLevel="0" collapsed="false">
      <c r="A76" s="11" t="s">
        <v>195</v>
      </c>
      <c r="B76" s="11" t="s">
        <v>27</v>
      </c>
      <c r="C76" s="11" t="s">
        <v>95</v>
      </c>
      <c r="D76" s="11" t="s">
        <v>34</v>
      </c>
      <c r="E76" s="11" t="s">
        <v>110</v>
      </c>
      <c r="F76" s="11" t="s">
        <v>98</v>
      </c>
      <c r="G76" s="21" t="n">
        <v>100.96</v>
      </c>
      <c r="H76" s="19" t="n">
        <v>0</v>
      </c>
      <c r="I76" s="21" t="n">
        <v>100.96</v>
      </c>
      <c r="J76" s="22" t="s">
        <v>196</v>
      </c>
      <c r="K76" s="11" t="n">
        <v>32</v>
      </c>
      <c r="L76" s="23" t="n">
        <v>3.3</v>
      </c>
      <c r="M76" s="24" t="b">
        <f aca="false">FALSE()</f>
        <v>0</v>
      </c>
      <c r="N76" s="11"/>
      <c r="O76" s="11" t="str">
        <f aca="false">IF(K76&lt;=StockP33,"Low",IF(K76&lt;=StockP67,"Moderate","High"))</f>
        <v>Moderate</v>
      </c>
      <c r="P76" s="11" t="str">
        <f aca="false">IF(H76=0,"Low",IF(H76&lt;=MarkdownP75,"Moderate","High"))</f>
        <v>Low</v>
      </c>
      <c r="Q76" s="11" t="str">
        <f aca="false">IF(ISBLANK(L76),"Unknown",IF(L76&gt;=4,"Good",IF(L76&lt;=2,"Poor","Neutral")))</f>
        <v>Neutral</v>
      </c>
      <c r="R76" s="11" t="str">
        <f aca="false">IF(AND(O76="Low",P76="Low",Q76="Good"),"BUY / PRIORITIZE",IF(AND(O76="High",P76="High",OR(Q76="Poor",M76=TRUE())),"HOLD / REVIEW","MONITOR"))</f>
        <v>MONITOR</v>
      </c>
      <c r="S76" s="11" t="n">
        <f aca="false">K76+(ROW()/10000000)</f>
        <v>32.0000076</v>
      </c>
    </row>
    <row r="77" customFormat="false" ht="15" hidden="false" customHeight="false" outlineLevel="0" collapsed="false">
      <c r="A77" s="11" t="s">
        <v>197</v>
      </c>
      <c r="B77" s="11" t="s">
        <v>28</v>
      </c>
      <c r="C77" s="11" t="s">
        <v>116</v>
      </c>
      <c r="D77" s="11" t="s">
        <v>34</v>
      </c>
      <c r="E77" s="11" t="s">
        <v>73</v>
      </c>
      <c r="F77" s="11" t="s">
        <v>98</v>
      </c>
      <c r="G77" s="21" t="n">
        <v>243.56</v>
      </c>
      <c r="H77" s="19" t="n">
        <v>48</v>
      </c>
      <c r="I77" s="21" t="n">
        <v>126.65</v>
      </c>
      <c r="J77" s="22" t="s">
        <v>198</v>
      </c>
      <c r="K77" s="11" t="n">
        <v>22</v>
      </c>
      <c r="L77" s="23" t="n">
        <v>4.4</v>
      </c>
      <c r="M77" s="24" t="b">
        <f aca="false">TRUE()</f>
        <v>1</v>
      </c>
      <c r="N77" s="11" t="s">
        <v>178</v>
      </c>
      <c r="O77" s="11" t="str">
        <f aca="false">IF(K77&lt;=StockP33,"Low",IF(K77&lt;=StockP67,"Moderate","High"))</f>
        <v>Moderate</v>
      </c>
      <c r="P77" s="11" t="str">
        <f aca="false">IF(H77=0,"Low",IF(H77&lt;=MarkdownP75,"Moderate","High"))</f>
        <v>High</v>
      </c>
      <c r="Q77" s="11" t="str">
        <f aca="false">IF(ISBLANK(L77),"Unknown",IF(L77&gt;=4,"Good",IF(L77&lt;=2,"Poor","Neutral")))</f>
        <v>Good</v>
      </c>
      <c r="R77" s="11" t="str">
        <f aca="false">IF(AND(O77="Low",P77="Low",Q77="Good"),"BUY / PRIORITIZE",IF(AND(O77="High",P77="High",OR(Q77="Poor",M77=TRUE())),"HOLD / REVIEW","MONITOR"))</f>
        <v>MONITOR</v>
      </c>
      <c r="S77" s="11" t="n">
        <f aca="false">K77+(ROW()/10000000)</f>
        <v>22.0000077</v>
      </c>
    </row>
    <row r="78" customFormat="false" ht="15" hidden="false" customHeight="false" outlineLevel="0" collapsed="false">
      <c r="A78" s="11" t="s">
        <v>199</v>
      </c>
      <c r="B78" s="11" t="s">
        <v>27</v>
      </c>
      <c r="C78" s="11" t="s">
        <v>95</v>
      </c>
      <c r="D78" s="11" t="s">
        <v>34</v>
      </c>
      <c r="E78" s="11" t="s">
        <v>102</v>
      </c>
      <c r="F78" s="11" t="s">
        <v>74</v>
      </c>
      <c r="G78" s="21" t="n">
        <v>153.32</v>
      </c>
      <c r="H78" s="19" t="n">
        <v>0</v>
      </c>
      <c r="I78" s="21" t="n">
        <v>153.32</v>
      </c>
      <c r="J78" s="22" t="s">
        <v>200</v>
      </c>
      <c r="K78" s="11" t="n">
        <v>43</v>
      </c>
      <c r="L78" s="23" t="n">
        <v>2.9</v>
      </c>
      <c r="M78" s="24" t="b">
        <f aca="false">FALSE()</f>
        <v>0</v>
      </c>
      <c r="N78" s="11"/>
      <c r="O78" s="11" t="str">
        <f aca="false">IF(K78&lt;=StockP33,"Low",IF(K78&lt;=StockP67,"Moderate","High"))</f>
        <v>High</v>
      </c>
      <c r="P78" s="11" t="str">
        <f aca="false">IF(H78=0,"Low",IF(H78&lt;=MarkdownP75,"Moderate","High"))</f>
        <v>Low</v>
      </c>
      <c r="Q78" s="11" t="str">
        <f aca="false">IF(ISBLANK(L78),"Unknown",IF(L78&gt;=4,"Good",IF(L78&lt;=2,"Poor","Neutral")))</f>
        <v>Neutral</v>
      </c>
      <c r="R78" s="11" t="str">
        <f aca="false">IF(AND(O78="Low",P78="Low",Q78="Good"),"BUY / PRIORITIZE",IF(AND(O78="High",P78="High",OR(Q78="Poor",M78=TRUE())),"HOLD / REVIEW","MONITOR"))</f>
        <v>MONITOR</v>
      </c>
      <c r="S78" s="11" t="n">
        <f aca="false">K78+(ROW()/10000000)</f>
        <v>43.0000078</v>
      </c>
    </row>
    <row r="79" customFormat="false" ht="15" hidden="false" customHeight="false" outlineLevel="0" collapsed="false">
      <c r="A79" s="11" t="s">
        <v>201</v>
      </c>
      <c r="B79" s="11" t="s">
        <v>8</v>
      </c>
      <c r="C79" s="11" t="s">
        <v>77</v>
      </c>
      <c r="D79" s="11" t="s">
        <v>36</v>
      </c>
      <c r="E79" s="11"/>
      <c r="F79" s="11" t="s">
        <v>120</v>
      </c>
      <c r="G79" s="21" t="n">
        <v>42.95</v>
      </c>
      <c r="H79" s="19" t="n">
        <v>22.5</v>
      </c>
      <c r="I79" s="21" t="n">
        <v>33.29</v>
      </c>
      <c r="J79" s="22" t="s">
        <v>80</v>
      </c>
      <c r="K79" s="11" t="n">
        <v>7</v>
      </c>
      <c r="L79" s="23" t="n">
        <v>1.9</v>
      </c>
      <c r="M79" s="24" t="b">
        <f aca="false">TRUE()</f>
        <v>1</v>
      </c>
      <c r="N79" s="11" t="s">
        <v>128</v>
      </c>
      <c r="O79" s="11" t="str">
        <f aca="false">IF(K79&lt;=StockP33,"Low",IF(K79&lt;=StockP67,"Moderate","High"))</f>
        <v>Low</v>
      </c>
      <c r="P79" s="11" t="str">
        <f aca="false">IF(H79=0,"Low",IF(H79&lt;=MarkdownP75,"Moderate","High"))</f>
        <v>High</v>
      </c>
      <c r="Q79" s="11" t="str">
        <f aca="false">IF(ISBLANK(L79),"Unknown",IF(L79&gt;=4,"Good",IF(L79&lt;=2,"Poor","Neutral")))</f>
        <v>Poor</v>
      </c>
      <c r="R79" s="11" t="str">
        <f aca="false">IF(AND(O79="Low",P79="Low",Q79="Good"),"BUY / PRIORITIZE",IF(AND(O79="High",P79="High",OR(Q79="Poor",M79=TRUE())),"HOLD / REVIEW","MONITOR"))</f>
        <v>MONITOR</v>
      </c>
      <c r="S79" s="11" t="n">
        <f aca="false">K79+(ROW()/10000000)</f>
        <v>7.0000079</v>
      </c>
    </row>
    <row r="80" customFormat="false" ht="15" hidden="false" customHeight="false" outlineLevel="0" collapsed="false">
      <c r="A80" s="11" t="s">
        <v>202</v>
      </c>
      <c r="B80" s="11" t="s">
        <v>30</v>
      </c>
      <c r="C80" s="11" t="s">
        <v>101</v>
      </c>
      <c r="D80" s="11" t="s">
        <v>35</v>
      </c>
      <c r="E80" s="11" t="s">
        <v>91</v>
      </c>
      <c r="F80" s="11" t="s">
        <v>98</v>
      </c>
      <c r="G80" s="21" t="n">
        <v>30.79</v>
      </c>
      <c r="H80" s="19" t="n">
        <v>0</v>
      </c>
      <c r="I80" s="21" t="n">
        <v>30.79</v>
      </c>
      <c r="J80" s="22" t="s">
        <v>80</v>
      </c>
      <c r="K80" s="11" t="n">
        <v>36</v>
      </c>
      <c r="L80" s="23" t="n">
        <v>3.4</v>
      </c>
      <c r="M80" s="24" t="b">
        <f aca="false">FALSE()</f>
        <v>0</v>
      </c>
      <c r="N80" s="11"/>
      <c r="O80" s="11" t="str">
        <f aca="false">IF(K80&lt;=StockP33,"Low",IF(K80&lt;=StockP67,"Moderate","High"))</f>
        <v>High</v>
      </c>
      <c r="P80" s="11" t="str">
        <f aca="false">IF(H80=0,"Low",IF(H80&lt;=MarkdownP75,"Moderate","High"))</f>
        <v>Low</v>
      </c>
      <c r="Q80" s="11" t="str">
        <f aca="false">IF(ISBLANK(L80),"Unknown",IF(L80&gt;=4,"Good",IF(L80&lt;=2,"Poor","Neutral")))</f>
        <v>Neutral</v>
      </c>
      <c r="R80" s="11" t="str">
        <f aca="false">IF(AND(O80="Low",P80="Low",Q80="Good"),"BUY / PRIORITIZE",IF(AND(O80="High",P80="High",OR(Q80="Poor",M80=TRUE())),"HOLD / REVIEW","MONITOR"))</f>
        <v>MONITOR</v>
      </c>
      <c r="S80" s="11" t="n">
        <f aca="false">K80+(ROW()/10000000)</f>
        <v>36.000008</v>
      </c>
    </row>
    <row r="81" customFormat="false" ht="15" hidden="false" customHeight="false" outlineLevel="0" collapsed="false">
      <c r="A81" s="11" t="s">
        <v>203</v>
      </c>
      <c r="B81" s="11" t="s">
        <v>8</v>
      </c>
      <c r="C81" s="11" t="s">
        <v>77</v>
      </c>
      <c r="D81" s="11" t="s">
        <v>36</v>
      </c>
      <c r="E81" s="11"/>
      <c r="F81" s="11" t="s">
        <v>124</v>
      </c>
      <c r="G81" s="21" t="n">
        <v>59.85</v>
      </c>
      <c r="H81" s="19" t="n">
        <v>0</v>
      </c>
      <c r="I81" s="21" t="n">
        <v>59.85</v>
      </c>
      <c r="J81" s="22" t="s">
        <v>80</v>
      </c>
      <c r="K81" s="11" t="n">
        <v>38</v>
      </c>
      <c r="L81" s="23" t="n">
        <v>4</v>
      </c>
      <c r="M81" s="24" t="b">
        <f aca="false">FALSE()</f>
        <v>0</v>
      </c>
      <c r="N81" s="11"/>
      <c r="O81" s="11" t="str">
        <f aca="false">IF(K81&lt;=StockP33,"Low",IF(K81&lt;=StockP67,"Moderate","High"))</f>
        <v>High</v>
      </c>
      <c r="P81" s="11" t="str">
        <f aca="false">IF(H81=0,"Low",IF(H81&lt;=MarkdownP75,"Moderate","High"))</f>
        <v>Low</v>
      </c>
      <c r="Q81" s="11" t="str">
        <f aca="false">IF(ISBLANK(L81),"Unknown",IF(L81&gt;=4,"Good",IF(L81&lt;=2,"Poor","Neutral")))</f>
        <v>Good</v>
      </c>
      <c r="R81" s="11" t="str">
        <f aca="false">IF(AND(O81="Low",P81="Low",Q81="Good"),"BUY / PRIORITIZE",IF(AND(O81="High",P81="High",OR(Q81="Poor",M81=TRUE())),"HOLD / REVIEW","MONITOR"))</f>
        <v>MONITOR</v>
      </c>
      <c r="S81" s="11" t="n">
        <f aca="false">K81+(ROW()/10000000)</f>
        <v>38.0000081</v>
      </c>
    </row>
    <row r="82" customFormat="false" ht="15" hidden="false" customHeight="false" outlineLevel="0" collapsed="false">
      <c r="A82" s="11" t="s">
        <v>204</v>
      </c>
      <c r="B82" s="11" t="s">
        <v>30</v>
      </c>
      <c r="C82" s="11" t="s">
        <v>86</v>
      </c>
      <c r="D82" s="11" t="s">
        <v>34</v>
      </c>
      <c r="E82" s="11" t="s">
        <v>91</v>
      </c>
      <c r="F82" s="11" t="s">
        <v>118</v>
      </c>
      <c r="G82" s="21" t="n">
        <v>78.16</v>
      </c>
      <c r="H82" s="19" t="n">
        <v>19.1</v>
      </c>
      <c r="I82" s="21" t="n">
        <v>63.23</v>
      </c>
      <c r="J82" s="22" t="s">
        <v>205</v>
      </c>
      <c r="K82" s="11" t="n">
        <v>23</v>
      </c>
      <c r="L82" s="23"/>
      <c r="M82" s="24" t="b">
        <f aca="false">FALSE()</f>
        <v>0</v>
      </c>
      <c r="N82" s="11"/>
      <c r="O82" s="11" t="str">
        <f aca="false">IF(K82&lt;=StockP33,"Low",IF(K82&lt;=StockP67,"Moderate","High"))</f>
        <v>Moderate</v>
      </c>
      <c r="P82" s="11" t="str">
        <f aca="false">IF(H82=0,"Low",IF(H82&lt;=MarkdownP75,"Moderate","High"))</f>
        <v>Moderate</v>
      </c>
      <c r="Q82" s="11" t="str">
        <f aca="false">IF(ISBLANK(L82),"Unknown",IF(L82&gt;=4,"Good",IF(L82&lt;=2,"Poor","Neutral")))</f>
        <v>Unknown</v>
      </c>
      <c r="R82" s="11" t="str">
        <f aca="false">IF(AND(O82="Low",P82="Low",Q82="Good"),"BUY / PRIORITIZE",IF(AND(O82="High",P82="High",OR(Q82="Poor",M82=TRUE())),"HOLD / REVIEW","MONITOR"))</f>
        <v>MONITOR</v>
      </c>
      <c r="S82" s="11" t="n">
        <f aca="false">K82+(ROW()/10000000)</f>
        <v>23.0000082</v>
      </c>
    </row>
    <row r="83" customFormat="false" ht="15" hidden="false" customHeight="false" outlineLevel="0" collapsed="false">
      <c r="A83" s="11" t="s">
        <v>206</v>
      </c>
      <c r="B83" s="11" t="s">
        <v>30</v>
      </c>
      <c r="C83" s="11" t="s">
        <v>107</v>
      </c>
      <c r="D83" s="11" t="s">
        <v>36</v>
      </c>
      <c r="E83" s="11" t="s">
        <v>113</v>
      </c>
      <c r="F83" s="11" t="s">
        <v>88</v>
      </c>
      <c r="G83" s="21" t="n">
        <v>113.17</v>
      </c>
      <c r="H83" s="19" t="n">
        <v>19.1</v>
      </c>
      <c r="I83" s="21" t="n">
        <v>91.55</v>
      </c>
      <c r="J83" s="22" t="s">
        <v>80</v>
      </c>
      <c r="K83" s="11" t="n">
        <v>15</v>
      </c>
      <c r="L83" s="23" t="n">
        <v>4.9</v>
      </c>
      <c r="M83" s="24" t="b">
        <f aca="false">FALSE()</f>
        <v>0</v>
      </c>
      <c r="N83" s="11"/>
      <c r="O83" s="11" t="str">
        <f aca="false">IF(K83&lt;=StockP33,"Low",IF(K83&lt;=StockP67,"Moderate","High"))</f>
        <v>Low</v>
      </c>
      <c r="P83" s="11" t="str">
        <f aca="false">IF(H83=0,"Low",IF(H83&lt;=MarkdownP75,"Moderate","High"))</f>
        <v>Moderate</v>
      </c>
      <c r="Q83" s="11" t="str">
        <f aca="false">IF(ISBLANK(L83),"Unknown",IF(L83&gt;=4,"Good",IF(L83&lt;=2,"Poor","Neutral")))</f>
        <v>Good</v>
      </c>
      <c r="R83" s="11" t="str">
        <f aca="false">IF(AND(O83="Low",P83="Low",Q83="Good"),"BUY / PRIORITIZE",IF(AND(O83="High",P83="High",OR(Q83="Poor",M83=TRUE())),"HOLD / REVIEW","MONITOR"))</f>
        <v>MONITOR</v>
      </c>
      <c r="S83" s="11" t="n">
        <f aca="false">K83+(ROW()/10000000)</f>
        <v>15.0000083</v>
      </c>
    </row>
    <row r="84" customFormat="false" ht="15" hidden="false" customHeight="false" outlineLevel="0" collapsed="false">
      <c r="A84" s="11" t="s">
        <v>207</v>
      </c>
      <c r="B84" s="11" t="s">
        <v>27</v>
      </c>
      <c r="C84" s="11" t="s">
        <v>107</v>
      </c>
      <c r="D84" s="11" t="s">
        <v>37</v>
      </c>
      <c r="E84" s="11" t="s">
        <v>91</v>
      </c>
      <c r="F84" s="11" t="s">
        <v>96</v>
      </c>
      <c r="G84" s="21" t="n">
        <v>174.13</v>
      </c>
      <c r="H84" s="19" t="n">
        <v>0</v>
      </c>
      <c r="I84" s="21" t="n">
        <v>174.13</v>
      </c>
      <c r="J84" s="22" t="s">
        <v>80</v>
      </c>
      <c r="K84" s="11" t="n">
        <v>34</v>
      </c>
      <c r="L84" s="23" t="n">
        <v>3.7</v>
      </c>
      <c r="M84" s="24" t="b">
        <f aca="false">FALSE()</f>
        <v>0</v>
      </c>
      <c r="N84" s="11"/>
      <c r="O84" s="11" t="str">
        <f aca="false">IF(K84&lt;=StockP33,"Low",IF(K84&lt;=StockP67,"Moderate","High"))</f>
        <v>High</v>
      </c>
      <c r="P84" s="11" t="str">
        <f aca="false">IF(H84=0,"Low",IF(H84&lt;=MarkdownP75,"Moderate","High"))</f>
        <v>Low</v>
      </c>
      <c r="Q84" s="11" t="str">
        <f aca="false">IF(ISBLANK(L84),"Unknown",IF(L84&gt;=4,"Good",IF(L84&lt;=2,"Poor","Neutral")))</f>
        <v>Neutral</v>
      </c>
      <c r="R84" s="11" t="str">
        <f aca="false">IF(AND(O84="Low",P84="Low",Q84="Good"),"BUY / PRIORITIZE",IF(AND(O84="High",P84="High",OR(Q84="Poor",M84=TRUE())),"HOLD / REVIEW","MONITOR"))</f>
        <v>MONITOR</v>
      </c>
      <c r="S84" s="11" t="n">
        <f aca="false">K84+(ROW()/10000000)</f>
        <v>34.0000084</v>
      </c>
    </row>
    <row r="85" customFormat="false" ht="15" hidden="false" customHeight="false" outlineLevel="0" collapsed="false">
      <c r="A85" s="11" t="s">
        <v>208</v>
      </c>
      <c r="B85" s="11" t="s">
        <v>29</v>
      </c>
      <c r="C85" s="11" t="s">
        <v>72</v>
      </c>
      <c r="D85" s="11" t="s">
        <v>35</v>
      </c>
      <c r="E85" s="11" t="s">
        <v>110</v>
      </c>
      <c r="F85" s="11" t="s">
        <v>120</v>
      </c>
      <c r="G85" s="21" t="n">
        <v>191.96</v>
      </c>
      <c r="H85" s="19" t="n">
        <v>0</v>
      </c>
      <c r="I85" s="21" t="n">
        <v>191.96</v>
      </c>
      <c r="J85" s="22" t="s">
        <v>80</v>
      </c>
      <c r="K85" s="11" t="n">
        <v>50</v>
      </c>
      <c r="L85" s="23"/>
      <c r="M85" s="24" t="b">
        <f aca="false">FALSE()</f>
        <v>0</v>
      </c>
      <c r="N85" s="11"/>
      <c r="O85" s="11" t="str">
        <f aca="false">IF(K85&lt;=StockP33,"Low",IF(K85&lt;=StockP67,"Moderate","High"))</f>
        <v>High</v>
      </c>
      <c r="P85" s="11" t="str">
        <f aca="false">IF(H85=0,"Low",IF(H85&lt;=MarkdownP75,"Moderate","High"))</f>
        <v>Low</v>
      </c>
      <c r="Q85" s="11" t="str">
        <f aca="false">IF(ISBLANK(L85),"Unknown",IF(L85&gt;=4,"Good",IF(L85&lt;=2,"Poor","Neutral")))</f>
        <v>Unknown</v>
      </c>
      <c r="R85" s="11" t="str">
        <f aca="false">IF(AND(O85="Low",P85="Low",Q85="Good"),"BUY / PRIORITIZE",IF(AND(O85="High",P85="High",OR(Q85="Poor",M85=TRUE())),"HOLD / REVIEW","MONITOR"))</f>
        <v>MONITOR</v>
      </c>
      <c r="S85" s="11" t="n">
        <f aca="false">K85+(ROW()/10000000)</f>
        <v>50.0000085</v>
      </c>
    </row>
    <row r="86" customFormat="false" ht="15" hidden="false" customHeight="false" outlineLevel="0" collapsed="false">
      <c r="A86" s="11" t="s">
        <v>209</v>
      </c>
      <c r="B86" s="11" t="s">
        <v>28</v>
      </c>
      <c r="C86" s="11" t="s">
        <v>107</v>
      </c>
      <c r="D86" s="11" t="s">
        <v>34</v>
      </c>
      <c r="E86" s="11" t="s">
        <v>73</v>
      </c>
      <c r="F86" s="11" t="s">
        <v>111</v>
      </c>
      <c r="G86" s="21" t="n">
        <v>222.55</v>
      </c>
      <c r="H86" s="19" t="n">
        <v>22.6</v>
      </c>
      <c r="I86" s="21" t="n">
        <v>172.25</v>
      </c>
      <c r="J86" s="22" t="s">
        <v>210</v>
      </c>
      <c r="K86" s="11" t="n">
        <v>50</v>
      </c>
      <c r="L86" s="23"/>
      <c r="M86" s="24" t="b">
        <f aca="false">FALSE()</f>
        <v>0</v>
      </c>
      <c r="N86" s="11"/>
      <c r="O86" s="11" t="str">
        <f aca="false">IF(K86&lt;=StockP33,"Low",IF(K86&lt;=StockP67,"Moderate","High"))</f>
        <v>High</v>
      </c>
      <c r="P86" s="11" t="str">
        <f aca="false">IF(H86=0,"Low",IF(H86&lt;=MarkdownP75,"Moderate","High"))</f>
        <v>High</v>
      </c>
      <c r="Q86" s="11" t="str">
        <f aca="false">IF(ISBLANK(L86),"Unknown",IF(L86&gt;=4,"Good",IF(L86&lt;=2,"Poor","Neutral")))</f>
        <v>Unknown</v>
      </c>
      <c r="R86" s="11" t="str">
        <f aca="false">IF(AND(O86="Low",P86="Low",Q86="Good"),"BUY / PRIORITIZE",IF(AND(O86="High",P86="High",OR(Q86="Poor",M86=TRUE())),"HOLD / REVIEW","MONITOR"))</f>
        <v>MONITOR</v>
      </c>
      <c r="S86" s="11" t="n">
        <f aca="false">K86+(ROW()/10000000)</f>
        <v>50.0000086</v>
      </c>
    </row>
    <row r="87" customFormat="false" ht="15" hidden="false" customHeight="false" outlineLevel="0" collapsed="false">
      <c r="A87" s="11" t="s">
        <v>211</v>
      </c>
      <c r="B87" s="11" t="s">
        <v>26</v>
      </c>
      <c r="C87" s="11" t="s">
        <v>130</v>
      </c>
      <c r="D87" s="11" t="s">
        <v>37</v>
      </c>
      <c r="E87" s="11" t="s">
        <v>110</v>
      </c>
      <c r="F87" s="11" t="s">
        <v>82</v>
      </c>
      <c r="G87" s="21" t="n">
        <v>37.85</v>
      </c>
      <c r="H87" s="19" t="n">
        <v>11.9</v>
      </c>
      <c r="I87" s="21" t="n">
        <v>33.35</v>
      </c>
      <c r="J87" s="22" t="s">
        <v>80</v>
      </c>
      <c r="K87" s="11" t="n">
        <v>45</v>
      </c>
      <c r="L87" s="23" t="n">
        <v>3.4</v>
      </c>
      <c r="M87" s="24" t="b">
        <f aca="false">TRUE()</f>
        <v>1</v>
      </c>
      <c r="N87" s="11" t="s">
        <v>178</v>
      </c>
      <c r="O87" s="11" t="str">
        <f aca="false">IF(K87&lt;=StockP33,"Low",IF(K87&lt;=StockP67,"Moderate","High"))</f>
        <v>High</v>
      </c>
      <c r="P87" s="11" t="str">
        <f aca="false">IF(H87=0,"Low",IF(H87&lt;=MarkdownP75,"Moderate","High"))</f>
        <v>Moderate</v>
      </c>
      <c r="Q87" s="11" t="str">
        <f aca="false">IF(ISBLANK(L87),"Unknown",IF(L87&gt;=4,"Good",IF(L87&lt;=2,"Poor","Neutral")))</f>
        <v>Neutral</v>
      </c>
      <c r="R87" s="11" t="str">
        <f aca="false">IF(AND(O87="Low",P87="Low",Q87="Good"),"BUY / PRIORITIZE",IF(AND(O87="High",P87="High",OR(Q87="Poor",M87=TRUE())),"HOLD / REVIEW","MONITOR"))</f>
        <v>MONITOR</v>
      </c>
      <c r="S87" s="11" t="n">
        <f aca="false">K87+(ROW()/10000000)</f>
        <v>45.0000087</v>
      </c>
    </row>
    <row r="88" customFormat="false" ht="15" hidden="false" customHeight="false" outlineLevel="0" collapsed="false">
      <c r="A88" s="11" t="s">
        <v>212</v>
      </c>
      <c r="B88" s="11" t="s">
        <v>28</v>
      </c>
      <c r="C88" s="11" t="s">
        <v>77</v>
      </c>
      <c r="D88" s="11" t="s">
        <v>35</v>
      </c>
      <c r="E88" s="11" t="s">
        <v>113</v>
      </c>
      <c r="F88" s="11" t="s">
        <v>92</v>
      </c>
      <c r="G88" s="21" t="n">
        <v>241.09</v>
      </c>
      <c r="H88" s="19" t="n">
        <v>0</v>
      </c>
      <c r="I88" s="21" t="n">
        <v>241.09</v>
      </c>
      <c r="J88" s="22" t="s">
        <v>80</v>
      </c>
      <c r="K88" s="11" t="n">
        <v>26</v>
      </c>
      <c r="L88" s="23"/>
      <c r="M88" s="24" t="b">
        <f aca="false">FALSE()</f>
        <v>0</v>
      </c>
      <c r="N88" s="11"/>
      <c r="O88" s="11" t="str">
        <f aca="false">IF(K88&lt;=StockP33,"Low",IF(K88&lt;=StockP67,"Moderate","High"))</f>
        <v>Moderate</v>
      </c>
      <c r="P88" s="11" t="str">
        <f aca="false">IF(H88=0,"Low",IF(H88&lt;=MarkdownP75,"Moderate","High"))</f>
        <v>Low</v>
      </c>
      <c r="Q88" s="11" t="str">
        <f aca="false">IF(ISBLANK(L88),"Unknown",IF(L88&gt;=4,"Good",IF(L88&lt;=2,"Poor","Neutral")))</f>
        <v>Unknown</v>
      </c>
      <c r="R88" s="11" t="str">
        <f aca="false">IF(AND(O88="Low",P88="Low",Q88="Good"),"BUY / PRIORITIZE",IF(AND(O88="High",P88="High",OR(Q88="Poor",M88=TRUE())),"HOLD / REVIEW","MONITOR"))</f>
        <v>MONITOR</v>
      </c>
      <c r="S88" s="11" t="n">
        <f aca="false">K88+(ROW()/10000000)</f>
        <v>26.0000088</v>
      </c>
    </row>
    <row r="89" customFormat="false" ht="15" hidden="false" customHeight="false" outlineLevel="0" collapsed="false">
      <c r="A89" s="11" t="s">
        <v>213</v>
      </c>
      <c r="B89" s="11" t="s">
        <v>27</v>
      </c>
      <c r="C89" s="11" t="s">
        <v>86</v>
      </c>
      <c r="D89" s="11" t="s">
        <v>34</v>
      </c>
      <c r="E89" s="11" t="s">
        <v>91</v>
      </c>
      <c r="F89" s="11" t="s">
        <v>118</v>
      </c>
      <c r="G89" s="21" t="n">
        <v>136.97</v>
      </c>
      <c r="H89" s="19" t="n">
        <v>0</v>
      </c>
      <c r="I89" s="21" t="n">
        <v>136.97</v>
      </c>
      <c r="J89" s="22" t="s">
        <v>173</v>
      </c>
      <c r="K89" s="11" t="n">
        <v>17</v>
      </c>
      <c r="L89" s="23" t="n">
        <v>4.4</v>
      </c>
      <c r="M89" s="24" t="b">
        <f aca="false">TRUE()</f>
        <v>1</v>
      </c>
      <c r="N89" s="11" t="s">
        <v>140</v>
      </c>
      <c r="O89" s="11" t="str">
        <f aca="false">IF(K89&lt;=StockP33,"Low",IF(K89&lt;=StockP67,"Moderate","High"))</f>
        <v>Low</v>
      </c>
      <c r="P89" s="11" t="str">
        <f aca="false">IF(H89=0,"Low",IF(H89&lt;=MarkdownP75,"Moderate","High"))</f>
        <v>Low</v>
      </c>
      <c r="Q89" s="11" t="str">
        <f aca="false">IF(ISBLANK(L89),"Unknown",IF(L89&gt;=4,"Good",IF(L89&lt;=2,"Poor","Neutral")))</f>
        <v>Good</v>
      </c>
      <c r="R89" s="11" t="str">
        <f aca="false">IF(AND(O89="Low",P89="Low",Q89="Good"),"BUY / PRIORITIZE",IF(AND(O89="High",P89="High",OR(Q89="Poor",M89=TRUE())),"HOLD / REVIEW","MONITOR"))</f>
        <v>BUY / PRIORITIZE</v>
      </c>
      <c r="S89" s="11" t="n">
        <f aca="false">K89+(ROW()/10000000)</f>
        <v>17.0000089</v>
      </c>
    </row>
    <row r="90" customFormat="false" ht="15" hidden="false" customHeight="false" outlineLevel="0" collapsed="false">
      <c r="A90" s="11" t="s">
        <v>214</v>
      </c>
      <c r="B90" s="11" t="s">
        <v>29</v>
      </c>
      <c r="C90" s="11" t="s">
        <v>101</v>
      </c>
      <c r="D90" s="11" t="s">
        <v>34</v>
      </c>
      <c r="E90" s="11" t="s">
        <v>113</v>
      </c>
      <c r="F90" s="11" t="s">
        <v>96</v>
      </c>
      <c r="G90" s="21" t="n">
        <v>113.79</v>
      </c>
      <c r="H90" s="19" t="n">
        <v>55.3</v>
      </c>
      <c r="I90" s="21" t="n">
        <v>50.86</v>
      </c>
      <c r="J90" s="22" t="s">
        <v>215</v>
      </c>
      <c r="K90" s="11" t="n">
        <v>47</v>
      </c>
      <c r="L90" s="23" t="n">
        <v>4.1</v>
      </c>
      <c r="M90" s="24" t="b">
        <f aca="false">FALSE()</f>
        <v>0</v>
      </c>
      <c r="N90" s="11"/>
      <c r="O90" s="11" t="str">
        <f aca="false">IF(K90&lt;=StockP33,"Low",IF(K90&lt;=StockP67,"Moderate","High"))</f>
        <v>High</v>
      </c>
      <c r="P90" s="11" t="str">
        <f aca="false">IF(H90=0,"Low",IF(H90&lt;=MarkdownP75,"Moderate","High"))</f>
        <v>High</v>
      </c>
      <c r="Q90" s="11" t="str">
        <f aca="false">IF(ISBLANK(L90),"Unknown",IF(L90&gt;=4,"Good",IF(L90&lt;=2,"Poor","Neutral")))</f>
        <v>Good</v>
      </c>
      <c r="R90" s="11" t="str">
        <f aca="false">IF(AND(O90="Low",P90="Low",Q90="Good"),"BUY / PRIORITIZE",IF(AND(O90="High",P90="High",OR(Q90="Poor",M90=TRUE())),"HOLD / REVIEW","MONITOR"))</f>
        <v>MONITOR</v>
      </c>
      <c r="S90" s="11" t="n">
        <f aca="false">K90+(ROW()/10000000)</f>
        <v>47.000009</v>
      </c>
    </row>
    <row r="91" customFormat="false" ht="15" hidden="false" customHeight="false" outlineLevel="0" collapsed="false">
      <c r="A91" s="11" t="s">
        <v>216</v>
      </c>
      <c r="B91" s="11" t="s">
        <v>26</v>
      </c>
      <c r="C91" s="11" t="s">
        <v>101</v>
      </c>
      <c r="D91" s="11" t="s">
        <v>35</v>
      </c>
      <c r="E91" s="11" t="s">
        <v>102</v>
      </c>
      <c r="F91" s="11" t="s">
        <v>88</v>
      </c>
      <c r="G91" s="21" t="n">
        <v>93.23</v>
      </c>
      <c r="H91" s="19" t="n">
        <v>40</v>
      </c>
      <c r="I91" s="21" t="n">
        <v>55.94</v>
      </c>
      <c r="J91" s="22" t="s">
        <v>80</v>
      </c>
      <c r="K91" s="11" t="n">
        <v>46</v>
      </c>
      <c r="L91" s="23" t="n">
        <v>1.9</v>
      </c>
      <c r="M91" s="24" t="b">
        <f aca="false">FALSE()</f>
        <v>0</v>
      </c>
      <c r="N91" s="11"/>
      <c r="O91" s="11" t="str">
        <f aca="false">IF(K91&lt;=StockP33,"Low",IF(K91&lt;=StockP67,"Moderate","High"))</f>
        <v>High</v>
      </c>
      <c r="P91" s="11" t="str">
        <f aca="false">IF(H91=0,"Low",IF(H91&lt;=MarkdownP75,"Moderate","High"))</f>
        <v>High</v>
      </c>
      <c r="Q91" s="11" t="str">
        <f aca="false">IF(ISBLANK(L91),"Unknown",IF(L91&gt;=4,"Good",IF(L91&lt;=2,"Poor","Neutral")))</f>
        <v>Poor</v>
      </c>
      <c r="R91" s="11" t="str">
        <f aca="false">IF(AND(O91="Low",P91="Low",Q91="Good"),"BUY / PRIORITIZE",IF(AND(O91="High",P91="High",OR(Q91="Poor",M91=TRUE())),"HOLD / REVIEW","MONITOR"))</f>
        <v>HOLD / REVIEW</v>
      </c>
      <c r="S91" s="11" t="n">
        <f aca="false">K91+(ROW()/10000000)</f>
        <v>46.0000091</v>
      </c>
    </row>
    <row r="92" customFormat="false" ht="15" hidden="false" customHeight="false" outlineLevel="0" collapsed="false">
      <c r="A92" s="11" t="s">
        <v>217</v>
      </c>
      <c r="B92" s="11" t="s">
        <v>29</v>
      </c>
      <c r="C92" s="11" t="s">
        <v>77</v>
      </c>
      <c r="D92" s="11" t="s">
        <v>34</v>
      </c>
      <c r="E92" s="11" t="s">
        <v>91</v>
      </c>
      <c r="F92" s="11" t="s">
        <v>118</v>
      </c>
      <c r="G92" s="21" t="n">
        <v>106.24</v>
      </c>
      <c r="H92" s="19" t="n">
        <v>6.4</v>
      </c>
      <c r="I92" s="21" t="n">
        <v>99.44</v>
      </c>
      <c r="J92" s="22" t="s">
        <v>218</v>
      </c>
      <c r="K92" s="11" t="n">
        <v>50</v>
      </c>
      <c r="L92" s="23" t="n">
        <v>1.5</v>
      </c>
      <c r="M92" s="24" t="b">
        <f aca="false">FALSE()</f>
        <v>0</v>
      </c>
      <c r="N92" s="11"/>
      <c r="O92" s="11" t="str">
        <f aca="false">IF(K92&lt;=StockP33,"Low",IF(K92&lt;=StockP67,"Moderate","High"))</f>
        <v>High</v>
      </c>
      <c r="P92" s="11" t="str">
        <f aca="false">IF(H92=0,"Low",IF(H92&lt;=MarkdownP75,"Moderate","High"))</f>
        <v>Moderate</v>
      </c>
      <c r="Q92" s="11" t="str">
        <f aca="false">IF(ISBLANK(L92),"Unknown",IF(L92&gt;=4,"Good",IF(L92&lt;=2,"Poor","Neutral")))</f>
        <v>Poor</v>
      </c>
      <c r="R92" s="11" t="str">
        <f aca="false">IF(AND(O92="Low",P92="Low",Q92="Good"),"BUY / PRIORITIZE",IF(AND(O92="High",P92="High",OR(Q92="Poor",M92=TRUE())),"HOLD / REVIEW","MONITOR"))</f>
        <v>MONITOR</v>
      </c>
      <c r="S92" s="11" t="n">
        <f aca="false">K92+(ROW()/10000000)</f>
        <v>50.0000092</v>
      </c>
    </row>
    <row r="93" customFormat="false" ht="15" hidden="false" customHeight="false" outlineLevel="0" collapsed="false">
      <c r="A93" s="11" t="s">
        <v>219</v>
      </c>
      <c r="B93" s="11" t="s">
        <v>8</v>
      </c>
      <c r="C93" s="11" t="s">
        <v>72</v>
      </c>
      <c r="D93" s="11" t="s">
        <v>37</v>
      </c>
      <c r="E93" s="11"/>
      <c r="F93" s="11" t="s">
        <v>124</v>
      </c>
      <c r="G93" s="21" t="n">
        <v>30.95</v>
      </c>
      <c r="H93" s="19" t="n">
        <v>0</v>
      </c>
      <c r="I93" s="21" t="n">
        <v>30.95</v>
      </c>
      <c r="J93" s="22" t="s">
        <v>80</v>
      </c>
      <c r="K93" s="11" t="n">
        <v>27</v>
      </c>
      <c r="L93" s="23" t="n">
        <v>3.1</v>
      </c>
      <c r="M93" s="24" t="b">
        <f aca="false">TRUE()</f>
        <v>1</v>
      </c>
      <c r="N93" s="11" t="s">
        <v>178</v>
      </c>
      <c r="O93" s="11" t="str">
        <f aca="false">IF(K93&lt;=StockP33,"Low",IF(K93&lt;=StockP67,"Moderate","High"))</f>
        <v>Moderate</v>
      </c>
      <c r="P93" s="11" t="str">
        <f aca="false">IF(H93=0,"Low",IF(H93&lt;=MarkdownP75,"Moderate","High"))</f>
        <v>Low</v>
      </c>
      <c r="Q93" s="11" t="str">
        <f aca="false">IF(ISBLANK(L93),"Unknown",IF(L93&gt;=4,"Good",IF(L93&lt;=2,"Poor","Neutral")))</f>
        <v>Neutral</v>
      </c>
      <c r="R93" s="11" t="str">
        <f aca="false">IF(AND(O93="Low",P93="Low",Q93="Good"),"BUY / PRIORITIZE",IF(AND(O93="High",P93="High",OR(Q93="Poor",M93=TRUE())),"HOLD / REVIEW","MONITOR"))</f>
        <v>MONITOR</v>
      </c>
      <c r="S93" s="11" t="n">
        <f aca="false">K93+(ROW()/10000000)</f>
        <v>27.0000093</v>
      </c>
    </row>
    <row r="94" customFormat="false" ht="15" hidden="false" customHeight="false" outlineLevel="0" collapsed="false">
      <c r="A94" s="11" t="s">
        <v>220</v>
      </c>
      <c r="B94" s="11" t="s">
        <v>29</v>
      </c>
      <c r="C94" s="11" t="s">
        <v>72</v>
      </c>
      <c r="D94" s="11" t="s">
        <v>35</v>
      </c>
      <c r="E94" s="11" t="s">
        <v>91</v>
      </c>
      <c r="F94" s="11" t="s">
        <v>82</v>
      </c>
      <c r="G94" s="21" t="n">
        <v>76.92</v>
      </c>
      <c r="H94" s="19" t="n">
        <v>49.5</v>
      </c>
      <c r="I94" s="21" t="n">
        <v>38.84</v>
      </c>
      <c r="J94" s="22" t="s">
        <v>80</v>
      </c>
      <c r="K94" s="11" t="n">
        <v>7</v>
      </c>
      <c r="L94" s="23" t="n">
        <v>1.1</v>
      </c>
      <c r="M94" s="24" t="b">
        <f aca="false">FALSE()</f>
        <v>0</v>
      </c>
      <c r="N94" s="11"/>
      <c r="O94" s="11" t="str">
        <f aca="false">IF(K94&lt;=StockP33,"Low",IF(K94&lt;=StockP67,"Moderate","High"))</f>
        <v>Low</v>
      </c>
      <c r="P94" s="11" t="str">
        <f aca="false">IF(H94=0,"Low",IF(H94&lt;=MarkdownP75,"Moderate","High"))</f>
        <v>High</v>
      </c>
      <c r="Q94" s="11" t="str">
        <f aca="false">IF(ISBLANK(L94),"Unknown",IF(L94&gt;=4,"Good",IF(L94&lt;=2,"Poor","Neutral")))</f>
        <v>Poor</v>
      </c>
      <c r="R94" s="11" t="str">
        <f aca="false">IF(AND(O94="Low",P94="Low",Q94="Good"),"BUY / PRIORITIZE",IF(AND(O94="High",P94="High",OR(Q94="Poor",M94=TRUE())),"HOLD / REVIEW","MONITOR"))</f>
        <v>MONITOR</v>
      </c>
      <c r="S94" s="11" t="n">
        <f aca="false">K94+(ROW()/10000000)</f>
        <v>7.0000094</v>
      </c>
    </row>
    <row r="95" customFormat="false" ht="15" hidden="false" customHeight="false" outlineLevel="0" collapsed="false">
      <c r="A95" s="11" t="s">
        <v>221</v>
      </c>
      <c r="B95" s="11" t="s">
        <v>26</v>
      </c>
      <c r="C95" s="11" t="s">
        <v>101</v>
      </c>
      <c r="D95" s="11" t="s">
        <v>36</v>
      </c>
      <c r="E95" s="11" t="s">
        <v>110</v>
      </c>
      <c r="F95" s="11" t="s">
        <v>111</v>
      </c>
      <c r="G95" s="21" t="n">
        <v>80.64</v>
      </c>
      <c r="H95" s="19" t="n">
        <v>0</v>
      </c>
      <c r="I95" s="21" t="n">
        <v>80.64</v>
      </c>
      <c r="J95" s="22" t="s">
        <v>80</v>
      </c>
      <c r="K95" s="11" t="n">
        <v>26</v>
      </c>
      <c r="L95" s="23"/>
      <c r="M95" s="24" t="b">
        <f aca="false">FALSE()</f>
        <v>0</v>
      </c>
      <c r="N95" s="11"/>
      <c r="O95" s="11" t="str">
        <f aca="false">IF(K95&lt;=StockP33,"Low",IF(K95&lt;=StockP67,"Moderate","High"))</f>
        <v>Moderate</v>
      </c>
      <c r="P95" s="11" t="str">
        <f aca="false">IF(H95=0,"Low",IF(H95&lt;=MarkdownP75,"Moderate","High"))</f>
        <v>Low</v>
      </c>
      <c r="Q95" s="11" t="str">
        <f aca="false">IF(ISBLANK(L95),"Unknown",IF(L95&gt;=4,"Good",IF(L95&lt;=2,"Poor","Neutral")))</f>
        <v>Unknown</v>
      </c>
      <c r="R95" s="11" t="str">
        <f aca="false">IF(AND(O95="Low",P95="Low",Q95="Good"),"BUY / PRIORITIZE",IF(AND(O95="High",P95="High",OR(Q95="Poor",M95=TRUE())),"HOLD / REVIEW","MONITOR"))</f>
        <v>MONITOR</v>
      </c>
      <c r="S95" s="11" t="n">
        <f aca="false">K95+(ROW()/10000000)</f>
        <v>26.0000095</v>
      </c>
    </row>
    <row r="96" customFormat="false" ht="15" hidden="false" customHeight="false" outlineLevel="0" collapsed="false">
      <c r="A96" s="11" t="s">
        <v>222</v>
      </c>
      <c r="B96" s="11" t="s">
        <v>26</v>
      </c>
      <c r="C96" s="11" t="s">
        <v>72</v>
      </c>
      <c r="D96" s="11" t="s">
        <v>36</v>
      </c>
      <c r="E96" s="11" t="s">
        <v>110</v>
      </c>
      <c r="F96" s="11" t="s">
        <v>111</v>
      </c>
      <c r="G96" s="21" t="n">
        <v>32.46</v>
      </c>
      <c r="H96" s="19" t="n">
        <v>52.4</v>
      </c>
      <c r="I96" s="21" t="n">
        <v>15.45</v>
      </c>
      <c r="J96" s="22" t="s">
        <v>80</v>
      </c>
      <c r="K96" s="11" t="n">
        <v>14</v>
      </c>
      <c r="L96" s="23" t="n">
        <v>3.9</v>
      </c>
      <c r="M96" s="24" t="b">
        <f aca="false">FALSE()</f>
        <v>0</v>
      </c>
      <c r="N96" s="11"/>
      <c r="O96" s="11" t="str">
        <f aca="false">IF(K96&lt;=StockP33,"Low",IF(K96&lt;=StockP67,"Moderate","High"))</f>
        <v>Low</v>
      </c>
      <c r="P96" s="11" t="str">
        <f aca="false">IF(H96=0,"Low",IF(H96&lt;=MarkdownP75,"Moderate","High"))</f>
        <v>High</v>
      </c>
      <c r="Q96" s="11" t="str">
        <f aca="false">IF(ISBLANK(L96),"Unknown",IF(L96&gt;=4,"Good",IF(L96&lt;=2,"Poor","Neutral")))</f>
        <v>Neutral</v>
      </c>
      <c r="R96" s="11" t="str">
        <f aca="false">IF(AND(O96="Low",P96="Low",Q96="Good"),"BUY / PRIORITIZE",IF(AND(O96="High",P96="High",OR(Q96="Poor",M96=TRUE())),"HOLD / REVIEW","MONITOR"))</f>
        <v>MONITOR</v>
      </c>
      <c r="S96" s="11" t="n">
        <f aca="false">K96+(ROW()/10000000)</f>
        <v>14.0000096</v>
      </c>
    </row>
    <row r="97" customFormat="false" ht="15" hidden="false" customHeight="false" outlineLevel="0" collapsed="false">
      <c r="A97" s="11" t="s">
        <v>223</v>
      </c>
      <c r="B97" s="11" t="s">
        <v>8</v>
      </c>
      <c r="C97" s="11" t="s">
        <v>116</v>
      </c>
      <c r="D97" s="11" t="s">
        <v>35</v>
      </c>
      <c r="E97" s="11"/>
      <c r="F97" s="11" t="s">
        <v>82</v>
      </c>
      <c r="G97" s="21" t="n">
        <v>54.79</v>
      </c>
      <c r="H97" s="19" t="n">
        <v>0</v>
      </c>
      <c r="I97" s="21" t="n">
        <v>54.79</v>
      </c>
      <c r="J97" s="22" t="s">
        <v>80</v>
      </c>
      <c r="K97" s="11" t="n">
        <v>12</v>
      </c>
      <c r="L97" s="23" t="n">
        <v>4.5</v>
      </c>
      <c r="M97" s="24" t="b">
        <f aca="false">FALSE()</f>
        <v>0</v>
      </c>
      <c r="N97" s="11"/>
      <c r="O97" s="11" t="str">
        <f aca="false">IF(K97&lt;=StockP33,"Low",IF(K97&lt;=StockP67,"Moderate","High"))</f>
        <v>Low</v>
      </c>
      <c r="P97" s="11" t="str">
        <f aca="false">IF(H97=0,"Low",IF(H97&lt;=MarkdownP75,"Moderate","High"))</f>
        <v>Low</v>
      </c>
      <c r="Q97" s="11" t="str">
        <f aca="false">IF(ISBLANK(L97),"Unknown",IF(L97&gt;=4,"Good",IF(L97&lt;=2,"Poor","Neutral")))</f>
        <v>Good</v>
      </c>
      <c r="R97" s="11" t="str">
        <f aca="false">IF(AND(O97="Low",P97="Low",Q97="Good"),"BUY / PRIORITIZE",IF(AND(O97="High",P97="High",OR(Q97="Poor",M97=TRUE())),"HOLD / REVIEW","MONITOR"))</f>
        <v>BUY / PRIORITIZE</v>
      </c>
      <c r="S97" s="11" t="n">
        <f aca="false">K97+(ROW()/10000000)</f>
        <v>12.0000097</v>
      </c>
    </row>
    <row r="98" customFormat="false" ht="15" hidden="false" customHeight="false" outlineLevel="0" collapsed="false">
      <c r="A98" s="11" t="s">
        <v>224</v>
      </c>
      <c r="B98" s="11" t="s">
        <v>26</v>
      </c>
      <c r="C98" s="11" t="s">
        <v>101</v>
      </c>
      <c r="D98" s="11" t="s">
        <v>37</v>
      </c>
      <c r="E98" s="11" t="s">
        <v>113</v>
      </c>
      <c r="F98" s="11" t="s">
        <v>79</v>
      </c>
      <c r="G98" s="21" t="n">
        <v>71.14</v>
      </c>
      <c r="H98" s="19" t="n">
        <v>56.4</v>
      </c>
      <c r="I98" s="21" t="n">
        <v>31.02</v>
      </c>
      <c r="J98" s="22" t="s">
        <v>80</v>
      </c>
      <c r="K98" s="11" t="n">
        <v>12</v>
      </c>
      <c r="L98" s="23" t="n">
        <v>3.4</v>
      </c>
      <c r="M98" s="24" t="b">
        <f aca="false">FALSE()</f>
        <v>0</v>
      </c>
      <c r="N98" s="11"/>
      <c r="O98" s="11" t="str">
        <f aca="false">IF(K98&lt;=StockP33,"Low",IF(K98&lt;=StockP67,"Moderate","High"))</f>
        <v>Low</v>
      </c>
      <c r="P98" s="11" t="str">
        <f aca="false">IF(H98=0,"Low",IF(H98&lt;=MarkdownP75,"Moderate","High"))</f>
        <v>High</v>
      </c>
      <c r="Q98" s="11" t="str">
        <f aca="false">IF(ISBLANK(L98),"Unknown",IF(L98&gt;=4,"Good",IF(L98&lt;=2,"Poor","Neutral")))</f>
        <v>Neutral</v>
      </c>
      <c r="R98" s="11" t="str">
        <f aca="false">IF(AND(O98="Low",P98="Low",Q98="Good"),"BUY / PRIORITIZE",IF(AND(O98="High",P98="High",OR(Q98="Poor",M98=TRUE())),"HOLD / REVIEW","MONITOR"))</f>
        <v>MONITOR</v>
      </c>
      <c r="S98" s="11" t="n">
        <f aca="false">K98+(ROW()/10000000)</f>
        <v>12.0000098</v>
      </c>
    </row>
    <row r="99" customFormat="false" ht="15" hidden="false" customHeight="false" outlineLevel="0" collapsed="false">
      <c r="A99" s="11" t="s">
        <v>225</v>
      </c>
      <c r="B99" s="11" t="s">
        <v>26</v>
      </c>
      <c r="C99" s="11" t="s">
        <v>107</v>
      </c>
      <c r="D99" s="11" t="s">
        <v>35</v>
      </c>
      <c r="E99" s="11" t="s">
        <v>102</v>
      </c>
      <c r="F99" s="11" t="s">
        <v>118</v>
      </c>
      <c r="G99" s="21" t="n">
        <v>57.85</v>
      </c>
      <c r="H99" s="19" t="n">
        <v>0</v>
      </c>
      <c r="I99" s="21" t="n">
        <v>57.85</v>
      </c>
      <c r="J99" s="22" t="s">
        <v>80</v>
      </c>
      <c r="K99" s="11" t="n">
        <v>36</v>
      </c>
      <c r="L99" s="23" t="n">
        <v>3.5</v>
      </c>
      <c r="M99" s="24" t="b">
        <f aca="false">FALSE()</f>
        <v>0</v>
      </c>
      <c r="N99" s="11"/>
      <c r="O99" s="11" t="str">
        <f aca="false">IF(K99&lt;=StockP33,"Low",IF(K99&lt;=StockP67,"Moderate","High"))</f>
        <v>High</v>
      </c>
      <c r="P99" s="11" t="str">
        <f aca="false">IF(H99=0,"Low",IF(H99&lt;=MarkdownP75,"Moderate","High"))</f>
        <v>Low</v>
      </c>
      <c r="Q99" s="11" t="str">
        <f aca="false">IF(ISBLANK(L99),"Unknown",IF(L99&gt;=4,"Good",IF(L99&lt;=2,"Poor","Neutral")))</f>
        <v>Neutral</v>
      </c>
      <c r="R99" s="11" t="str">
        <f aca="false">IF(AND(O99="Low",P99="Low",Q99="Good"),"BUY / PRIORITIZE",IF(AND(O99="High",P99="High",OR(Q99="Poor",M99=TRUE())),"HOLD / REVIEW","MONITOR"))</f>
        <v>MONITOR</v>
      </c>
      <c r="S99" s="11" t="n">
        <f aca="false">K99+(ROW()/10000000)</f>
        <v>36.0000099</v>
      </c>
    </row>
    <row r="100" customFormat="false" ht="15" hidden="false" customHeight="false" outlineLevel="0" collapsed="false">
      <c r="A100" s="11" t="s">
        <v>226</v>
      </c>
      <c r="B100" s="11" t="s">
        <v>26</v>
      </c>
      <c r="C100" s="11" t="s">
        <v>72</v>
      </c>
      <c r="D100" s="11" t="s">
        <v>35</v>
      </c>
      <c r="E100" s="11" t="s">
        <v>110</v>
      </c>
      <c r="F100" s="11" t="s">
        <v>98</v>
      </c>
      <c r="G100" s="21" t="n">
        <v>33.37</v>
      </c>
      <c r="H100" s="19" t="n">
        <v>3</v>
      </c>
      <c r="I100" s="21" t="n">
        <v>32.37</v>
      </c>
      <c r="J100" s="22" t="s">
        <v>80</v>
      </c>
      <c r="K100" s="11" t="n">
        <v>40</v>
      </c>
      <c r="L100" s="23" t="n">
        <v>1.3</v>
      </c>
      <c r="M100" s="24" t="b">
        <f aca="false">FALSE()</f>
        <v>0</v>
      </c>
      <c r="N100" s="11"/>
      <c r="O100" s="11" t="str">
        <f aca="false">IF(K100&lt;=StockP33,"Low",IF(K100&lt;=StockP67,"Moderate","High"))</f>
        <v>High</v>
      </c>
      <c r="P100" s="11" t="str">
        <f aca="false">IF(H100=0,"Low",IF(H100&lt;=MarkdownP75,"Moderate","High"))</f>
        <v>Moderate</v>
      </c>
      <c r="Q100" s="11" t="str">
        <f aca="false">IF(ISBLANK(L100),"Unknown",IF(L100&gt;=4,"Good",IF(L100&lt;=2,"Poor","Neutral")))</f>
        <v>Poor</v>
      </c>
      <c r="R100" s="11" t="str">
        <f aca="false">IF(AND(O100="Low",P100="Low",Q100="Good"),"BUY / PRIORITIZE",IF(AND(O100="High",P100="High",OR(Q100="Poor",M100=TRUE())),"HOLD / REVIEW","MONITOR"))</f>
        <v>MONITOR</v>
      </c>
      <c r="S100" s="11" t="n">
        <f aca="false">K100+(ROW()/10000000)</f>
        <v>40.00001</v>
      </c>
    </row>
    <row r="101" customFormat="false" ht="15" hidden="false" customHeight="false" outlineLevel="0" collapsed="false">
      <c r="A101" s="11" t="s">
        <v>227</v>
      </c>
      <c r="B101" s="11" t="s">
        <v>30</v>
      </c>
      <c r="C101" s="11" t="s">
        <v>116</v>
      </c>
      <c r="D101" s="11" t="s">
        <v>35</v>
      </c>
      <c r="E101" s="11" t="s">
        <v>78</v>
      </c>
      <c r="F101" s="11" t="s">
        <v>82</v>
      </c>
      <c r="G101" s="21" t="n">
        <v>91.83</v>
      </c>
      <c r="H101" s="19" t="n">
        <v>0</v>
      </c>
      <c r="I101" s="21" t="n">
        <v>91.83</v>
      </c>
      <c r="J101" s="22" t="s">
        <v>80</v>
      </c>
      <c r="K101" s="11" t="n">
        <v>39</v>
      </c>
      <c r="L101" s="23" t="n">
        <v>4.9</v>
      </c>
      <c r="M101" s="24" t="b">
        <f aca="false">FALSE()</f>
        <v>0</v>
      </c>
      <c r="N101" s="11"/>
      <c r="O101" s="11" t="str">
        <f aca="false">IF(K101&lt;=StockP33,"Low",IF(K101&lt;=StockP67,"Moderate","High"))</f>
        <v>High</v>
      </c>
      <c r="P101" s="11" t="str">
        <f aca="false">IF(H101=0,"Low",IF(H101&lt;=MarkdownP75,"Moderate","High"))</f>
        <v>Low</v>
      </c>
      <c r="Q101" s="11" t="str">
        <f aca="false">IF(ISBLANK(L101),"Unknown",IF(L101&gt;=4,"Good",IF(L101&lt;=2,"Poor","Neutral")))</f>
        <v>Good</v>
      </c>
      <c r="R101" s="11" t="str">
        <f aca="false">IF(AND(O101="Low",P101="Low",Q101="Good"),"BUY / PRIORITIZE",IF(AND(O101="High",P101="High",OR(Q101="Poor",M101=TRUE())),"HOLD / REVIEW","MONITOR"))</f>
        <v>MONITOR</v>
      </c>
      <c r="S101" s="11" t="n">
        <f aca="false">K101+(ROW()/10000000)</f>
        <v>39.0000101</v>
      </c>
    </row>
    <row r="102" customFormat="false" ht="15" hidden="false" customHeight="false" outlineLevel="0" collapsed="false">
      <c r="A102" s="11" t="s">
        <v>228</v>
      </c>
      <c r="B102" s="11" t="s">
        <v>26</v>
      </c>
      <c r="C102" s="11" t="s">
        <v>72</v>
      </c>
      <c r="D102" s="11" t="s">
        <v>36</v>
      </c>
      <c r="E102" s="11" t="s">
        <v>78</v>
      </c>
      <c r="F102" s="11" t="s">
        <v>88</v>
      </c>
      <c r="G102" s="21" t="n">
        <v>60.12</v>
      </c>
      <c r="H102" s="19" t="n">
        <v>19.5</v>
      </c>
      <c r="I102" s="21" t="n">
        <v>48.4</v>
      </c>
      <c r="J102" s="22" t="s">
        <v>80</v>
      </c>
      <c r="K102" s="11" t="n">
        <v>42</v>
      </c>
      <c r="L102" s="23" t="n">
        <v>1</v>
      </c>
      <c r="M102" s="24" t="b">
        <f aca="false">FALSE()</f>
        <v>0</v>
      </c>
      <c r="N102" s="11"/>
      <c r="O102" s="11" t="str">
        <f aca="false">IF(K102&lt;=StockP33,"Low",IF(K102&lt;=StockP67,"Moderate","High"))</f>
        <v>High</v>
      </c>
      <c r="P102" s="11" t="str">
        <f aca="false">IF(H102=0,"Low",IF(H102&lt;=MarkdownP75,"Moderate","High"))</f>
        <v>Moderate</v>
      </c>
      <c r="Q102" s="11" t="str">
        <f aca="false">IF(ISBLANK(L102),"Unknown",IF(L102&gt;=4,"Good",IF(L102&lt;=2,"Poor","Neutral")))</f>
        <v>Poor</v>
      </c>
      <c r="R102" s="11" t="str">
        <f aca="false">IF(AND(O102="Low",P102="Low",Q102="Good"),"BUY / PRIORITIZE",IF(AND(O102="High",P102="High",OR(Q102="Poor",M102=TRUE())),"HOLD / REVIEW","MONITOR"))</f>
        <v>MONITOR</v>
      </c>
      <c r="S102" s="11" t="n">
        <f aca="false">K102+(ROW()/10000000)</f>
        <v>42.0000102</v>
      </c>
    </row>
    <row r="103" customFormat="false" ht="15" hidden="false" customHeight="false" outlineLevel="0" collapsed="false">
      <c r="A103" s="11" t="s">
        <v>229</v>
      </c>
      <c r="B103" s="11" t="s">
        <v>27</v>
      </c>
      <c r="C103" s="11" t="s">
        <v>86</v>
      </c>
      <c r="D103" s="11" t="s">
        <v>37</v>
      </c>
      <c r="E103" s="11" t="s">
        <v>91</v>
      </c>
      <c r="F103" s="11" t="s">
        <v>88</v>
      </c>
      <c r="G103" s="21" t="n">
        <v>163.5</v>
      </c>
      <c r="H103" s="19" t="n">
        <v>0</v>
      </c>
      <c r="I103" s="21" t="n">
        <v>163.5</v>
      </c>
      <c r="J103" s="22" t="s">
        <v>80</v>
      </c>
      <c r="K103" s="11" t="n">
        <v>34</v>
      </c>
      <c r="L103" s="23" t="n">
        <v>4.9</v>
      </c>
      <c r="M103" s="24" t="b">
        <f aca="false">FALSE()</f>
        <v>0</v>
      </c>
      <c r="N103" s="11"/>
      <c r="O103" s="11" t="str">
        <f aca="false">IF(K103&lt;=StockP33,"Low",IF(K103&lt;=StockP67,"Moderate","High"))</f>
        <v>High</v>
      </c>
      <c r="P103" s="11" t="str">
        <f aca="false">IF(H103=0,"Low",IF(H103&lt;=MarkdownP75,"Moderate","High"))</f>
        <v>Low</v>
      </c>
      <c r="Q103" s="11" t="str">
        <f aca="false">IF(ISBLANK(L103),"Unknown",IF(L103&gt;=4,"Good",IF(L103&lt;=2,"Poor","Neutral")))</f>
        <v>Good</v>
      </c>
      <c r="R103" s="11" t="str">
        <f aca="false">IF(AND(O103="Low",P103="Low",Q103="Good"),"BUY / PRIORITIZE",IF(AND(O103="High",P103="High",OR(Q103="Poor",M103=TRUE())),"HOLD / REVIEW","MONITOR"))</f>
        <v>MONITOR</v>
      </c>
      <c r="S103" s="11" t="n">
        <f aca="false">K103+(ROW()/10000000)</f>
        <v>34.0000103</v>
      </c>
    </row>
    <row r="104" customFormat="false" ht="15" hidden="false" customHeight="false" outlineLevel="0" collapsed="false">
      <c r="A104" s="11" t="s">
        <v>230</v>
      </c>
      <c r="B104" s="11" t="s">
        <v>27</v>
      </c>
      <c r="C104" s="11" t="s">
        <v>77</v>
      </c>
      <c r="D104" s="11" t="s">
        <v>34</v>
      </c>
      <c r="E104" s="11" t="s">
        <v>91</v>
      </c>
      <c r="F104" s="11" t="s">
        <v>111</v>
      </c>
      <c r="G104" s="21" t="n">
        <v>126.37</v>
      </c>
      <c r="H104" s="19" t="n">
        <v>0</v>
      </c>
      <c r="I104" s="21" t="n">
        <v>126.37</v>
      </c>
      <c r="J104" s="22" t="s">
        <v>231</v>
      </c>
      <c r="K104" s="11" t="n">
        <v>25</v>
      </c>
      <c r="L104" s="23" t="n">
        <v>1.8</v>
      </c>
      <c r="M104" s="24" t="b">
        <f aca="false">FALSE()</f>
        <v>0</v>
      </c>
      <c r="N104" s="11"/>
      <c r="O104" s="11" t="str">
        <f aca="false">IF(K104&lt;=StockP33,"Low",IF(K104&lt;=StockP67,"Moderate","High"))</f>
        <v>Moderate</v>
      </c>
      <c r="P104" s="11" t="str">
        <f aca="false">IF(H104=0,"Low",IF(H104&lt;=MarkdownP75,"Moderate","High"))</f>
        <v>Low</v>
      </c>
      <c r="Q104" s="11" t="str">
        <f aca="false">IF(ISBLANK(L104),"Unknown",IF(L104&gt;=4,"Good",IF(L104&lt;=2,"Poor","Neutral")))</f>
        <v>Poor</v>
      </c>
      <c r="R104" s="11" t="str">
        <f aca="false">IF(AND(O104="Low",P104="Low",Q104="Good"),"BUY / PRIORITIZE",IF(AND(O104="High",P104="High",OR(Q104="Poor",M104=TRUE())),"HOLD / REVIEW","MONITOR"))</f>
        <v>MONITOR</v>
      </c>
      <c r="S104" s="11" t="n">
        <f aca="false">K104+(ROW()/10000000)</f>
        <v>25.0000104</v>
      </c>
    </row>
    <row r="105" customFormat="false" ht="15" hidden="false" customHeight="false" outlineLevel="0" collapsed="false">
      <c r="A105" s="11" t="s">
        <v>232</v>
      </c>
      <c r="B105" s="11" t="s">
        <v>26</v>
      </c>
      <c r="C105" s="11" t="s">
        <v>77</v>
      </c>
      <c r="D105" s="11" t="s">
        <v>37</v>
      </c>
      <c r="E105" s="11" t="s">
        <v>78</v>
      </c>
      <c r="F105" s="11" t="s">
        <v>118</v>
      </c>
      <c r="G105" s="21" t="n">
        <v>50.01</v>
      </c>
      <c r="H105" s="19" t="n">
        <v>58.2</v>
      </c>
      <c r="I105" s="21" t="n">
        <v>20.9</v>
      </c>
      <c r="J105" s="22" t="s">
        <v>80</v>
      </c>
      <c r="K105" s="11" t="n">
        <v>32</v>
      </c>
      <c r="L105" s="23" t="n">
        <v>4.8</v>
      </c>
      <c r="M105" s="24" t="b">
        <f aca="false">FALSE()</f>
        <v>0</v>
      </c>
      <c r="N105" s="11"/>
      <c r="O105" s="11" t="str">
        <f aca="false">IF(K105&lt;=StockP33,"Low",IF(K105&lt;=StockP67,"Moderate","High"))</f>
        <v>Moderate</v>
      </c>
      <c r="P105" s="11" t="str">
        <f aca="false">IF(H105=0,"Low",IF(H105&lt;=MarkdownP75,"Moderate","High"))</f>
        <v>High</v>
      </c>
      <c r="Q105" s="11" t="str">
        <f aca="false">IF(ISBLANK(L105),"Unknown",IF(L105&gt;=4,"Good",IF(L105&lt;=2,"Poor","Neutral")))</f>
        <v>Good</v>
      </c>
      <c r="R105" s="11" t="str">
        <f aca="false">IF(AND(O105="Low",P105="Low",Q105="Good"),"BUY / PRIORITIZE",IF(AND(O105="High",P105="High",OR(Q105="Poor",M105=TRUE())),"HOLD / REVIEW","MONITOR"))</f>
        <v>MONITOR</v>
      </c>
      <c r="S105" s="11" t="n">
        <f aca="false">K105+(ROW()/10000000)</f>
        <v>32.0000105</v>
      </c>
    </row>
    <row r="106" customFormat="false" ht="15" hidden="false" customHeight="false" outlineLevel="0" collapsed="false">
      <c r="A106" s="11" t="s">
        <v>233</v>
      </c>
      <c r="B106" s="11" t="s">
        <v>29</v>
      </c>
      <c r="C106" s="11" t="s">
        <v>101</v>
      </c>
      <c r="D106" s="11" t="s">
        <v>37</v>
      </c>
      <c r="E106" s="11" t="s">
        <v>91</v>
      </c>
      <c r="F106" s="11" t="s">
        <v>74</v>
      </c>
      <c r="G106" s="21" t="n">
        <v>84.31</v>
      </c>
      <c r="H106" s="19" t="n">
        <v>0</v>
      </c>
      <c r="I106" s="21" t="n">
        <v>84.31</v>
      </c>
      <c r="J106" s="22" t="s">
        <v>80</v>
      </c>
      <c r="K106" s="11" t="n">
        <v>10</v>
      </c>
      <c r="L106" s="23" t="n">
        <v>3.9</v>
      </c>
      <c r="M106" s="24" t="b">
        <f aca="false">FALSE()</f>
        <v>0</v>
      </c>
      <c r="N106" s="11"/>
      <c r="O106" s="11" t="str">
        <f aca="false">IF(K106&lt;=StockP33,"Low",IF(K106&lt;=StockP67,"Moderate","High"))</f>
        <v>Low</v>
      </c>
      <c r="P106" s="11" t="str">
        <f aca="false">IF(H106=0,"Low",IF(H106&lt;=MarkdownP75,"Moderate","High"))</f>
        <v>Low</v>
      </c>
      <c r="Q106" s="11" t="str">
        <f aca="false">IF(ISBLANK(L106),"Unknown",IF(L106&gt;=4,"Good",IF(L106&lt;=2,"Poor","Neutral")))</f>
        <v>Neutral</v>
      </c>
      <c r="R106" s="11" t="str">
        <f aca="false">IF(AND(O106="Low",P106="Low",Q106="Good"),"BUY / PRIORITIZE",IF(AND(O106="High",P106="High",OR(Q106="Poor",M106=TRUE())),"HOLD / REVIEW","MONITOR"))</f>
        <v>MONITOR</v>
      </c>
      <c r="S106" s="11" t="n">
        <f aca="false">K106+(ROW()/10000000)</f>
        <v>10.0000106</v>
      </c>
    </row>
    <row r="107" customFormat="false" ht="15" hidden="false" customHeight="false" outlineLevel="0" collapsed="false">
      <c r="A107" s="11" t="s">
        <v>234</v>
      </c>
      <c r="B107" s="11" t="s">
        <v>26</v>
      </c>
      <c r="C107" s="11" t="s">
        <v>86</v>
      </c>
      <c r="D107" s="11" t="s">
        <v>34</v>
      </c>
      <c r="E107" s="11" t="s">
        <v>73</v>
      </c>
      <c r="F107" s="11" t="s">
        <v>111</v>
      </c>
      <c r="G107" s="21" t="n">
        <v>100.98</v>
      </c>
      <c r="H107" s="19" t="n">
        <v>0</v>
      </c>
      <c r="I107" s="21" t="n">
        <v>100.98</v>
      </c>
      <c r="J107" s="22" t="s">
        <v>235</v>
      </c>
      <c r="K107" s="11" t="n">
        <v>21</v>
      </c>
      <c r="L107" s="23" t="n">
        <v>2.8</v>
      </c>
      <c r="M107" s="24" t="b">
        <f aca="false">FALSE()</f>
        <v>0</v>
      </c>
      <c r="N107" s="11"/>
      <c r="O107" s="11" t="str">
        <f aca="false">IF(K107&lt;=StockP33,"Low",IF(K107&lt;=StockP67,"Moderate","High"))</f>
        <v>Moderate</v>
      </c>
      <c r="P107" s="11" t="str">
        <f aca="false">IF(H107=0,"Low",IF(H107&lt;=MarkdownP75,"Moderate","High"))</f>
        <v>Low</v>
      </c>
      <c r="Q107" s="11" t="str">
        <f aca="false">IF(ISBLANK(L107),"Unknown",IF(L107&gt;=4,"Good",IF(L107&lt;=2,"Poor","Neutral")))</f>
        <v>Neutral</v>
      </c>
      <c r="R107" s="11" t="str">
        <f aca="false">IF(AND(O107="Low",P107="Low",Q107="Good"),"BUY / PRIORITIZE",IF(AND(O107="High",P107="High",OR(Q107="Poor",M107=TRUE())),"HOLD / REVIEW","MONITOR"))</f>
        <v>MONITOR</v>
      </c>
      <c r="S107" s="11" t="n">
        <f aca="false">K107+(ROW()/10000000)</f>
        <v>21.0000107</v>
      </c>
    </row>
    <row r="108" customFormat="false" ht="15" hidden="false" customHeight="false" outlineLevel="0" collapsed="false">
      <c r="A108" s="11" t="s">
        <v>236</v>
      </c>
      <c r="B108" s="11" t="s">
        <v>26</v>
      </c>
      <c r="C108" s="11" t="s">
        <v>86</v>
      </c>
      <c r="D108" s="11" t="s">
        <v>35</v>
      </c>
      <c r="E108" s="11" t="s">
        <v>113</v>
      </c>
      <c r="F108" s="11" t="s">
        <v>111</v>
      </c>
      <c r="G108" s="21" t="n">
        <v>38.02</v>
      </c>
      <c r="H108" s="19" t="n">
        <v>0</v>
      </c>
      <c r="I108" s="21" t="n">
        <v>38.02</v>
      </c>
      <c r="J108" s="22" t="s">
        <v>80</v>
      </c>
      <c r="K108" s="11" t="n">
        <v>44</v>
      </c>
      <c r="L108" s="23" t="n">
        <v>4.7</v>
      </c>
      <c r="M108" s="24" t="b">
        <f aca="false">FALSE()</f>
        <v>0</v>
      </c>
      <c r="N108" s="11"/>
      <c r="O108" s="11" t="str">
        <f aca="false">IF(K108&lt;=StockP33,"Low",IF(K108&lt;=StockP67,"Moderate","High"))</f>
        <v>High</v>
      </c>
      <c r="P108" s="11" t="str">
        <f aca="false">IF(H108=0,"Low",IF(H108&lt;=MarkdownP75,"Moderate","High"))</f>
        <v>Low</v>
      </c>
      <c r="Q108" s="11" t="str">
        <f aca="false">IF(ISBLANK(L108),"Unknown",IF(L108&gt;=4,"Good",IF(L108&lt;=2,"Poor","Neutral")))</f>
        <v>Good</v>
      </c>
      <c r="R108" s="11" t="str">
        <f aca="false">IF(AND(O108="Low",P108="Low",Q108="Good"),"BUY / PRIORITIZE",IF(AND(O108="High",P108="High",OR(Q108="Poor",M108=TRUE())),"HOLD / REVIEW","MONITOR"))</f>
        <v>MONITOR</v>
      </c>
      <c r="S108" s="11" t="n">
        <f aca="false">K108+(ROW()/10000000)</f>
        <v>44.0000108</v>
      </c>
    </row>
    <row r="109" customFormat="false" ht="15" hidden="false" customHeight="false" outlineLevel="0" collapsed="false">
      <c r="A109" s="11" t="s">
        <v>237</v>
      </c>
      <c r="B109" s="11" t="s">
        <v>26</v>
      </c>
      <c r="C109" s="11" t="s">
        <v>101</v>
      </c>
      <c r="D109" s="11" t="s">
        <v>36</v>
      </c>
      <c r="E109" s="11" t="s">
        <v>73</v>
      </c>
      <c r="F109" s="11" t="s">
        <v>96</v>
      </c>
      <c r="G109" s="21" t="n">
        <v>63.85</v>
      </c>
      <c r="H109" s="19" t="n">
        <v>0</v>
      </c>
      <c r="I109" s="21" t="n">
        <v>63.85</v>
      </c>
      <c r="J109" s="22" t="s">
        <v>80</v>
      </c>
      <c r="K109" s="11" t="n">
        <v>41</v>
      </c>
      <c r="L109" s="23"/>
      <c r="M109" s="24" t="b">
        <f aca="false">FALSE()</f>
        <v>0</v>
      </c>
      <c r="N109" s="11"/>
      <c r="O109" s="11" t="str">
        <f aca="false">IF(K109&lt;=StockP33,"Low",IF(K109&lt;=StockP67,"Moderate","High"))</f>
        <v>High</v>
      </c>
      <c r="P109" s="11" t="str">
        <f aca="false">IF(H109=0,"Low",IF(H109&lt;=MarkdownP75,"Moderate","High"))</f>
        <v>Low</v>
      </c>
      <c r="Q109" s="11" t="str">
        <f aca="false">IF(ISBLANK(L109),"Unknown",IF(L109&gt;=4,"Good",IF(L109&lt;=2,"Poor","Neutral")))</f>
        <v>Unknown</v>
      </c>
      <c r="R109" s="11" t="str">
        <f aca="false">IF(AND(O109="Low",P109="Low",Q109="Good"),"BUY / PRIORITIZE",IF(AND(O109="High",P109="High",OR(Q109="Poor",M109=TRUE())),"HOLD / REVIEW","MONITOR"))</f>
        <v>MONITOR</v>
      </c>
      <c r="S109" s="11" t="n">
        <f aca="false">K109+(ROW()/10000000)</f>
        <v>41.0000109</v>
      </c>
    </row>
    <row r="110" customFormat="false" ht="15" hidden="false" customHeight="false" outlineLevel="0" collapsed="false">
      <c r="A110" s="11" t="s">
        <v>238</v>
      </c>
      <c r="B110" s="11" t="s">
        <v>29</v>
      </c>
      <c r="C110" s="11" t="s">
        <v>101</v>
      </c>
      <c r="D110" s="11" t="s">
        <v>36</v>
      </c>
      <c r="E110" s="11" t="s">
        <v>110</v>
      </c>
      <c r="F110" s="11" t="s">
        <v>118</v>
      </c>
      <c r="G110" s="21" t="n">
        <v>183.15</v>
      </c>
      <c r="H110" s="19" t="n">
        <v>0</v>
      </c>
      <c r="I110" s="21" t="n">
        <v>183.15</v>
      </c>
      <c r="J110" s="22" t="s">
        <v>80</v>
      </c>
      <c r="K110" s="11" t="n">
        <v>23</v>
      </c>
      <c r="L110" s="23" t="n">
        <v>4.1</v>
      </c>
      <c r="M110" s="24" t="b">
        <f aca="false">FALSE()</f>
        <v>0</v>
      </c>
      <c r="N110" s="11"/>
      <c r="O110" s="11" t="str">
        <f aca="false">IF(K110&lt;=StockP33,"Low",IF(K110&lt;=StockP67,"Moderate","High"))</f>
        <v>Moderate</v>
      </c>
      <c r="P110" s="11" t="str">
        <f aca="false">IF(H110=0,"Low",IF(H110&lt;=MarkdownP75,"Moderate","High"))</f>
        <v>Low</v>
      </c>
      <c r="Q110" s="11" t="str">
        <f aca="false">IF(ISBLANK(L110),"Unknown",IF(L110&gt;=4,"Good",IF(L110&lt;=2,"Poor","Neutral")))</f>
        <v>Good</v>
      </c>
      <c r="R110" s="11" t="str">
        <f aca="false">IF(AND(O110="Low",P110="Low",Q110="Good"),"BUY / PRIORITIZE",IF(AND(O110="High",P110="High",OR(Q110="Poor",M110=TRUE())),"HOLD / REVIEW","MONITOR"))</f>
        <v>MONITOR</v>
      </c>
      <c r="S110" s="11" t="n">
        <f aca="false">K110+(ROW()/10000000)</f>
        <v>23.000011</v>
      </c>
    </row>
    <row r="111" customFormat="false" ht="15" hidden="false" customHeight="false" outlineLevel="0" collapsed="false">
      <c r="A111" s="11" t="s">
        <v>239</v>
      </c>
      <c r="B111" s="11" t="s">
        <v>27</v>
      </c>
      <c r="C111" s="11" t="s">
        <v>72</v>
      </c>
      <c r="D111" s="11" t="s">
        <v>37</v>
      </c>
      <c r="E111" s="11" t="s">
        <v>91</v>
      </c>
      <c r="F111" s="11" t="s">
        <v>92</v>
      </c>
      <c r="G111" s="21" t="n">
        <v>91</v>
      </c>
      <c r="H111" s="19" t="n">
        <v>59.5</v>
      </c>
      <c r="I111" s="21" t="n">
        <v>36.86</v>
      </c>
      <c r="J111" s="22" t="s">
        <v>80</v>
      </c>
      <c r="K111" s="11" t="n">
        <v>5</v>
      </c>
      <c r="L111" s="23" t="n">
        <v>3.9</v>
      </c>
      <c r="M111" s="24" t="b">
        <f aca="false">FALSE()</f>
        <v>0</v>
      </c>
      <c r="N111" s="11"/>
      <c r="O111" s="11" t="str">
        <f aca="false">IF(K111&lt;=StockP33,"Low",IF(K111&lt;=StockP67,"Moderate","High"))</f>
        <v>Low</v>
      </c>
      <c r="P111" s="11" t="str">
        <f aca="false">IF(H111=0,"Low",IF(H111&lt;=MarkdownP75,"Moderate","High"))</f>
        <v>High</v>
      </c>
      <c r="Q111" s="11" t="str">
        <f aca="false">IF(ISBLANK(L111),"Unknown",IF(L111&gt;=4,"Good",IF(L111&lt;=2,"Poor","Neutral")))</f>
        <v>Neutral</v>
      </c>
      <c r="R111" s="11" t="str">
        <f aca="false">IF(AND(O111="Low",P111="Low",Q111="Good"),"BUY / PRIORITIZE",IF(AND(O111="High",P111="High",OR(Q111="Poor",M111=TRUE())),"HOLD / REVIEW","MONITOR"))</f>
        <v>MONITOR</v>
      </c>
      <c r="S111" s="11" t="n">
        <f aca="false">K111+(ROW()/10000000)</f>
        <v>5.0000111</v>
      </c>
    </row>
    <row r="112" customFormat="false" ht="15" hidden="false" customHeight="false" outlineLevel="0" collapsed="false">
      <c r="A112" s="11" t="s">
        <v>240</v>
      </c>
      <c r="B112" s="11" t="s">
        <v>28</v>
      </c>
      <c r="C112" s="11" t="s">
        <v>77</v>
      </c>
      <c r="D112" s="11" t="s">
        <v>34</v>
      </c>
      <c r="E112" s="11" t="s">
        <v>78</v>
      </c>
      <c r="F112" s="11" t="s">
        <v>82</v>
      </c>
      <c r="G112" s="21" t="n">
        <v>92.83</v>
      </c>
      <c r="H112" s="19" t="n">
        <v>0</v>
      </c>
      <c r="I112" s="21" t="n">
        <v>92.83</v>
      </c>
      <c r="J112" s="22" t="s">
        <v>241</v>
      </c>
      <c r="K112" s="11" t="n">
        <v>9</v>
      </c>
      <c r="L112" s="23" t="n">
        <v>1.2</v>
      </c>
      <c r="M112" s="24" t="b">
        <f aca="false">FALSE()</f>
        <v>0</v>
      </c>
      <c r="N112" s="11"/>
      <c r="O112" s="11" t="str">
        <f aca="false">IF(K112&lt;=StockP33,"Low",IF(K112&lt;=StockP67,"Moderate","High"))</f>
        <v>Low</v>
      </c>
      <c r="P112" s="11" t="str">
        <f aca="false">IF(H112=0,"Low",IF(H112&lt;=MarkdownP75,"Moderate","High"))</f>
        <v>Low</v>
      </c>
      <c r="Q112" s="11" t="str">
        <f aca="false">IF(ISBLANK(L112),"Unknown",IF(L112&gt;=4,"Good",IF(L112&lt;=2,"Poor","Neutral")))</f>
        <v>Poor</v>
      </c>
      <c r="R112" s="11" t="str">
        <f aca="false">IF(AND(O112="Low",P112="Low",Q112="Good"),"BUY / PRIORITIZE",IF(AND(O112="High",P112="High",OR(Q112="Poor",M112=TRUE())),"HOLD / REVIEW","MONITOR"))</f>
        <v>MONITOR</v>
      </c>
      <c r="S112" s="11" t="n">
        <f aca="false">K112+(ROW()/10000000)</f>
        <v>9.0000112</v>
      </c>
    </row>
    <row r="113" customFormat="false" ht="15" hidden="false" customHeight="false" outlineLevel="0" collapsed="false">
      <c r="A113" s="11" t="s">
        <v>242</v>
      </c>
      <c r="B113" s="11" t="s">
        <v>8</v>
      </c>
      <c r="C113" s="11" t="s">
        <v>86</v>
      </c>
      <c r="D113" s="11" t="s">
        <v>37</v>
      </c>
      <c r="E113" s="11"/>
      <c r="F113" s="11" t="s">
        <v>124</v>
      </c>
      <c r="G113" s="21" t="n">
        <v>34.45</v>
      </c>
      <c r="H113" s="19" t="n">
        <v>0</v>
      </c>
      <c r="I113" s="21" t="n">
        <v>34.45</v>
      </c>
      <c r="J113" s="22" t="s">
        <v>80</v>
      </c>
      <c r="K113" s="11" t="n">
        <v>4</v>
      </c>
      <c r="L113" s="23" t="n">
        <v>4.5</v>
      </c>
      <c r="M113" s="24" t="b">
        <f aca="false">FALSE()</f>
        <v>0</v>
      </c>
      <c r="N113" s="11"/>
      <c r="O113" s="11" t="str">
        <f aca="false">IF(K113&lt;=StockP33,"Low",IF(K113&lt;=StockP67,"Moderate","High"))</f>
        <v>Low</v>
      </c>
      <c r="P113" s="11" t="str">
        <f aca="false">IF(H113=0,"Low",IF(H113&lt;=MarkdownP75,"Moderate","High"))</f>
        <v>Low</v>
      </c>
      <c r="Q113" s="11" t="str">
        <f aca="false">IF(ISBLANK(L113),"Unknown",IF(L113&gt;=4,"Good",IF(L113&lt;=2,"Poor","Neutral")))</f>
        <v>Good</v>
      </c>
      <c r="R113" s="11" t="str">
        <f aca="false">IF(AND(O113="Low",P113="Low",Q113="Good"),"BUY / PRIORITIZE",IF(AND(O113="High",P113="High",OR(Q113="Poor",M113=TRUE())),"HOLD / REVIEW","MONITOR"))</f>
        <v>BUY / PRIORITIZE</v>
      </c>
      <c r="S113" s="11" t="n">
        <f aca="false">K113+(ROW()/10000000)</f>
        <v>4.0000113</v>
      </c>
    </row>
    <row r="114" customFormat="false" ht="15" hidden="false" customHeight="false" outlineLevel="0" collapsed="false">
      <c r="A114" s="11" t="s">
        <v>243</v>
      </c>
      <c r="B114" s="11" t="s">
        <v>27</v>
      </c>
      <c r="C114" s="11" t="s">
        <v>101</v>
      </c>
      <c r="D114" s="11" t="s">
        <v>36</v>
      </c>
      <c r="E114" s="11" t="s">
        <v>91</v>
      </c>
      <c r="F114" s="11" t="s">
        <v>120</v>
      </c>
      <c r="G114" s="21" t="n">
        <v>128.15</v>
      </c>
      <c r="H114" s="19" t="n">
        <v>50</v>
      </c>
      <c r="I114" s="21" t="n">
        <v>64.08</v>
      </c>
      <c r="J114" s="22" t="s">
        <v>80</v>
      </c>
      <c r="K114" s="11" t="n">
        <v>28</v>
      </c>
      <c r="L114" s="23" t="n">
        <v>3.2</v>
      </c>
      <c r="M114" s="24" t="b">
        <f aca="false">FALSE()</f>
        <v>0</v>
      </c>
      <c r="N114" s="11"/>
      <c r="O114" s="11" t="str">
        <f aca="false">IF(K114&lt;=StockP33,"Low",IF(K114&lt;=StockP67,"Moderate","High"))</f>
        <v>Moderate</v>
      </c>
      <c r="P114" s="11" t="str">
        <f aca="false">IF(H114=0,"Low",IF(H114&lt;=MarkdownP75,"Moderate","High"))</f>
        <v>High</v>
      </c>
      <c r="Q114" s="11" t="str">
        <f aca="false">IF(ISBLANK(L114),"Unknown",IF(L114&gt;=4,"Good",IF(L114&lt;=2,"Poor","Neutral")))</f>
        <v>Neutral</v>
      </c>
      <c r="R114" s="11" t="str">
        <f aca="false">IF(AND(O114="Low",P114="Low",Q114="Good"),"BUY / PRIORITIZE",IF(AND(O114="High",P114="High",OR(Q114="Poor",M114=TRUE())),"HOLD / REVIEW","MONITOR"))</f>
        <v>MONITOR</v>
      </c>
      <c r="S114" s="11" t="n">
        <f aca="false">K114+(ROW()/10000000)</f>
        <v>28.0000114</v>
      </c>
    </row>
    <row r="115" customFormat="false" ht="15" hidden="false" customHeight="false" outlineLevel="0" collapsed="false">
      <c r="A115" s="11" t="s">
        <v>244</v>
      </c>
      <c r="B115" s="11" t="s">
        <v>30</v>
      </c>
      <c r="C115" s="11" t="s">
        <v>95</v>
      </c>
      <c r="D115" s="11" t="s">
        <v>35</v>
      </c>
      <c r="E115" s="11" t="s">
        <v>102</v>
      </c>
      <c r="F115" s="11" t="s">
        <v>74</v>
      </c>
      <c r="G115" s="21" t="n">
        <v>99.62</v>
      </c>
      <c r="H115" s="19" t="n">
        <v>33.8</v>
      </c>
      <c r="I115" s="21" t="n">
        <v>65.95</v>
      </c>
      <c r="J115" s="22" t="s">
        <v>80</v>
      </c>
      <c r="K115" s="11" t="n">
        <v>27</v>
      </c>
      <c r="L115" s="23" t="n">
        <v>2.1</v>
      </c>
      <c r="M115" s="24" t="b">
        <f aca="false">FALSE()</f>
        <v>0</v>
      </c>
      <c r="N115" s="11"/>
      <c r="O115" s="11" t="str">
        <f aca="false">IF(K115&lt;=StockP33,"Low",IF(K115&lt;=StockP67,"Moderate","High"))</f>
        <v>Moderate</v>
      </c>
      <c r="P115" s="11" t="str">
        <f aca="false">IF(H115=0,"Low",IF(H115&lt;=MarkdownP75,"Moderate","High"))</f>
        <v>High</v>
      </c>
      <c r="Q115" s="11" t="str">
        <f aca="false">IF(ISBLANK(L115),"Unknown",IF(L115&gt;=4,"Good",IF(L115&lt;=2,"Poor","Neutral")))</f>
        <v>Neutral</v>
      </c>
      <c r="R115" s="11" t="str">
        <f aca="false">IF(AND(O115="Low",P115="Low",Q115="Good"),"BUY / PRIORITIZE",IF(AND(O115="High",P115="High",OR(Q115="Poor",M115=TRUE())),"HOLD / REVIEW","MONITOR"))</f>
        <v>MONITOR</v>
      </c>
      <c r="S115" s="11" t="n">
        <f aca="false">K115+(ROW()/10000000)</f>
        <v>27.0000115</v>
      </c>
    </row>
    <row r="116" customFormat="false" ht="15" hidden="false" customHeight="false" outlineLevel="0" collapsed="false">
      <c r="A116" s="11" t="s">
        <v>245</v>
      </c>
      <c r="B116" s="11" t="s">
        <v>26</v>
      </c>
      <c r="C116" s="11" t="s">
        <v>130</v>
      </c>
      <c r="D116" s="11" t="s">
        <v>37</v>
      </c>
      <c r="E116" s="11" t="s">
        <v>91</v>
      </c>
      <c r="F116" s="11" t="s">
        <v>79</v>
      </c>
      <c r="G116" s="21" t="n">
        <v>87.39</v>
      </c>
      <c r="H116" s="19" t="n">
        <v>25.5</v>
      </c>
      <c r="I116" s="21" t="n">
        <v>65.11</v>
      </c>
      <c r="J116" s="22" t="s">
        <v>80</v>
      </c>
      <c r="K116" s="11" t="n">
        <v>8</v>
      </c>
      <c r="L116" s="23" t="n">
        <v>2.3</v>
      </c>
      <c r="M116" s="24" t="b">
        <f aca="false">FALSE()</f>
        <v>0</v>
      </c>
      <c r="N116" s="11"/>
      <c r="O116" s="11" t="str">
        <f aca="false">IF(K116&lt;=StockP33,"Low",IF(K116&lt;=StockP67,"Moderate","High"))</f>
        <v>Low</v>
      </c>
      <c r="P116" s="11" t="str">
        <f aca="false">IF(H116=0,"Low",IF(H116&lt;=MarkdownP75,"Moderate","High"))</f>
        <v>High</v>
      </c>
      <c r="Q116" s="11" t="str">
        <f aca="false">IF(ISBLANK(L116),"Unknown",IF(L116&gt;=4,"Good",IF(L116&lt;=2,"Poor","Neutral")))</f>
        <v>Neutral</v>
      </c>
      <c r="R116" s="11" t="str">
        <f aca="false">IF(AND(O116="Low",P116="Low",Q116="Good"),"BUY / PRIORITIZE",IF(AND(O116="High",P116="High",OR(Q116="Poor",M116=TRUE())),"HOLD / REVIEW","MONITOR"))</f>
        <v>MONITOR</v>
      </c>
      <c r="S116" s="11" t="n">
        <f aca="false">K116+(ROW()/10000000)</f>
        <v>8.0000116</v>
      </c>
    </row>
    <row r="117" customFormat="false" ht="15" hidden="false" customHeight="false" outlineLevel="0" collapsed="false">
      <c r="A117" s="11" t="s">
        <v>246</v>
      </c>
      <c r="B117" s="11" t="s">
        <v>30</v>
      </c>
      <c r="C117" s="11" t="s">
        <v>72</v>
      </c>
      <c r="D117" s="11" t="s">
        <v>34</v>
      </c>
      <c r="E117" s="11" t="s">
        <v>102</v>
      </c>
      <c r="F117" s="11" t="s">
        <v>124</v>
      </c>
      <c r="G117" s="21" t="n">
        <v>49.67</v>
      </c>
      <c r="H117" s="19" t="n">
        <v>0</v>
      </c>
      <c r="I117" s="21" t="n">
        <v>49.67</v>
      </c>
      <c r="J117" s="22" t="s">
        <v>247</v>
      </c>
      <c r="K117" s="11" t="n">
        <v>37</v>
      </c>
      <c r="L117" s="23" t="n">
        <v>2.3</v>
      </c>
      <c r="M117" s="24" t="b">
        <f aca="false">FALSE()</f>
        <v>0</v>
      </c>
      <c r="N117" s="11"/>
      <c r="O117" s="11" t="str">
        <f aca="false">IF(K117&lt;=StockP33,"Low",IF(K117&lt;=StockP67,"Moderate","High"))</f>
        <v>High</v>
      </c>
      <c r="P117" s="11" t="str">
        <f aca="false">IF(H117=0,"Low",IF(H117&lt;=MarkdownP75,"Moderate","High"))</f>
        <v>Low</v>
      </c>
      <c r="Q117" s="11" t="str">
        <f aca="false">IF(ISBLANK(L117),"Unknown",IF(L117&gt;=4,"Good",IF(L117&lt;=2,"Poor","Neutral")))</f>
        <v>Neutral</v>
      </c>
      <c r="R117" s="11" t="str">
        <f aca="false">IF(AND(O117="Low",P117="Low",Q117="Good"),"BUY / PRIORITIZE",IF(AND(O117="High",P117="High",OR(Q117="Poor",M117=TRUE())),"HOLD / REVIEW","MONITOR"))</f>
        <v>MONITOR</v>
      </c>
      <c r="S117" s="11" t="n">
        <f aca="false">K117+(ROW()/10000000)</f>
        <v>37.0000117</v>
      </c>
    </row>
    <row r="118" customFormat="false" ht="15" hidden="false" customHeight="false" outlineLevel="0" collapsed="false">
      <c r="A118" s="11" t="s">
        <v>248</v>
      </c>
      <c r="B118" s="11" t="s">
        <v>8</v>
      </c>
      <c r="C118" s="11" t="s">
        <v>77</v>
      </c>
      <c r="D118" s="11" t="s">
        <v>36</v>
      </c>
      <c r="E118" s="11"/>
      <c r="F118" s="11" t="s">
        <v>124</v>
      </c>
      <c r="G118" s="21" t="n">
        <v>72.04</v>
      </c>
      <c r="H118" s="19" t="n">
        <v>0</v>
      </c>
      <c r="I118" s="21" t="n">
        <v>72.04</v>
      </c>
      <c r="J118" s="22" t="s">
        <v>80</v>
      </c>
      <c r="K118" s="11" t="n">
        <v>48</v>
      </c>
      <c r="L118" s="23"/>
      <c r="M118" s="24" t="b">
        <f aca="false">TRUE()</f>
        <v>1</v>
      </c>
      <c r="N118" s="11" t="s">
        <v>191</v>
      </c>
      <c r="O118" s="11" t="str">
        <f aca="false">IF(K118&lt;=StockP33,"Low",IF(K118&lt;=StockP67,"Moderate","High"))</f>
        <v>High</v>
      </c>
      <c r="P118" s="11" t="str">
        <f aca="false">IF(H118=0,"Low",IF(H118&lt;=MarkdownP75,"Moderate","High"))</f>
        <v>Low</v>
      </c>
      <c r="Q118" s="11" t="str">
        <f aca="false">IF(ISBLANK(L118),"Unknown",IF(L118&gt;=4,"Good",IF(L118&lt;=2,"Poor","Neutral")))</f>
        <v>Unknown</v>
      </c>
      <c r="R118" s="11" t="str">
        <f aca="false">IF(AND(O118="Low",P118="Low",Q118="Good"),"BUY / PRIORITIZE",IF(AND(O118="High",P118="High",OR(Q118="Poor",M118=TRUE())),"HOLD / REVIEW","MONITOR"))</f>
        <v>MONITOR</v>
      </c>
      <c r="S118" s="11" t="n">
        <f aca="false">K118+(ROW()/10000000)</f>
        <v>48.0000118</v>
      </c>
    </row>
    <row r="119" customFormat="false" ht="15" hidden="false" customHeight="false" outlineLevel="0" collapsed="false">
      <c r="A119" s="11" t="s">
        <v>249</v>
      </c>
      <c r="B119" s="11" t="s">
        <v>27</v>
      </c>
      <c r="C119" s="11" t="s">
        <v>72</v>
      </c>
      <c r="D119" s="11" t="s">
        <v>34</v>
      </c>
      <c r="E119" s="11" t="s">
        <v>113</v>
      </c>
      <c r="F119" s="11" t="s">
        <v>118</v>
      </c>
      <c r="G119" s="21" t="n">
        <v>133.82</v>
      </c>
      <c r="H119" s="19" t="n">
        <v>0</v>
      </c>
      <c r="I119" s="21" t="n">
        <v>133.82</v>
      </c>
      <c r="J119" s="22" t="s">
        <v>250</v>
      </c>
      <c r="K119" s="11" t="n">
        <v>12</v>
      </c>
      <c r="L119" s="23" t="n">
        <v>1.7</v>
      </c>
      <c r="M119" s="24" t="b">
        <f aca="false">FALSE()</f>
        <v>0</v>
      </c>
      <c r="N119" s="11"/>
      <c r="O119" s="11" t="str">
        <f aca="false">IF(K119&lt;=StockP33,"Low",IF(K119&lt;=StockP67,"Moderate","High"))</f>
        <v>Low</v>
      </c>
      <c r="P119" s="11" t="str">
        <f aca="false">IF(H119=0,"Low",IF(H119&lt;=MarkdownP75,"Moderate","High"))</f>
        <v>Low</v>
      </c>
      <c r="Q119" s="11" t="str">
        <f aca="false">IF(ISBLANK(L119),"Unknown",IF(L119&gt;=4,"Good",IF(L119&lt;=2,"Poor","Neutral")))</f>
        <v>Poor</v>
      </c>
      <c r="R119" s="11" t="str">
        <f aca="false">IF(AND(O119="Low",P119="Low",Q119="Good"),"BUY / PRIORITIZE",IF(AND(O119="High",P119="High",OR(Q119="Poor",M119=TRUE())),"HOLD / REVIEW","MONITOR"))</f>
        <v>MONITOR</v>
      </c>
      <c r="S119" s="11" t="n">
        <f aca="false">K119+(ROW()/10000000)</f>
        <v>12.0000119</v>
      </c>
    </row>
    <row r="120" customFormat="false" ht="15" hidden="false" customHeight="false" outlineLevel="0" collapsed="false">
      <c r="A120" s="11" t="s">
        <v>251</v>
      </c>
      <c r="B120" s="11" t="s">
        <v>26</v>
      </c>
      <c r="C120" s="11" t="s">
        <v>77</v>
      </c>
      <c r="D120" s="11" t="s">
        <v>37</v>
      </c>
      <c r="E120" s="11" t="s">
        <v>91</v>
      </c>
      <c r="F120" s="11" t="s">
        <v>82</v>
      </c>
      <c r="G120" s="21" t="n">
        <v>62.93</v>
      </c>
      <c r="H120" s="19" t="n">
        <v>0</v>
      </c>
      <c r="I120" s="21" t="n">
        <v>62.93</v>
      </c>
      <c r="J120" s="22" t="s">
        <v>80</v>
      </c>
      <c r="K120" s="11" t="n">
        <v>49</v>
      </c>
      <c r="L120" s="23"/>
      <c r="M120" s="24" t="b">
        <f aca="false">FALSE()</f>
        <v>0</v>
      </c>
      <c r="N120" s="11"/>
      <c r="O120" s="11" t="str">
        <f aca="false">IF(K120&lt;=StockP33,"Low",IF(K120&lt;=StockP67,"Moderate","High"))</f>
        <v>High</v>
      </c>
      <c r="P120" s="11" t="str">
        <f aca="false">IF(H120=0,"Low",IF(H120&lt;=MarkdownP75,"Moderate","High"))</f>
        <v>Low</v>
      </c>
      <c r="Q120" s="11" t="str">
        <f aca="false">IF(ISBLANK(L120),"Unknown",IF(L120&gt;=4,"Good",IF(L120&lt;=2,"Poor","Neutral")))</f>
        <v>Unknown</v>
      </c>
      <c r="R120" s="11" t="str">
        <f aca="false">IF(AND(O120="Low",P120="Low",Q120="Good"),"BUY / PRIORITIZE",IF(AND(O120="High",P120="High",OR(Q120="Poor",M120=TRUE())),"HOLD / REVIEW","MONITOR"))</f>
        <v>MONITOR</v>
      </c>
      <c r="S120" s="11" t="n">
        <f aca="false">K120+(ROW()/10000000)</f>
        <v>49.000012</v>
      </c>
    </row>
    <row r="121" customFormat="false" ht="15" hidden="false" customHeight="false" outlineLevel="0" collapsed="false">
      <c r="A121" s="11" t="s">
        <v>252</v>
      </c>
      <c r="B121" s="11" t="s">
        <v>28</v>
      </c>
      <c r="C121" s="11" t="s">
        <v>72</v>
      </c>
      <c r="D121" s="11" t="s">
        <v>34</v>
      </c>
      <c r="E121" s="11" t="s">
        <v>78</v>
      </c>
      <c r="F121" s="11" t="s">
        <v>74</v>
      </c>
      <c r="G121" s="21" t="n">
        <v>248.58</v>
      </c>
      <c r="H121" s="19" t="n">
        <v>0</v>
      </c>
      <c r="I121" s="21" t="n">
        <v>248.58</v>
      </c>
      <c r="J121" s="22" t="s">
        <v>253</v>
      </c>
      <c r="K121" s="11" t="n">
        <v>27</v>
      </c>
      <c r="L121" s="23" t="n">
        <v>1.5</v>
      </c>
      <c r="M121" s="24" t="b">
        <f aca="false">FALSE()</f>
        <v>0</v>
      </c>
      <c r="N121" s="11"/>
      <c r="O121" s="11" t="str">
        <f aca="false">IF(K121&lt;=StockP33,"Low",IF(K121&lt;=StockP67,"Moderate","High"))</f>
        <v>Moderate</v>
      </c>
      <c r="P121" s="11" t="str">
        <f aca="false">IF(H121=0,"Low",IF(H121&lt;=MarkdownP75,"Moderate","High"))</f>
        <v>Low</v>
      </c>
      <c r="Q121" s="11" t="str">
        <f aca="false">IF(ISBLANK(L121),"Unknown",IF(L121&gt;=4,"Good",IF(L121&lt;=2,"Poor","Neutral")))</f>
        <v>Poor</v>
      </c>
      <c r="R121" s="11" t="str">
        <f aca="false">IF(AND(O121="Low",P121="Low",Q121="Good"),"BUY / PRIORITIZE",IF(AND(O121="High",P121="High",OR(Q121="Poor",M121=TRUE())),"HOLD / REVIEW","MONITOR"))</f>
        <v>MONITOR</v>
      </c>
      <c r="S121" s="11" t="n">
        <f aca="false">K121+(ROW()/10000000)</f>
        <v>27.0000121</v>
      </c>
    </row>
    <row r="122" customFormat="false" ht="15" hidden="false" customHeight="false" outlineLevel="0" collapsed="false">
      <c r="A122" s="11" t="s">
        <v>254</v>
      </c>
      <c r="B122" s="11" t="s">
        <v>29</v>
      </c>
      <c r="C122" s="11" t="s">
        <v>77</v>
      </c>
      <c r="D122" s="11" t="s">
        <v>36</v>
      </c>
      <c r="E122" s="11" t="s">
        <v>102</v>
      </c>
      <c r="F122" s="11" t="s">
        <v>118</v>
      </c>
      <c r="G122" s="21" t="n">
        <v>61.08</v>
      </c>
      <c r="H122" s="19" t="n">
        <v>0</v>
      </c>
      <c r="I122" s="21" t="n">
        <v>61.08</v>
      </c>
      <c r="J122" s="22" t="s">
        <v>80</v>
      </c>
      <c r="K122" s="11" t="n">
        <v>27</v>
      </c>
      <c r="L122" s="23"/>
      <c r="M122" s="24" t="b">
        <f aca="false">TRUE()</f>
        <v>1</v>
      </c>
      <c r="N122" s="11" t="s">
        <v>178</v>
      </c>
      <c r="O122" s="11" t="str">
        <f aca="false">IF(K122&lt;=StockP33,"Low",IF(K122&lt;=StockP67,"Moderate","High"))</f>
        <v>Moderate</v>
      </c>
      <c r="P122" s="11" t="str">
        <f aca="false">IF(H122=0,"Low",IF(H122&lt;=MarkdownP75,"Moderate","High"))</f>
        <v>Low</v>
      </c>
      <c r="Q122" s="11" t="str">
        <f aca="false">IF(ISBLANK(L122),"Unknown",IF(L122&gt;=4,"Good",IF(L122&lt;=2,"Poor","Neutral")))</f>
        <v>Unknown</v>
      </c>
      <c r="R122" s="11" t="str">
        <f aca="false">IF(AND(O122="Low",P122="Low",Q122="Good"),"BUY / PRIORITIZE",IF(AND(O122="High",P122="High",OR(Q122="Poor",M122=TRUE())),"HOLD / REVIEW","MONITOR"))</f>
        <v>MONITOR</v>
      </c>
      <c r="S122" s="11" t="n">
        <f aca="false">K122+(ROW()/10000000)</f>
        <v>27.0000122</v>
      </c>
    </row>
    <row r="123" customFormat="false" ht="15" hidden="false" customHeight="false" outlineLevel="0" collapsed="false">
      <c r="A123" s="11" t="s">
        <v>255</v>
      </c>
      <c r="B123" s="11" t="s">
        <v>26</v>
      </c>
      <c r="C123" s="11" t="s">
        <v>116</v>
      </c>
      <c r="D123" s="11" t="s">
        <v>37</v>
      </c>
      <c r="E123" s="11" t="s">
        <v>91</v>
      </c>
      <c r="F123" s="11" t="s">
        <v>74</v>
      </c>
      <c r="G123" s="21" t="n">
        <v>109.12</v>
      </c>
      <c r="H123" s="19" t="n">
        <v>0</v>
      </c>
      <c r="I123" s="21" t="n">
        <v>109.12</v>
      </c>
      <c r="J123" s="22" t="s">
        <v>80</v>
      </c>
      <c r="K123" s="11" t="n">
        <v>34</v>
      </c>
      <c r="L123" s="23"/>
      <c r="M123" s="24" t="b">
        <f aca="false">FALSE()</f>
        <v>0</v>
      </c>
      <c r="N123" s="11"/>
      <c r="O123" s="11" t="str">
        <f aca="false">IF(K123&lt;=StockP33,"Low",IF(K123&lt;=StockP67,"Moderate","High"))</f>
        <v>High</v>
      </c>
      <c r="P123" s="11" t="str">
        <f aca="false">IF(H123=0,"Low",IF(H123&lt;=MarkdownP75,"Moderate","High"))</f>
        <v>Low</v>
      </c>
      <c r="Q123" s="11" t="str">
        <f aca="false">IF(ISBLANK(L123),"Unknown",IF(L123&gt;=4,"Good",IF(L123&lt;=2,"Poor","Neutral")))</f>
        <v>Unknown</v>
      </c>
      <c r="R123" s="11" t="str">
        <f aca="false">IF(AND(O123="Low",P123="Low",Q123="Good"),"BUY / PRIORITIZE",IF(AND(O123="High",P123="High",OR(Q123="Poor",M123=TRUE())),"HOLD / REVIEW","MONITOR"))</f>
        <v>MONITOR</v>
      </c>
      <c r="S123" s="11" t="n">
        <f aca="false">K123+(ROW()/10000000)</f>
        <v>34.0000123</v>
      </c>
    </row>
    <row r="124" customFormat="false" ht="15" hidden="false" customHeight="false" outlineLevel="0" collapsed="false">
      <c r="A124" s="11" t="s">
        <v>256</v>
      </c>
      <c r="B124" s="11" t="s">
        <v>28</v>
      </c>
      <c r="C124" s="11" t="s">
        <v>72</v>
      </c>
      <c r="D124" s="11" t="s">
        <v>37</v>
      </c>
      <c r="E124" s="11" t="s">
        <v>102</v>
      </c>
      <c r="F124" s="11" t="s">
        <v>120</v>
      </c>
      <c r="G124" s="21" t="n">
        <v>82.91</v>
      </c>
      <c r="H124" s="19" t="n">
        <v>45.9</v>
      </c>
      <c r="I124" s="21" t="n">
        <v>44.85</v>
      </c>
      <c r="J124" s="22" t="s">
        <v>80</v>
      </c>
      <c r="K124" s="11" t="n">
        <v>24</v>
      </c>
      <c r="L124" s="23"/>
      <c r="M124" s="24" t="b">
        <f aca="false">TRUE()</f>
        <v>1</v>
      </c>
      <c r="N124" s="11" t="s">
        <v>140</v>
      </c>
      <c r="O124" s="11" t="str">
        <f aca="false">IF(K124&lt;=StockP33,"Low",IF(K124&lt;=StockP67,"Moderate","High"))</f>
        <v>Moderate</v>
      </c>
      <c r="P124" s="11" t="str">
        <f aca="false">IF(H124=0,"Low",IF(H124&lt;=MarkdownP75,"Moderate","High"))</f>
        <v>High</v>
      </c>
      <c r="Q124" s="11" t="str">
        <f aca="false">IF(ISBLANK(L124),"Unknown",IF(L124&gt;=4,"Good",IF(L124&lt;=2,"Poor","Neutral")))</f>
        <v>Unknown</v>
      </c>
      <c r="R124" s="11" t="str">
        <f aca="false">IF(AND(O124="Low",P124="Low",Q124="Good"),"BUY / PRIORITIZE",IF(AND(O124="High",P124="High",OR(Q124="Poor",M124=TRUE())),"HOLD / REVIEW","MONITOR"))</f>
        <v>MONITOR</v>
      </c>
      <c r="S124" s="11" t="n">
        <f aca="false">K124+(ROW()/10000000)</f>
        <v>24.0000124</v>
      </c>
    </row>
    <row r="125" customFormat="false" ht="15" hidden="false" customHeight="false" outlineLevel="0" collapsed="false">
      <c r="A125" s="11" t="s">
        <v>257</v>
      </c>
      <c r="B125" s="11" t="s">
        <v>29</v>
      </c>
      <c r="C125" s="11" t="s">
        <v>101</v>
      </c>
      <c r="D125" s="11" t="s">
        <v>35</v>
      </c>
      <c r="E125" s="11" t="s">
        <v>110</v>
      </c>
      <c r="F125" s="11" t="s">
        <v>120</v>
      </c>
      <c r="G125" s="21" t="n">
        <v>113.53</v>
      </c>
      <c r="H125" s="19" t="n">
        <v>10.9</v>
      </c>
      <c r="I125" s="21" t="n">
        <v>101.16</v>
      </c>
      <c r="J125" s="22" t="s">
        <v>80</v>
      </c>
      <c r="K125" s="11" t="n">
        <v>40</v>
      </c>
      <c r="L125" s="23" t="n">
        <v>2.8</v>
      </c>
      <c r="M125" s="24" t="b">
        <f aca="false">FALSE()</f>
        <v>0</v>
      </c>
      <c r="N125" s="11"/>
      <c r="O125" s="11" t="str">
        <f aca="false">IF(K125&lt;=StockP33,"Low",IF(K125&lt;=StockP67,"Moderate","High"))</f>
        <v>High</v>
      </c>
      <c r="P125" s="11" t="str">
        <f aca="false">IF(H125=0,"Low",IF(H125&lt;=MarkdownP75,"Moderate","High"))</f>
        <v>Moderate</v>
      </c>
      <c r="Q125" s="11" t="str">
        <f aca="false">IF(ISBLANK(L125),"Unknown",IF(L125&gt;=4,"Good",IF(L125&lt;=2,"Poor","Neutral")))</f>
        <v>Neutral</v>
      </c>
      <c r="R125" s="11" t="str">
        <f aca="false">IF(AND(O125="Low",P125="Low",Q125="Good"),"BUY / PRIORITIZE",IF(AND(O125="High",P125="High",OR(Q125="Poor",M125=TRUE())),"HOLD / REVIEW","MONITOR"))</f>
        <v>MONITOR</v>
      </c>
      <c r="S125" s="11" t="n">
        <f aca="false">K125+(ROW()/10000000)</f>
        <v>40.0000125</v>
      </c>
    </row>
    <row r="126" customFormat="false" ht="15" hidden="false" customHeight="false" outlineLevel="0" collapsed="false">
      <c r="A126" s="11" t="s">
        <v>258</v>
      </c>
      <c r="B126" s="11" t="s">
        <v>8</v>
      </c>
      <c r="C126" s="11" t="s">
        <v>77</v>
      </c>
      <c r="D126" s="11" t="s">
        <v>37</v>
      </c>
      <c r="E126" s="11"/>
      <c r="F126" s="11" t="s">
        <v>124</v>
      </c>
      <c r="G126" s="21" t="n">
        <v>38.89</v>
      </c>
      <c r="H126" s="19" t="n">
        <v>51.5</v>
      </c>
      <c r="I126" s="21" t="n">
        <v>18.86</v>
      </c>
      <c r="J126" s="22" t="s">
        <v>80</v>
      </c>
      <c r="K126" s="11" t="n">
        <v>28</v>
      </c>
      <c r="L126" s="23" t="n">
        <v>4.3</v>
      </c>
      <c r="M126" s="24" t="b">
        <f aca="false">FALSE()</f>
        <v>0</v>
      </c>
      <c r="N126" s="11"/>
      <c r="O126" s="11" t="str">
        <f aca="false">IF(K126&lt;=StockP33,"Low",IF(K126&lt;=StockP67,"Moderate","High"))</f>
        <v>Moderate</v>
      </c>
      <c r="P126" s="11" t="str">
        <f aca="false">IF(H126=0,"Low",IF(H126&lt;=MarkdownP75,"Moderate","High"))</f>
        <v>High</v>
      </c>
      <c r="Q126" s="11" t="str">
        <f aca="false">IF(ISBLANK(L126),"Unknown",IF(L126&gt;=4,"Good",IF(L126&lt;=2,"Poor","Neutral")))</f>
        <v>Good</v>
      </c>
      <c r="R126" s="11" t="str">
        <f aca="false">IF(AND(O126="Low",P126="Low",Q126="Good"),"BUY / PRIORITIZE",IF(AND(O126="High",P126="High",OR(Q126="Poor",M126=TRUE())),"HOLD / REVIEW","MONITOR"))</f>
        <v>MONITOR</v>
      </c>
      <c r="S126" s="11" t="n">
        <f aca="false">K126+(ROW()/10000000)</f>
        <v>28.0000126</v>
      </c>
    </row>
    <row r="127" customFormat="false" ht="15" hidden="false" customHeight="false" outlineLevel="0" collapsed="false">
      <c r="A127" s="11" t="s">
        <v>259</v>
      </c>
      <c r="B127" s="11" t="s">
        <v>27</v>
      </c>
      <c r="C127" s="11" t="s">
        <v>116</v>
      </c>
      <c r="D127" s="11" t="s">
        <v>34</v>
      </c>
      <c r="E127" s="11" t="s">
        <v>102</v>
      </c>
      <c r="F127" s="11" t="s">
        <v>82</v>
      </c>
      <c r="G127" s="21" t="n">
        <v>53.01</v>
      </c>
      <c r="H127" s="19" t="n">
        <v>45.9</v>
      </c>
      <c r="I127" s="21" t="n">
        <v>28.68</v>
      </c>
      <c r="J127" s="22" t="s">
        <v>260</v>
      </c>
      <c r="K127" s="11" t="n">
        <v>37</v>
      </c>
      <c r="L127" s="23" t="n">
        <v>3.7</v>
      </c>
      <c r="M127" s="24" t="b">
        <f aca="false">FALSE()</f>
        <v>0</v>
      </c>
      <c r="N127" s="11"/>
      <c r="O127" s="11" t="str">
        <f aca="false">IF(K127&lt;=StockP33,"Low",IF(K127&lt;=StockP67,"Moderate","High"))</f>
        <v>High</v>
      </c>
      <c r="P127" s="11" t="str">
        <f aca="false">IF(H127=0,"Low",IF(H127&lt;=MarkdownP75,"Moderate","High"))</f>
        <v>High</v>
      </c>
      <c r="Q127" s="11" t="str">
        <f aca="false">IF(ISBLANK(L127),"Unknown",IF(L127&gt;=4,"Good",IF(L127&lt;=2,"Poor","Neutral")))</f>
        <v>Neutral</v>
      </c>
      <c r="R127" s="11" t="str">
        <f aca="false">IF(AND(O127="Low",P127="Low",Q127="Good"),"BUY / PRIORITIZE",IF(AND(O127="High",P127="High",OR(Q127="Poor",M127=TRUE())),"HOLD / REVIEW","MONITOR"))</f>
        <v>MONITOR</v>
      </c>
      <c r="S127" s="11" t="n">
        <f aca="false">K127+(ROW()/10000000)</f>
        <v>37.0000127</v>
      </c>
    </row>
    <row r="128" customFormat="false" ht="15" hidden="false" customHeight="false" outlineLevel="0" collapsed="false">
      <c r="A128" s="11" t="s">
        <v>261</v>
      </c>
      <c r="B128" s="11" t="s">
        <v>29</v>
      </c>
      <c r="C128" s="11" t="s">
        <v>107</v>
      </c>
      <c r="D128" s="11" t="s">
        <v>34</v>
      </c>
      <c r="E128" s="11" t="s">
        <v>102</v>
      </c>
      <c r="F128" s="11" t="s">
        <v>96</v>
      </c>
      <c r="G128" s="21" t="n">
        <v>81.64</v>
      </c>
      <c r="H128" s="19" t="n">
        <v>0</v>
      </c>
      <c r="I128" s="21" t="n">
        <v>81.64</v>
      </c>
      <c r="J128" s="22" t="s">
        <v>262</v>
      </c>
      <c r="K128" s="11" t="n">
        <v>50</v>
      </c>
      <c r="L128" s="23" t="n">
        <v>1.1</v>
      </c>
      <c r="M128" s="24" t="b">
        <f aca="false">FALSE()</f>
        <v>0</v>
      </c>
      <c r="N128" s="11"/>
      <c r="O128" s="11" t="str">
        <f aca="false">IF(K128&lt;=StockP33,"Low",IF(K128&lt;=StockP67,"Moderate","High"))</f>
        <v>High</v>
      </c>
      <c r="P128" s="11" t="str">
        <f aca="false">IF(H128=0,"Low",IF(H128&lt;=MarkdownP75,"Moderate","High"))</f>
        <v>Low</v>
      </c>
      <c r="Q128" s="11" t="str">
        <f aca="false">IF(ISBLANK(L128),"Unknown",IF(L128&gt;=4,"Good",IF(L128&lt;=2,"Poor","Neutral")))</f>
        <v>Poor</v>
      </c>
      <c r="R128" s="11" t="str">
        <f aca="false">IF(AND(O128="Low",P128="Low",Q128="Good"),"BUY / PRIORITIZE",IF(AND(O128="High",P128="High",OR(Q128="Poor",M128=TRUE())),"HOLD / REVIEW","MONITOR"))</f>
        <v>MONITOR</v>
      </c>
      <c r="S128" s="11" t="n">
        <f aca="false">K128+(ROW()/10000000)</f>
        <v>50.0000128</v>
      </c>
    </row>
    <row r="129" customFormat="false" ht="15" hidden="false" customHeight="false" outlineLevel="0" collapsed="false">
      <c r="A129" s="11" t="s">
        <v>263</v>
      </c>
      <c r="B129" s="11" t="s">
        <v>29</v>
      </c>
      <c r="C129" s="11" t="s">
        <v>107</v>
      </c>
      <c r="D129" s="11" t="s">
        <v>34</v>
      </c>
      <c r="E129" s="11" t="s">
        <v>102</v>
      </c>
      <c r="F129" s="11" t="s">
        <v>88</v>
      </c>
      <c r="G129" s="21" t="n">
        <v>125.24</v>
      </c>
      <c r="H129" s="19" t="n">
        <v>21.5</v>
      </c>
      <c r="I129" s="21" t="n">
        <v>98.31</v>
      </c>
      <c r="J129" s="22" t="s">
        <v>247</v>
      </c>
      <c r="K129" s="11" t="n">
        <v>7</v>
      </c>
      <c r="L129" s="23" t="n">
        <v>2.9</v>
      </c>
      <c r="M129" s="24" t="b">
        <f aca="false">FALSE()</f>
        <v>0</v>
      </c>
      <c r="N129" s="11"/>
      <c r="O129" s="11" t="str">
        <f aca="false">IF(K129&lt;=StockP33,"Low",IF(K129&lt;=StockP67,"Moderate","High"))</f>
        <v>Low</v>
      </c>
      <c r="P129" s="11" t="str">
        <f aca="false">IF(H129=0,"Low",IF(H129&lt;=MarkdownP75,"Moderate","High"))</f>
        <v>Moderate</v>
      </c>
      <c r="Q129" s="11" t="str">
        <f aca="false">IF(ISBLANK(L129),"Unknown",IF(L129&gt;=4,"Good",IF(L129&lt;=2,"Poor","Neutral")))</f>
        <v>Neutral</v>
      </c>
      <c r="R129" s="11" t="str">
        <f aca="false">IF(AND(O129="Low",P129="Low",Q129="Good"),"BUY / PRIORITIZE",IF(AND(O129="High",P129="High",OR(Q129="Poor",M129=TRUE())),"HOLD / REVIEW","MONITOR"))</f>
        <v>MONITOR</v>
      </c>
      <c r="S129" s="11" t="n">
        <f aca="false">K129+(ROW()/10000000)</f>
        <v>7.0000129</v>
      </c>
    </row>
    <row r="130" customFormat="false" ht="15" hidden="false" customHeight="false" outlineLevel="0" collapsed="false">
      <c r="A130" s="11" t="s">
        <v>264</v>
      </c>
      <c r="B130" s="11" t="s">
        <v>28</v>
      </c>
      <c r="C130" s="11" t="s">
        <v>107</v>
      </c>
      <c r="D130" s="11" t="s">
        <v>34</v>
      </c>
      <c r="E130" s="11" t="s">
        <v>110</v>
      </c>
      <c r="F130" s="11" t="s">
        <v>79</v>
      </c>
      <c r="G130" s="21" t="n">
        <v>98.61</v>
      </c>
      <c r="H130" s="19" t="n">
        <v>0</v>
      </c>
      <c r="I130" s="21" t="n">
        <v>98.61</v>
      </c>
      <c r="J130" s="22" t="s">
        <v>265</v>
      </c>
      <c r="K130" s="11" t="n">
        <v>1</v>
      </c>
      <c r="L130" s="23" t="n">
        <v>2.6</v>
      </c>
      <c r="M130" s="24" t="b">
        <f aca="false">FALSE()</f>
        <v>0</v>
      </c>
      <c r="N130" s="11"/>
      <c r="O130" s="11" t="str">
        <f aca="false">IF(K130&lt;=StockP33,"Low",IF(K130&lt;=StockP67,"Moderate","High"))</f>
        <v>Low</v>
      </c>
      <c r="P130" s="11" t="str">
        <f aca="false">IF(H130=0,"Low",IF(H130&lt;=MarkdownP75,"Moderate","High"))</f>
        <v>Low</v>
      </c>
      <c r="Q130" s="11" t="str">
        <f aca="false">IF(ISBLANK(L130),"Unknown",IF(L130&gt;=4,"Good",IF(L130&lt;=2,"Poor","Neutral")))</f>
        <v>Neutral</v>
      </c>
      <c r="R130" s="11" t="str">
        <f aca="false">IF(AND(O130="Low",P130="Low",Q130="Good"),"BUY / PRIORITIZE",IF(AND(O130="High",P130="High",OR(Q130="Poor",M130=TRUE())),"HOLD / REVIEW","MONITOR"))</f>
        <v>MONITOR</v>
      </c>
      <c r="S130" s="11" t="n">
        <f aca="false">K130+(ROW()/10000000)</f>
        <v>1.000013</v>
      </c>
    </row>
    <row r="131" customFormat="false" ht="15" hidden="false" customHeight="false" outlineLevel="0" collapsed="false">
      <c r="A131" s="11" t="s">
        <v>266</v>
      </c>
      <c r="B131" s="11" t="s">
        <v>29</v>
      </c>
      <c r="C131" s="11" t="s">
        <v>116</v>
      </c>
      <c r="D131" s="11" t="s">
        <v>36</v>
      </c>
      <c r="E131" s="11" t="s">
        <v>110</v>
      </c>
      <c r="F131" s="11" t="s">
        <v>96</v>
      </c>
      <c r="G131" s="21" t="n">
        <v>77.54</v>
      </c>
      <c r="H131" s="19" t="n">
        <v>0</v>
      </c>
      <c r="I131" s="21" t="n">
        <v>77.54</v>
      </c>
      <c r="J131" s="22" t="s">
        <v>80</v>
      </c>
      <c r="K131" s="11" t="n">
        <v>36</v>
      </c>
      <c r="L131" s="23" t="n">
        <v>3.4</v>
      </c>
      <c r="M131" s="24" t="b">
        <f aca="false">FALSE()</f>
        <v>0</v>
      </c>
      <c r="N131" s="11"/>
      <c r="O131" s="11" t="str">
        <f aca="false">IF(K131&lt;=StockP33,"Low",IF(K131&lt;=StockP67,"Moderate","High"))</f>
        <v>High</v>
      </c>
      <c r="P131" s="11" t="str">
        <f aca="false">IF(H131=0,"Low",IF(H131&lt;=MarkdownP75,"Moderate","High"))</f>
        <v>Low</v>
      </c>
      <c r="Q131" s="11" t="str">
        <f aca="false">IF(ISBLANK(L131),"Unknown",IF(L131&gt;=4,"Good",IF(L131&lt;=2,"Poor","Neutral")))</f>
        <v>Neutral</v>
      </c>
      <c r="R131" s="11" t="str">
        <f aca="false">IF(AND(O131="Low",P131="Low",Q131="Good"),"BUY / PRIORITIZE",IF(AND(O131="High",P131="High",OR(Q131="Poor",M131=TRUE())),"HOLD / REVIEW","MONITOR"))</f>
        <v>MONITOR</v>
      </c>
      <c r="S131" s="11" t="n">
        <f aca="false">K131+(ROW()/10000000)</f>
        <v>36.0000131</v>
      </c>
    </row>
    <row r="132" customFormat="false" ht="15" hidden="false" customHeight="false" outlineLevel="0" collapsed="false">
      <c r="A132" s="11" t="s">
        <v>267</v>
      </c>
      <c r="B132" s="11" t="s">
        <v>27</v>
      </c>
      <c r="C132" s="11" t="s">
        <v>86</v>
      </c>
      <c r="D132" s="11" t="s">
        <v>34</v>
      </c>
      <c r="E132" s="11" t="s">
        <v>73</v>
      </c>
      <c r="F132" s="11" t="s">
        <v>120</v>
      </c>
      <c r="G132" s="21" t="n">
        <v>79.13</v>
      </c>
      <c r="H132" s="19" t="n">
        <v>0</v>
      </c>
      <c r="I132" s="21" t="n">
        <v>79.13</v>
      </c>
      <c r="J132" s="22" t="s">
        <v>268</v>
      </c>
      <c r="K132" s="11" t="n">
        <v>11</v>
      </c>
      <c r="L132" s="23" t="n">
        <v>3.6</v>
      </c>
      <c r="M132" s="24" t="b">
        <f aca="false">FALSE()</f>
        <v>0</v>
      </c>
      <c r="N132" s="11"/>
      <c r="O132" s="11" t="str">
        <f aca="false">IF(K132&lt;=StockP33,"Low",IF(K132&lt;=StockP67,"Moderate","High"))</f>
        <v>Low</v>
      </c>
      <c r="P132" s="11" t="str">
        <f aca="false">IF(H132=0,"Low",IF(H132&lt;=MarkdownP75,"Moderate","High"))</f>
        <v>Low</v>
      </c>
      <c r="Q132" s="11" t="str">
        <f aca="false">IF(ISBLANK(L132),"Unknown",IF(L132&gt;=4,"Good",IF(L132&lt;=2,"Poor","Neutral")))</f>
        <v>Neutral</v>
      </c>
      <c r="R132" s="11" t="str">
        <f aca="false">IF(AND(O132="Low",P132="Low",Q132="Good"),"BUY / PRIORITIZE",IF(AND(O132="High",P132="High",OR(Q132="Poor",M132=TRUE())),"HOLD / REVIEW","MONITOR"))</f>
        <v>MONITOR</v>
      </c>
      <c r="S132" s="11" t="n">
        <f aca="false">K132+(ROW()/10000000)</f>
        <v>11.0000132</v>
      </c>
    </row>
    <row r="133" customFormat="false" ht="15" hidden="false" customHeight="false" outlineLevel="0" collapsed="false">
      <c r="A133" s="11" t="s">
        <v>269</v>
      </c>
      <c r="B133" s="11" t="s">
        <v>26</v>
      </c>
      <c r="C133" s="11" t="s">
        <v>95</v>
      </c>
      <c r="D133" s="11" t="s">
        <v>34</v>
      </c>
      <c r="E133" s="11" t="s">
        <v>91</v>
      </c>
      <c r="F133" s="11" t="s">
        <v>98</v>
      </c>
      <c r="G133" s="21" t="n">
        <v>96.11</v>
      </c>
      <c r="H133" s="19" t="n">
        <v>0</v>
      </c>
      <c r="I133" s="21" t="n">
        <v>96.11</v>
      </c>
      <c r="J133" s="22" t="s">
        <v>270</v>
      </c>
      <c r="K133" s="11" t="n">
        <v>13</v>
      </c>
      <c r="L133" s="23" t="n">
        <v>4.2</v>
      </c>
      <c r="M133" s="24" t="b">
        <f aca="false">FALSE()</f>
        <v>0</v>
      </c>
      <c r="N133" s="11"/>
      <c r="O133" s="11" t="str">
        <f aca="false">IF(K133&lt;=StockP33,"Low",IF(K133&lt;=StockP67,"Moderate","High"))</f>
        <v>Low</v>
      </c>
      <c r="P133" s="11" t="str">
        <f aca="false">IF(H133=0,"Low",IF(H133&lt;=MarkdownP75,"Moderate","High"))</f>
        <v>Low</v>
      </c>
      <c r="Q133" s="11" t="str">
        <f aca="false">IF(ISBLANK(L133),"Unknown",IF(L133&gt;=4,"Good",IF(L133&lt;=2,"Poor","Neutral")))</f>
        <v>Good</v>
      </c>
      <c r="R133" s="11" t="str">
        <f aca="false">IF(AND(O133="Low",P133="Low",Q133="Good"),"BUY / PRIORITIZE",IF(AND(O133="High",P133="High",OR(Q133="Poor",M133=TRUE())),"HOLD / REVIEW","MONITOR"))</f>
        <v>BUY / PRIORITIZE</v>
      </c>
      <c r="S133" s="11" t="n">
        <f aca="false">K133+(ROW()/10000000)</f>
        <v>13.0000133</v>
      </c>
    </row>
    <row r="134" customFormat="false" ht="15" hidden="false" customHeight="false" outlineLevel="0" collapsed="false">
      <c r="A134" s="11" t="s">
        <v>271</v>
      </c>
      <c r="B134" s="11" t="s">
        <v>30</v>
      </c>
      <c r="C134" s="11" t="s">
        <v>95</v>
      </c>
      <c r="D134" s="11" t="s">
        <v>34</v>
      </c>
      <c r="E134" s="11" t="s">
        <v>73</v>
      </c>
      <c r="F134" s="11" t="s">
        <v>88</v>
      </c>
      <c r="G134" s="21" t="n">
        <v>116.61</v>
      </c>
      <c r="H134" s="19" t="n">
        <v>0</v>
      </c>
      <c r="I134" s="21" t="n">
        <v>116.61</v>
      </c>
      <c r="J134" s="22" t="s">
        <v>272</v>
      </c>
      <c r="K134" s="11" t="n">
        <v>31</v>
      </c>
      <c r="L134" s="23"/>
      <c r="M134" s="24" t="b">
        <f aca="false">FALSE()</f>
        <v>0</v>
      </c>
      <c r="N134" s="11"/>
      <c r="O134" s="11" t="str">
        <f aca="false">IF(K134&lt;=StockP33,"Low",IF(K134&lt;=StockP67,"Moderate","High"))</f>
        <v>Moderate</v>
      </c>
      <c r="P134" s="11" t="str">
        <f aca="false">IF(H134=0,"Low",IF(H134&lt;=MarkdownP75,"Moderate","High"))</f>
        <v>Low</v>
      </c>
      <c r="Q134" s="11" t="str">
        <f aca="false">IF(ISBLANK(L134),"Unknown",IF(L134&gt;=4,"Good",IF(L134&lt;=2,"Poor","Neutral")))</f>
        <v>Unknown</v>
      </c>
      <c r="R134" s="11" t="str">
        <f aca="false">IF(AND(O134="Low",P134="Low",Q134="Good"),"BUY / PRIORITIZE",IF(AND(O134="High",P134="High",OR(Q134="Poor",M134=TRUE())),"HOLD / REVIEW","MONITOR"))</f>
        <v>MONITOR</v>
      </c>
      <c r="S134" s="11" t="n">
        <f aca="false">K134+(ROW()/10000000)</f>
        <v>31.0000134</v>
      </c>
    </row>
    <row r="135" customFormat="false" ht="15" hidden="false" customHeight="false" outlineLevel="0" collapsed="false">
      <c r="A135" s="11" t="s">
        <v>273</v>
      </c>
      <c r="B135" s="11" t="s">
        <v>8</v>
      </c>
      <c r="C135" s="11" t="s">
        <v>107</v>
      </c>
      <c r="D135" s="11" t="s">
        <v>37</v>
      </c>
      <c r="E135" s="11"/>
      <c r="F135" s="11" t="s">
        <v>96</v>
      </c>
      <c r="G135" s="21" t="n">
        <v>57.8</v>
      </c>
      <c r="H135" s="19" t="n">
        <v>27</v>
      </c>
      <c r="I135" s="21" t="n">
        <v>42.19</v>
      </c>
      <c r="J135" s="22" t="s">
        <v>80</v>
      </c>
      <c r="K135" s="11" t="n">
        <v>9</v>
      </c>
      <c r="L135" s="23" t="n">
        <v>1.8</v>
      </c>
      <c r="M135" s="24" t="b">
        <f aca="false">FALSE()</f>
        <v>0</v>
      </c>
      <c r="N135" s="11"/>
      <c r="O135" s="11" t="str">
        <f aca="false">IF(K135&lt;=StockP33,"Low",IF(K135&lt;=StockP67,"Moderate","High"))</f>
        <v>Low</v>
      </c>
      <c r="P135" s="11" t="str">
        <f aca="false">IF(H135=0,"Low",IF(H135&lt;=MarkdownP75,"Moderate","High"))</f>
        <v>High</v>
      </c>
      <c r="Q135" s="11" t="str">
        <f aca="false">IF(ISBLANK(L135),"Unknown",IF(L135&gt;=4,"Good",IF(L135&lt;=2,"Poor","Neutral")))</f>
        <v>Poor</v>
      </c>
      <c r="R135" s="11" t="str">
        <f aca="false">IF(AND(O135="Low",P135="Low",Q135="Good"),"BUY / PRIORITIZE",IF(AND(O135="High",P135="High",OR(Q135="Poor",M135=TRUE())),"HOLD / REVIEW","MONITOR"))</f>
        <v>MONITOR</v>
      </c>
      <c r="S135" s="11" t="n">
        <f aca="false">K135+(ROW()/10000000)</f>
        <v>9.0000135</v>
      </c>
    </row>
    <row r="136" customFormat="false" ht="15" hidden="false" customHeight="false" outlineLevel="0" collapsed="false">
      <c r="A136" s="11" t="s">
        <v>274</v>
      </c>
      <c r="B136" s="11" t="s">
        <v>30</v>
      </c>
      <c r="C136" s="11" t="s">
        <v>101</v>
      </c>
      <c r="D136" s="11" t="s">
        <v>34</v>
      </c>
      <c r="E136" s="11" t="s">
        <v>91</v>
      </c>
      <c r="F136" s="11" t="s">
        <v>88</v>
      </c>
      <c r="G136" s="21" t="n">
        <v>110.78</v>
      </c>
      <c r="H136" s="19" t="n">
        <v>0</v>
      </c>
      <c r="I136" s="21" t="n">
        <v>110.78</v>
      </c>
      <c r="J136" s="22" t="s">
        <v>275</v>
      </c>
      <c r="K136" s="11" t="n">
        <v>9</v>
      </c>
      <c r="L136" s="23" t="n">
        <v>1.4</v>
      </c>
      <c r="M136" s="24" t="b">
        <f aca="false">FALSE()</f>
        <v>0</v>
      </c>
      <c r="N136" s="11"/>
      <c r="O136" s="11" t="str">
        <f aca="false">IF(K136&lt;=StockP33,"Low",IF(K136&lt;=StockP67,"Moderate","High"))</f>
        <v>Low</v>
      </c>
      <c r="P136" s="11" t="str">
        <f aca="false">IF(H136=0,"Low",IF(H136&lt;=MarkdownP75,"Moderate","High"))</f>
        <v>Low</v>
      </c>
      <c r="Q136" s="11" t="str">
        <f aca="false">IF(ISBLANK(L136),"Unknown",IF(L136&gt;=4,"Good",IF(L136&lt;=2,"Poor","Neutral")))</f>
        <v>Poor</v>
      </c>
      <c r="R136" s="11" t="str">
        <f aca="false">IF(AND(O136="Low",P136="Low",Q136="Good"),"BUY / PRIORITIZE",IF(AND(O136="High",P136="High",OR(Q136="Poor",M136=TRUE())),"HOLD / REVIEW","MONITOR"))</f>
        <v>MONITOR</v>
      </c>
      <c r="S136" s="11" t="n">
        <f aca="false">K136+(ROW()/10000000)</f>
        <v>9.0000136</v>
      </c>
    </row>
    <row r="137" customFormat="false" ht="15" hidden="false" customHeight="false" outlineLevel="0" collapsed="false">
      <c r="A137" s="11" t="s">
        <v>276</v>
      </c>
      <c r="B137" s="11" t="s">
        <v>30</v>
      </c>
      <c r="C137" s="11" t="s">
        <v>116</v>
      </c>
      <c r="D137" s="11" t="s">
        <v>34</v>
      </c>
      <c r="E137" s="11" t="s">
        <v>78</v>
      </c>
      <c r="F137" s="11" t="s">
        <v>82</v>
      </c>
      <c r="G137" s="21" t="n">
        <v>112.63</v>
      </c>
      <c r="H137" s="19" t="n">
        <v>0</v>
      </c>
      <c r="I137" s="21" t="n">
        <v>112.63</v>
      </c>
      <c r="J137" s="22" t="s">
        <v>198</v>
      </c>
      <c r="K137" s="11" t="n">
        <v>50</v>
      </c>
      <c r="L137" s="23" t="n">
        <v>3.6</v>
      </c>
      <c r="M137" s="24" t="b">
        <f aca="false">TRUE()</f>
        <v>1</v>
      </c>
      <c r="N137" s="11" t="s">
        <v>140</v>
      </c>
      <c r="O137" s="11" t="str">
        <f aca="false">IF(K137&lt;=StockP33,"Low",IF(K137&lt;=StockP67,"Moderate","High"))</f>
        <v>High</v>
      </c>
      <c r="P137" s="11" t="str">
        <f aca="false">IF(H137=0,"Low",IF(H137&lt;=MarkdownP75,"Moderate","High"))</f>
        <v>Low</v>
      </c>
      <c r="Q137" s="11" t="str">
        <f aca="false">IF(ISBLANK(L137),"Unknown",IF(L137&gt;=4,"Good",IF(L137&lt;=2,"Poor","Neutral")))</f>
        <v>Neutral</v>
      </c>
      <c r="R137" s="11" t="str">
        <f aca="false">IF(AND(O137="Low",P137="Low",Q137="Good"),"BUY / PRIORITIZE",IF(AND(O137="High",P137="High",OR(Q137="Poor",M137=TRUE())),"HOLD / REVIEW","MONITOR"))</f>
        <v>MONITOR</v>
      </c>
      <c r="S137" s="11" t="n">
        <f aca="false">K137+(ROW()/10000000)</f>
        <v>50.0000137</v>
      </c>
    </row>
    <row r="138" customFormat="false" ht="15" hidden="false" customHeight="false" outlineLevel="0" collapsed="false">
      <c r="A138" s="11" t="s">
        <v>277</v>
      </c>
      <c r="B138" s="11" t="s">
        <v>30</v>
      </c>
      <c r="C138" s="11" t="s">
        <v>101</v>
      </c>
      <c r="D138" s="11" t="s">
        <v>35</v>
      </c>
      <c r="E138" s="11" t="s">
        <v>110</v>
      </c>
      <c r="F138" s="11" t="s">
        <v>120</v>
      </c>
      <c r="G138" s="21" t="n">
        <v>89.36</v>
      </c>
      <c r="H138" s="19" t="n">
        <v>0</v>
      </c>
      <c r="I138" s="21" t="n">
        <v>89.36</v>
      </c>
      <c r="J138" s="22" t="s">
        <v>80</v>
      </c>
      <c r="K138" s="11" t="n">
        <v>24</v>
      </c>
      <c r="L138" s="23" t="n">
        <v>4.3</v>
      </c>
      <c r="M138" s="24" t="b">
        <f aca="false">TRUE()</f>
        <v>1</v>
      </c>
      <c r="N138" s="11" t="s">
        <v>134</v>
      </c>
      <c r="O138" s="11" t="str">
        <f aca="false">IF(K138&lt;=StockP33,"Low",IF(K138&lt;=StockP67,"Moderate","High"))</f>
        <v>Moderate</v>
      </c>
      <c r="P138" s="11" t="str">
        <f aca="false">IF(H138=0,"Low",IF(H138&lt;=MarkdownP75,"Moderate","High"))</f>
        <v>Low</v>
      </c>
      <c r="Q138" s="11" t="str">
        <f aca="false">IF(ISBLANK(L138),"Unknown",IF(L138&gt;=4,"Good",IF(L138&lt;=2,"Poor","Neutral")))</f>
        <v>Good</v>
      </c>
      <c r="R138" s="11" t="str">
        <f aca="false">IF(AND(O138="Low",P138="Low",Q138="Good"),"BUY / PRIORITIZE",IF(AND(O138="High",P138="High",OR(Q138="Poor",M138=TRUE())),"HOLD / REVIEW","MONITOR"))</f>
        <v>MONITOR</v>
      </c>
      <c r="S138" s="11" t="n">
        <f aca="false">K138+(ROW()/10000000)</f>
        <v>24.0000138</v>
      </c>
    </row>
    <row r="139" customFormat="false" ht="15" hidden="false" customHeight="false" outlineLevel="0" collapsed="false">
      <c r="A139" s="11" t="s">
        <v>278</v>
      </c>
      <c r="B139" s="11" t="s">
        <v>28</v>
      </c>
      <c r="C139" s="11" t="s">
        <v>130</v>
      </c>
      <c r="D139" s="11" t="s">
        <v>36</v>
      </c>
      <c r="E139" s="11" t="s">
        <v>113</v>
      </c>
      <c r="F139" s="11" t="s">
        <v>79</v>
      </c>
      <c r="G139" s="21" t="n">
        <v>127.99</v>
      </c>
      <c r="H139" s="19" t="n">
        <v>0</v>
      </c>
      <c r="I139" s="21" t="n">
        <v>127.99</v>
      </c>
      <c r="J139" s="22" t="s">
        <v>80</v>
      </c>
      <c r="K139" s="11" t="n">
        <v>16</v>
      </c>
      <c r="L139" s="23"/>
      <c r="M139" s="24" t="b">
        <f aca="false">FALSE()</f>
        <v>0</v>
      </c>
      <c r="N139" s="11"/>
      <c r="O139" s="11" t="str">
        <f aca="false">IF(K139&lt;=StockP33,"Low",IF(K139&lt;=StockP67,"Moderate","High"))</f>
        <v>Low</v>
      </c>
      <c r="P139" s="11" t="str">
        <f aca="false">IF(H139=0,"Low",IF(H139&lt;=MarkdownP75,"Moderate","High"))</f>
        <v>Low</v>
      </c>
      <c r="Q139" s="11" t="str">
        <f aca="false">IF(ISBLANK(L139),"Unknown",IF(L139&gt;=4,"Good",IF(L139&lt;=2,"Poor","Neutral")))</f>
        <v>Unknown</v>
      </c>
      <c r="R139" s="11" t="str">
        <f aca="false">IF(AND(O139="Low",P139="Low",Q139="Good"),"BUY / PRIORITIZE",IF(AND(O139="High",P139="High",OR(Q139="Poor",M139=TRUE())),"HOLD / REVIEW","MONITOR"))</f>
        <v>MONITOR</v>
      </c>
      <c r="S139" s="11" t="n">
        <f aca="false">K139+(ROW()/10000000)</f>
        <v>16.0000139</v>
      </c>
    </row>
    <row r="140" customFormat="false" ht="15" hidden="false" customHeight="false" outlineLevel="0" collapsed="false">
      <c r="A140" s="11" t="s">
        <v>279</v>
      </c>
      <c r="B140" s="11" t="s">
        <v>26</v>
      </c>
      <c r="C140" s="11" t="s">
        <v>72</v>
      </c>
      <c r="D140" s="11" t="s">
        <v>37</v>
      </c>
      <c r="E140" s="11" t="s">
        <v>102</v>
      </c>
      <c r="F140" s="11" t="s">
        <v>111</v>
      </c>
      <c r="G140" s="21" t="n">
        <v>54.88</v>
      </c>
      <c r="H140" s="19" t="n">
        <v>58.8</v>
      </c>
      <c r="I140" s="21" t="n">
        <v>22.61</v>
      </c>
      <c r="J140" s="22" t="s">
        <v>80</v>
      </c>
      <c r="K140" s="11" t="n">
        <v>50</v>
      </c>
      <c r="L140" s="23" t="n">
        <v>3.5</v>
      </c>
      <c r="M140" s="24" t="b">
        <f aca="false">FALSE()</f>
        <v>0</v>
      </c>
      <c r="N140" s="11"/>
      <c r="O140" s="11" t="str">
        <f aca="false">IF(K140&lt;=StockP33,"Low",IF(K140&lt;=StockP67,"Moderate","High"))</f>
        <v>High</v>
      </c>
      <c r="P140" s="11" t="str">
        <f aca="false">IF(H140=0,"Low",IF(H140&lt;=MarkdownP75,"Moderate","High"))</f>
        <v>High</v>
      </c>
      <c r="Q140" s="11" t="str">
        <f aca="false">IF(ISBLANK(L140),"Unknown",IF(L140&gt;=4,"Good",IF(L140&lt;=2,"Poor","Neutral")))</f>
        <v>Neutral</v>
      </c>
      <c r="R140" s="11" t="str">
        <f aca="false">IF(AND(O140="Low",P140="Low",Q140="Good"),"BUY / PRIORITIZE",IF(AND(O140="High",P140="High",OR(Q140="Poor",M140=TRUE())),"HOLD / REVIEW","MONITOR"))</f>
        <v>MONITOR</v>
      </c>
      <c r="S140" s="11" t="n">
        <f aca="false">K140+(ROW()/10000000)</f>
        <v>50.000014</v>
      </c>
    </row>
    <row r="141" customFormat="false" ht="15" hidden="false" customHeight="false" outlineLevel="0" collapsed="false">
      <c r="A141" s="11" t="s">
        <v>280</v>
      </c>
      <c r="B141" s="11" t="s">
        <v>29</v>
      </c>
      <c r="C141" s="11" t="s">
        <v>77</v>
      </c>
      <c r="D141" s="11" t="s">
        <v>34</v>
      </c>
      <c r="E141" s="11" t="s">
        <v>78</v>
      </c>
      <c r="F141" s="11" t="s">
        <v>88</v>
      </c>
      <c r="G141" s="21" t="n">
        <v>154.13</v>
      </c>
      <c r="H141" s="19" t="n">
        <v>0</v>
      </c>
      <c r="I141" s="21" t="n">
        <v>154.13</v>
      </c>
      <c r="J141" s="22" t="s">
        <v>281</v>
      </c>
      <c r="K141" s="11" t="n">
        <v>31</v>
      </c>
      <c r="L141" s="23" t="n">
        <v>4.1</v>
      </c>
      <c r="M141" s="24" t="b">
        <f aca="false">TRUE()</f>
        <v>1</v>
      </c>
      <c r="N141" s="11" t="s">
        <v>128</v>
      </c>
      <c r="O141" s="11" t="str">
        <f aca="false">IF(K141&lt;=StockP33,"Low",IF(K141&lt;=StockP67,"Moderate","High"))</f>
        <v>Moderate</v>
      </c>
      <c r="P141" s="11" t="str">
        <f aca="false">IF(H141=0,"Low",IF(H141&lt;=MarkdownP75,"Moderate","High"))</f>
        <v>Low</v>
      </c>
      <c r="Q141" s="11" t="str">
        <f aca="false">IF(ISBLANK(L141),"Unknown",IF(L141&gt;=4,"Good",IF(L141&lt;=2,"Poor","Neutral")))</f>
        <v>Good</v>
      </c>
      <c r="R141" s="11" t="str">
        <f aca="false">IF(AND(O141="Low",P141="Low",Q141="Good"),"BUY / PRIORITIZE",IF(AND(O141="High",P141="High",OR(Q141="Poor",M141=TRUE())),"HOLD / REVIEW","MONITOR"))</f>
        <v>MONITOR</v>
      </c>
      <c r="S141" s="11" t="n">
        <f aca="false">K141+(ROW()/10000000)</f>
        <v>31.0000141</v>
      </c>
    </row>
    <row r="142" customFormat="false" ht="15" hidden="false" customHeight="false" outlineLevel="0" collapsed="false">
      <c r="A142" s="11" t="s">
        <v>282</v>
      </c>
      <c r="B142" s="11" t="s">
        <v>27</v>
      </c>
      <c r="C142" s="11" t="s">
        <v>107</v>
      </c>
      <c r="D142" s="11" t="s">
        <v>34</v>
      </c>
      <c r="E142" s="11" t="s">
        <v>110</v>
      </c>
      <c r="F142" s="11" t="s">
        <v>92</v>
      </c>
      <c r="G142" s="21" t="n">
        <v>131.5</v>
      </c>
      <c r="H142" s="19" t="n">
        <v>0</v>
      </c>
      <c r="I142" s="21" t="n">
        <v>131.5</v>
      </c>
      <c r="J142" s="22" t="s">
        <v>283</v>
      </c>
      <c r="K142" s="11" t="n">
        <v>5</v>
      </c>
      <c r="L142" s="23"/>
      <c r="M142" s="24" t="b">
        <f aca="false">FALSE()</f>
        <v>0</v>
      </c>
      <c r="N142" s="11"/>
      <c r="O142" s="11" t="str">
        <f aca="false">IF(K142&lt;=StockP33,"Low",IF(K142&lt;=StockP67,"Moderate","High"))</f>
        <v>Low</v>
      </c>
      <c r="P142" s="11" t="str">
        <f aca="false">IF(H142=0,"Low",IF(H142&lt;=MarkdownP75,"Moderate","High"))</f>
        <v>Low</v>
      </c>
      <c r="Q142" s="11" t="str">
        <f aca="false">IF(ISBLANK(L142),"Unknown",IF(L142&gt;=4,"Good",IF(L142&lt;=2,"Poor","Neutral")))</f>
        <v>Unknown</v>
      </c>
      <c r="R142" s="11" t="str">
        <f aca="false">IF(AND(O142="Low",P142="Low",Q142="Good"),"BUY / PRIORITIZE",IF(AND(O142="High",P142="High",OR(Q142="Poor",M142=TRUE())),"HOLD / REVIEW","MONITOR"))</f>
        <v>MONITOR</v>
      </c>
      <c r="S142" s="11" t="n">
        <f aca="false">K142+(ROW()/10000000)</f>
        <v>5.0000142</v>
      </c>
    </row>
    <row r="143" customFormat="false" ht="15" hidden="false" customHeight="false" outlineLevel="0" collapsed="false">
      <c r="A143" s="11" t="s">
        <v>284</v>
      </c>
      <c r="B143" s="11" t="s">
        <v>28</v>
      </c>
      <c r="C143" s="11" t="s">
        <v>116</v>
      </c>
      <c r="D143" s="11" t="s">
        <v>35</v>
      </c>
      <c r="E143" s="11" t="s">
        <v>113</v>
      </c>
      <c r="F143" s="11" t="s">
        <v>96</v>
      </c>
      <c r="G143" s="21" t="n">
        <v>133.26</v>
      </c>
      <c r="H143" s="19" t="n">
        <v>0</v>
      </c>
      <c r="I143" s="21" t="n">
        <v>133.26</v>
      </c>
      <c r="J143" s="22" t="s">
        <v>80</v>
      </c>
      <c r="K143" s="11" t="n">
        <v>29</v>
      </c>
      <c r="L143" s="23" t="n">
        <v>1.3</v>
      </c>
      <c r="M143" s="24" t="b">
        <f aca="false">FALSE()</f>
        <v>0</v>
      </c>
      <c r="N143" s="11"/>
      <c r="O143" s="11" t="str">
        <f aca="false">IF(K143&lt;=StockP33,"Low",IF(K143&lt;=StockP67,"Moderate","High"))</f>
        <v>Moderate</v>
      </c>
      <c r="P143" s="11" t="str">
        <f aca="false">IF(H143=0,"Low",IF(H143&lt;=MarkdownP75,"Moderate","High"))</f>
        <v>Low</v>
      </c>
      <c r="Q143" s="11" t="str">
        <f aca="false">IF(ISBLANK(L143),"Unknown",IF(L143&gt;=4,"Good",IF(L143&lt;=2,"Poor","Neutral")))</f>
        <v>Poor</v>
      </c>
      <c r="R143" s="11" t="str">
        <f aca="false">IF(AND(O143="Low",P143="Low",Q143="Good"),"BUY / PRIORITIZE",IF(AND(O143="High",P143="High",OR(Q143="Poor",M143=TRUE())),"HOLD / REVIEW","MONITOR"))</f>
        <v>MONITOR</v>
      </c>
      <c r="S143" s="11" t="n">
        <f aca="false">K143+(ROW()/10000000)</f>
        <v>29.0000143</v>
      </c>
    </row>
    <row r="144" customFormat="false" ht="15" hidden="false" customHeight="false" outlineLevel="0" collapsed="false">
      <c r="A144" s="11" t="s">
        <v>285</v>
      </c>
      <c r="B144" s="11" t="s">
        <v>29</v>
      </c>
      <c r="C144" s="11" t="s">
        <v>130</v>
      </c>
      <c r="D144" s="11" t="s">
        <v>37</v>
      </c>
      <c r="E144" s="11" t="s">
        <v>73</v>
      </c>
      <c r="F144" s="11" t="s">
        <v>74</v>
      </c>
      <c r="G144" s="21" t="n">
        <v>173.91</v>
      </c>
      <c r="H144" s="19" t="n">
        <v>0</v>
      </c>
      <c r="I144" s="21" t="n">
        <v>173.91</v>
      </c>
      <c r="J144" s="22" t="s">
        <v>80</v>
      </c>
      <c r="K144" s="11" t="n">
        <v>21</v>
      </c>
      <c r="L144" s="23"/>
      <c r="M144" s="24" t="b">
        <f aca="false">FALSE()</f>
        <v>0</v>
      </c>
      <c r="N144" s="11"/>
      <c r="O144" s="11" t="str">
        <f aca="false">IF(K144&lt;=StockP33,"Low",IF(K144&lt;=StockP67,"Moderate","High"))</f>
        <v>Moderate</v>
      </c>
      <c r="P144" s="11" t="str">
        <f aca="false">IF(H144=0,"Low",IF(H144&lt;=MarkdownP75,"Moderate","High"))</f>
        <v>Low</v>
      </c>
      <c r="Q144" s="11" t="str">
        <f aca="false">IF(ISBLANK(L144),"Unknown",IF(L144&gt;=4,"Good",IF(L144&lt;=2,"Poor","Neutral")))</f>
        <v>Unknown</v>
      </c>
      <c r="R144" s="11" t="str">
        <f aca="false">IF(AND(O144="Low",P144="Low",Q144="Good"),"BUY / PRIORITIZE",IF(AND(O144="High",P144="High",OR(Q144="Poor",M144=TRUE())),"HOLD / REVIEW","MONITOR"))</f>
        <v>MONITOR</v>
      </c>
      <c r="S144" s="11" t="n">
        <f aca="false">K144+(ROW()/10000000)</f>
        <v>21.0000144</v>
      </c>
    </row>
    <row r="145" customFormat="false" ht="15" hidden="false" customHeight="false" outlineLevel="0" collapsed="false">
      <c r="A145" s="11" t="s">
        <v>286</v>
      </c>
      <c r="B145" s="11" t="s">
        <v>30</v>
      </c>
      <c r="C145" s="11" t="s">
        <v>101</v>
      </c>
      <c r="D145" s="11" t="s">
        <v>34</v>
      </c>
      <c r="E145" s="11" t="s">
        <v>78</v>
      </c>
      <c r="F145" s="11" t="s">
        <v>111</v>
      </c>
      <c r="G145" s="21" t="n">
        <v>102.99</v>
      </c>
      <c r="H145" s="19" t="n">
        <v>0</v>
      </c>
      <c r="I145" s="21" t="n">
        <v>102.99</v>
      </c>
      <c r="J145" s="22" t="s">
        <v>287</v>
      </c>
      <c r="K145" s="11" t="n">
        <v>41</v>
      </c>
      <c r="L145" s="23" t="n">
        <v>3.9</v>
      </c>
      <c r="M145" s="24" t="b">
        <f aca="false">FALSE()</f>
        <v>0</v>
      </c>
      <c r="N145" s="11"/>
      <c r="O145" s="11" t="str">
        <f aca="false">IF(K145&lt;=StockP33,"Low",IF(K145&lt;=StockP67,"Moderate","High"))</f>
        <v>High</v>
      </c>
      <c r="P145" s="11" t="str">
        <f aca="false">IF(H145=0,"Low",IF(H145&lt;=MarkdownP75,"Moderate","High"))</f>
        <v>Low</v>
      </c>
      <c r="Q145" s="11" t="str">
        <f aca="false">IF(ISBLANK(L145),"Unknown",IF(L145&gt;=4,"Good",IF(L145&lt;=2,"Poor","Neutral")))</f>
        <v>Neutral</v>
      </c>
      <c r="R145" s="11" t="str">
        <f aca="false">IF(AND(O145="Low",P145="Low",Q145="Good"),"BUY / PRIORITIZE",IF(AND(O145="High",P145="High",OR(Q145="Poor",M145=TRUE())),"HOLD / REVIEW","MONITOR"))</f>
        <v>MONITOR</v>
      </c>
      <c r="S145" s="11" t="n">
        <f aca="false">K145+(ROW()/10000000)</f>
        <v>41.0000145</v>
      </c>
    </row>
    <row r="146" customFormat="false" ht="15" hidden="false" customHeight="false" outlineLevel="0" collapsed="false">
      <c r="A146" s="11" t="s">
        <v>288</v>
      </c>
      <c r="B146" s="11" t="s">
        <v>28</v>
      </c>
      <c r="C146" s="11" t="s">
        <v>72</v>
      </c>
      <c r="D146" s="11" t="s">
        <v>34</v>
      </c>
      <c r="E146" s="11" t="s">
        <v>78</v>
      </c>
      <c r="F146" s="11" t="s">
        <v>111</v>
      </c>
      <c r="G146" s="21" t="n">
        <v>87.78</v>
      </c>
      <c r="H146" s="19" t="n">
        <v>45.3</v>
      </c>
      <c r="I146" s="21" t="n">
        <v>48.02</v>
      </c>
      <c r="J146" s="22" t="s">
        <v>289</v>
      </c>
      <c r="K146" s="11" t="n">
        <v>34</v>
      </c>
      <c r="L146" s="23" t="n">
        <v>1.8</v>
      </c>
      <c r="M146" s="24" t="b">
        <f aca="false">FALSE()</f>
        <v>0</v>
      </c>
      <c r="N146" s="11"/>
      <c r="O146" s="11" t="str">
        <f aca="false">IF(K146&lt;=StockP33,"Low",IF(K146&lt;=StockP67,"Moderate","High"))</f>
        <v>High</v>
      </c>
      <c r="P146" s="11" t="str">
        <f aca="false">IF(H146=0,"Low",IF(H146&lt;=MarkdownP75,"Moderate","High"))</f>
        <v>High</v>
      </c>
      <c r="Q146" s="11" t="str">
        <f aca="false">IF(ISBLANK(L146),"Unknown",IF(L146&gt;=4,"Good",IF(L146&lt;=2,"Poor","Neutral")))</f>
        <v>Poor</v>
      </c>
      <c r="R146" s="11" t="str">
        <f aca="false">IF(AND(O146="Low",P146="Low",Q146="Good"),"BUY / PRIORITIZE",IF(AND(O146="High",P146="High",OR(Q146="Poor",M146=TRUE())),"HOLD / REVIEW","MONITOR"))</f>
        <v>HOLD / REVIEW</v>
      </c>
      <c r="S146" s="11" t="n">
        <f aca="false">K146+(ROW()/10000000)</f>
        <v>34.0000146</v>
      </c>
    </row>
    <row r="147" customFormat="false" ht="15" hidden="false" customHeight="false" outlineLevel="0" collapsed="false">
      <c r="A147" s="11" t="s">
        <v>290</v>
      </c>
      <c r="B147" s="11" t="s">
        <v>30</v>
      </c>
      <c r="C147" s="11" t="s">
        <v>77</v>
      </c>
      <c r="D147" s="11" t="s">
        <v>37</v>
      </c>
      <c r="E147" s="11"/>
      <c r="F147" s="11" t="s">
        <v>111</v>
      </c>
      <c r="G147" s="21" t="n">
        <v>91.8</v>
      </c>
      <c r="H147" s="19" t="n">
        <v>15.8</v>
      </c>
      <c r="I147" s="21" t="n">
        <v>77.3</v>
      </c>
      <c r="J147" s="22" t="s">
        <v>80</v>
      </c>
      <c r="K147" s="11" t="n">
        <v>30</v>
      </c>
      <c r="L147" s="23" t="n">
        <v>4.2</v>
      </c>
      <c r="M147" s="24" t="b">
        <f aca="false">FALSE()</f>
        <v>0</v>
      </c>
      <c r="N147" s="11"/>
      <c r="O147" s="11" t="str">
        <f aca="false">IF(K147&lt;=StockP33,"Low",IF(K147&lt;=StockP67,"Moderate","High"))</f>
        <v>Moderate</v>
      </c>
      <c r="P147" s="11" t="str">
        <f aca="false">IF(H147=0,"Low",IF(H147&lt;=MarkdownP75,"Moderate","High"))</f>
        <v>Moderate</v>
      </c>
      <c r="Q147" s="11" t="str">
        <f aca="false">IF(ISBLANK(L147),"Unknown",IF(L147&gt;=4,"Good",IF(L147&lt;=2,"Poor","Neutral")))</f>
        <v>Good</v>
      </c>
      <c r="R147" s="11" t="str">
        <f aca="false">IF(AND(O147="Low",P147="Low",Q147="Good"),"BUY / PRIORITIZE",IF(AND(O147="High",P147="High",OR(Q147="Poor",M147=TRUE())),"HOLD / REVIEW","MONITOR"))</f>
        <v>MONITOR</v>
      </c>
      <c r="S147" s="11" t="n">
        <f aca="false">K147+(ROW()/10000000)</f>
        <v>30.0000147</v>
      </c>
    </row>
    <row r="148" customFormat="false" ht="15" hidden="false" customHeight="false" outlineLevel="0" collapsed="false">
      <c r="A148" s="11" t="s">
        <v>291</v>
      </c>
      <c r="B148" s="11" t="s">
        <v>30</v>
      </c>
      <c r="C148" s="11" t="s">
        <v>72</v>
      </c>
      <c r="D148" s="11" t="s">
        <v>37</v>
      </c>
      <c r="E148" s="11" t="s">
        <v>78</v>
      </c>
      <c r="F148" s="11" t="s">
        <v>88</v>
      </c>
      <c r="G148" s="21" t="n">
        <v>107.32</v>
      </c>
      <c r="H148" s="19" t="n">
        <v>25.4</v>
      </c>
      <c r="I148" s="21" t="n">
        <v>80.06</v>
      </c>
      <c r="J148" s="22" t="s">
        <v>80</v>
      </c>
      <c r="K148" s="11" t="n">
        <v>50</v>
      </c>
      <c r="L148" s="23" t="n">
        <v>4.4</v>
      </c>
      <c r="M148" s="24" t="b">
        <f aca="false">FALSE()</f>
        <v>0</v>
      </c>
      <c r="N148" s="11"/>
      <c r="O148" s="11" t="str">
        <f aca="false">IF(K148&lt;=StockP33,"Low",IF(K148&lt;=StockP67,"Moderate","High"))</f>
        <v>High</v>
      </c>
      <c r="P148" s="11" t="str">
        <f aca="false">IF(H148=0,"Low",IF(H148&lt;=MarkdownP75,"Moderate","High"))</f>
        <v>High</v>
      </c>
      <c r="Q148" s="11" t="str">
        <f aca="false">IF(ISBLANK(L148),"Unknown",IF(L148&gt;=4,"Good",IF(L148&lt;=2,"Poor","Neutral")))</f>
        <v>Good</v>
      </c>
      <c r="R148" s="11" t="str">
        <f aca="false">IF(AND(O148="Low",P148="Low",Q148="Good"),"BUY / PRIORITIZE",IF(AND(O148="High",P148="High",OR(Q148="Poor",M148=TRUE())),"HOLD / REVIEW","MONITOR"))</f>
        <v>MONITOR</v>
      </c>
      <c r="S148" s="11" t="n">
        <f aca="false">K148+(ROW()/10000000)</f>
        <v>50.0000148</v>
      </c>
    </row>
    <row r="149" customFormat="false" ht="15" hidden="false" customHeight="false" outlineLevel="0" collapsed="false">
      <c r="A149" s="11" t="s">
        <v>292</v>
      </c>
      <c r="B149" s="11" t="s">
        <v>26</v>
      </c>
      <c r="C149" s="11" t="s">
        <v>86</v>
      </c>
      <c r="D149" s="11" t="s">
        <v>34</v>
      </c>
      <c r="E149" s="11" t="s">
        <v>102</v>
      </c>
      <c r="F149" s="11" t="s">
        <v>124</v>
      </c>
      <c r="G149" s="21" t="n">
        <v>67.69</v>
      </c>
      <c r="H149" s="19" t="n">
        <v>57.3</v>
      </c>
      <c r="I149" s="21" t="n">
        <v>28.9</v>
      </c>
      <c r="J149" s="22" t="s">
        <v>293</v>
      </c>
      <c r="K149" s="11" t="n">
        <v>50</v>
      </c>
      <c r="L149" s="23" t="n">
        <v>4.6</v>
      </c>
      <c r="M149" s="24" t="b">
        <f aca="false">FALSE()</f>
        <v>0</v>
      </c>
      <c r="N149" s="11"/>
      <c r="O149" s="11" t="str">
        <f aca="false">IF(K149&lt;=StockP33,"Low",IF(K149&lt;=StockP67,"Moderate","High"))</f>
        <v>High</v>
      </c>
      <c r="P149" s="11" t="str">
        <f aca="false">IF(H149=0,"Low",IF(H149&lt;=MarkdownP75,"Moderate","High"))</f>
        <v>High</v>
      </c>
      <c r="Q149" s="11" t="str">
        <f aca="false">IF(ISBLANK(L149),"Unknown",IF(L149&gt;=4,"Good",IF(L149&lt;=2,"Poor","Neutral")))</f>
        <v>Good</v>
      </c>
      <c r="R149" s="11" t="str">
        <f aca="false">IF(AND(O149="Low",P149="Low",Q149="Good"),"BUY / PRIORITIZE",IF(AND(O149="High",P149="High",OR(Q149="Poor",M149=TRUE())),"HOLD / REVIEW","MONITOR"))</f>
        <v>MONITOR</v>
      </c>
      <c r="S149" s="11" t="n">
        <f aca="false">K149+(ROW()/10000000)</f>
        <v>50.0000149</v>
      </c>
    </row>
    <row r="150" customFormat="false" ht="15" hidden="false" customHeight="false" outlineLevel="0" collapsed="false">
      <c r="A150" s="11" t="s">
        <v>294</v>
      </c>
      <c r="B150" s="11" t="s">
        <v>30</v>
      </c>
      <c r="C150" s="11" t="s">
        <v>107</v>
      </c>
      <c r="D150" s="11" t="s">
        <v>35</v>
      </c>
      <c r="E150" s="11" t="s">
        <v>113</v>
      </c>
      <c r="F150" s="11" t="s">
        <v>111</v>
      </c>
      <c r="G150" s="21" t="n">
        <v>68.11</v>
      </c>
      <c r="H150" s="19" t="n">
        <v>46</v>
      </c>
      <c r="I150" s="21" t="n">
        <v>36.78</v>
      </c>
      <c r="J150" s="22" t="s">
        <v>80</v>
      </c>
      <c r="K150" s="11" t="n">
        <v>3</v>
      </c>
      <c r="L150" s="23" t="n">
        <v>2.5</v>
      </c>
      <c r="M150" s="24" t="b">
        <f aca="false">FALSE()</f>
        <v>0</v>
      </c>
      <c r="N150" s="11"/>
      <c r="O150" s="11" t="str">
        <f aca="false">IF(K150&lt;=StockP33,"Low",IF(K150&lt;=StockP67,"Moderate","High"))</f>
        <v>Low</v>
      </c>
      <c r="P150" s="11" t="str">
        <f aca="false">IF(H150=0,"Low",IF(H150&lt;=MarkdownP75,"Moderate","High"))</f>
        <v>High</v>
      </c>
      <c r="Q150" s="11" t="str">
        <f aca="false">IF(ISBLANK(L150),"Unknown",IF(L150&gt;=4,"Good",IF(L150&lt;=2,"Poor","Neutral")))</f>
        <v>Neutral</v>
      </c>
      <c r="R150" s="11" t="str">
        <f aca="false">IF(AND(O150="Low",P150="Low",Q150="Good"),"BUY / PRIORITIZE",IF(AND(O150="High",P150="High",OR(Q150="Poor",M150=TRUE())),"HOLD / REVIEW","MONITOR"))</f>
        <v>MONITOR</v>
      </c>
      <c r="S150" s="11" t="n">
        <f aca="false">K150+(ROW()/10000000)</f>
        <v>3.000015</v>
      </c>
    </row>
    <row r="151" customFormat="false" ht="15" hidden="false" customHeight="false" outlineLevel="0" collapsed="false">
      <c r="A151" s="11" t="s">
        <v>295</v>
      </c>
      <c r="B151" s="11" t="s">
        <v>29</v>
      </c>
      <c r="C151" s="11" t="s">
        <v>86</v>
      </c>
      <c r="D151" s="11" t="s">
        <v>34</v>
      </c>
      <c r="E151" s="11" t="s">
        <v>78</v>
      </c>
      <c r="F151" s="11" t="s">
        <v>96</v>
      </c>
      <c r="G151" s="21" t="n">
        <v>94.29</v>
      </c>
      <c r="H151" s="19" t="n">
        <v>0</v>
      </c>
      <c r="I151" s="21" t="n">
        <v>94.29</v>
      </c>
      <c r="J151" s="22" t="s">
        <v>296</v>
      </c>
      <c r="K151" s="11" t="n">
        <v>18</v>
      </c>
      <c r="L151" s="23" t="n">
        <v>1.7</v>
      </c>
      <c r="M151" s="24" t="b">
        <f aca="false">FALSE()</f>
        <v>0</v>
      </c>
      <c r="N151" s="11"/>
      <c r="O151" s="11" t="str">
        <f aca="false">IF(K151&lt;=StockP33,"Low",IF(K151&lt;=StockP67,"Moderate","High"))</f>
        <v>Moderate</v>
      </c>
      <c r="P151" s="11" t="str">
        <f aca="false">IF(H151=0,"Low",IF(H151&lt;=MarkdownP75,"Moderate","High"))</f>
        <v>Low</v>
      </c>
      <c r="Q151" s="11" t="str">
        <f aca="false">IF(ISBLANK(L151),"Unknown",IF(L151&gt;=4,"Good",IF(L151&lt;=2,"Poor","Neutral")))</f>
        <v>Poor</v>
      </c>
      <c r="R151" s="11" t="str">
        <f aca="false">IF(AND(O151="Low",P151="Low",Q151="Good"),"BUY / PRIORITIZE",IF(AND(O151="High",P151="High",OR(Q151="Poor",M151=TRUE())),"HOLD / REVIEW","MONITOR"))</f>
        <v>MONITOR</v>
      </c>
      <c r="S151" s="11" t="n">
        <f aca="false">K151+(ROW()/10000000)</f>
        <v>18.0000151</v>
      </c>
    </row>
    <row r="152" customFormat="false" ht="15" hidden="false" customHeight="false" outlineLevel="0" collapsed="false">
      <c r="A152" s="11" t="s">
        <v>297</v>
      </c>
      <c r="B152" s="11" t="s">
        <v>30</v>
      </c>
      <c r="C152" s="11" t="s">
        <v>107</v>
      </c>
      <c r="D152" s="11" t="s">
        <v>37</v>
      </c>
      <c r="E152" s="11" t="s">
        <v>73</v>
      </c>
      <c r="F152" s="11" t="s">
        <v>92</v>
      </c>
      <c r="G152" s="21" t="n">
        <v>94.97</v>
      </c>
      <c r="H152" s="19" t="n">
        <v>0</v>
      </c>
      <c r="I152" s="21" t="n">
        <v>94.97</v>
      </c>
      <c r="J152" s="22" t="s">
        <v>80</v>
      </c>
      <c r="K152" s="11" t="n">
        <v>46</v>
      </c>
      <c r="L152" s="23" t="n">
        <v>4.3</v>
      </c>
      <c r="M152" s="24" t="b">
        <f aca="false">FALSE()</f>
        <v>0</v>
      </c>
      <c r="N152" s="11"/>
      <c r="O152" s="11" t="str">
        <f aca="false">IF(K152&lt;=StockP33,"Low",IF(K152&lt;=StockP67,"Moderate","High"))</f>
        <v>High</v>
      </c>
      <c r="P152" s="11" t="str">
        <f aca="false">IF(H152=0,"Low",IF(H152&lt;=MarkdownP75,"Moderate","High"))</f>
        <v>Low</v>
      </c>
      <c r="Q152" s="11" t="str">
        <f aca="false">IF(ISBLANK(L152),"Unknown",IF(L152&gt;=4,"Good",IF(L152&lt;=2,"Poor","Neutral")))</f>
        <v>Good</v>
      </c>
      <c r="R152" s="11" t="str">
        <f aca="false">IF(AND(O152="Low",P152="Low",Q152="Good"),"BUY / PRIORITIZE",IF(AND(O152="High",P152="High",OR(Q152="Poor",M152=TRUE())),"HOLD / REVIEW","MONITOR"))</f>
        <v>MONITOR</v>
      </c>
      <c r="S152" s="11" t="n">
        <f aca="false">K152+(ROW()/10000000)</f>
        <v>46.0000152</v>
      </c>
    </row>
    <row r="153" customFormat="false" ht="15" hidden="false" customHeight="false" outlineLevel="0" collapsed="false">
      <c r="A153" s="11" t="s">
        <v>298</v>
      </c>
      <c r="B153" s="11" t="s">
        <v>29</v>
      </c>
      <c r="C153" s="11" t="s">
        <v>86</v>
      </c>
      <c r="D153" s="11" t="s">
        <v>37</v>
      </c>
      <c r="E153" s="11" t="s">
        <v>113</v>
      </c>
      <c r="F153" s="11" t="s">
        <v>118</v>
      </c>
      <c r="G153" s="21" t="n">
        <v>65.87</v>
      </c>
      <c r="H153" s="19" t="n">
        <v>11.4</v>
      </c>
      <c r="I153" s="21" t="n">
        <v>58.36</v>
      </c>
      <c r="J153" s="22" t="s">
        <v>80</v>
      </c>
      <c r="K153" s="11" t="n">
        <v>15</v>
      </c>
      <c r="L153" s="23" t="n">
        <v>3.9</v>
      </c>
      <c r="M153" s="24" t="b">
        <f aca="false">FALSE()</f>
        <v>0</v>
      </c>
      <c r="N153" s="11"/>
      <c r="O153" s="11" t="str">
        <f aca="false">IF(K153&lt;=StockP33,"Low",IF(K153&lt;=StockP67,"Moderate","High"))</f>
        <v>Low</v>
      </c>
      <c r="P153" s="11" t="str">
        <f aca="false">IF(H153=0,"Low",IF(H153&lt;=MarkdownP75,"Moderate","High"))</f>
        <v>Moderate</v>
      </c>
      <c r="Q153" s="11" t="str">
        <f aca="false">IF(ISBLANK(L153),"Unknown",IF(L153&gt;=4,"Good",IF(L153&lt;=2,"Poor","Neutral")))</f>
        <v>Neutral</v>
      </c>
      <c r="R153" s="11" t="str">
        <f aca="false">IF(AND(O153="Low",P153="Low",Q153="Good"),"BUY / PRIORITIZE",IF(AND(O153="High",P153="High",OR(Q153="Poor",M153=TRUE())),"HOLD / REVIEW","MONITOR"))</f>
        <v>MONITOR</v>
      </c>
      <c r="S153" s="11" t="n">
        <f aca="false">K153+(ROW()/10000000)</f>
        <v>15.0000153</v>
      </c>
    </row>
    <row r="154" customFormat="false" ht="15" hidden="false" customHeight="false" outlineLevel="0" collapsed="false">
      <c r="A154" s="11" t="s">
        <v>299</v>
      </c>
      <c r="B154" s="11" t="s">
        <v>27</v>
      </c>
      <c r="C154" s="11" t="s">
        <v>72</v>
      </c>
      <c r="D154" s="11" t="s">
        <v>37</v>
      </c>
      <c r="E154" s="11" t="s">
        <v>102</v>
      </c>
      <c r="F154" s="11" t="s">
        <v>96</v>
      </c>
      <c r="G154" s="21" t="n">
        <v>155.06</v>
      </c>
      <c r="H154" s="19" t="n">
        <v>29.4</v>
      </c>
      <c r="I154" s="21" t="n">
        <v>109.47</v>
      </c>
      <c r="J154" s="22" t="s">
        <v>80</v>
      </c>
      <c r="K154" s="11" t="n">
        <v>5</v>
      </c>
      <c r="L154" s="23" t="n">
        <v>3.6</v>
      </c>
      <c r="M154" s="24" t="b">
        <f aca="false">FALSE()</f>
        <v>0</v>
      </c>
      <c r="N154" s="11"/>
      <c r="O154" s="11" t="str">
        <f aca="false">IF(K154&lt;=StockP33,"Low",IF(K154&lt;=StockP67,"Moderate","High"))</f>
        <v>Low</v>
      </c>
      <c r="P154" s="11" t="str">
        <f aca="false">IF(H154=0,"Low",IF(H154&lt;=MarkdownP75,"Moderate","High"))</f>
        <v>High</v>
      </c>
      <c r="Q154" s="11" t="str">
        <f aca="false">IF(ISBLANK(L154),"Unknown",IF(L154&gt;=4,"Good",IF(L154&lt;=2,"Poor","Neutral")))</f>
        <v>Neutral</v>
      </c>
      <c r="R154" s="11" t="str">
        <f aca="false">IF(AND(O154="Low",P154="Low",Q154="Good"),"BUY / PRIORITIZE",IF(AND(O154="High",P154="High",OR(Q154="Poor",M154=TRUE())),"HOLD / REVIEW","MONITOR"))</f>
        <v>MONITOR</v>
      </c>
      <c r="S154" s="11" t="n">
        <f aca="false">K154+(ROW()/10000000)</f>
        <v>5.0000154</v>
      </c>
    </row>
    <row r="155" customFormat="false" ht="15" hidden="false" customHeight="false" outlineLevel="0" collapsed="false">
      <c r="A155" s="11" t="s">
        <v>300</v>
      </c>
      <c r="B155" s="11" t="s">
        <v>28</v>
      </c>
      <c r="C155" s="11" t="s">
        <v>72</v>
      </c>
      <c r="D155" s="11" t="s">
        <v>37</v>
      </c>
      <c r="E155" s="11" t="s">
        <v>78</v>
      </c>
      <c r="F155" s="11" t="s">
        <v>124</v>
      </c>
      <c r="G155" s="21" t="n">
        <v>172.59</v>
      </c>
      <c r="H155" s="19" t="n">
        <v>0</v>
      </c>
      <c r="I155" s="21" t="n">
        <v>172.59</v>
      </c>
      <c r="J155" s="22" t="s">
        <v>80</v>
      </c>
      <c r="K155" s="11" t="n">
        <v>1</v>
      </c>
      <c r="L155" s="23" t="n">
        <v>2.1</v>
      </c>
      <c r="M155" s="24" t="b">
        <f aca="false">FALSE()</f>
        <v>0</v>
      </c>
      <c r="N155" s="11"/>
      <c r="O155" s="11" t="str">
        <f aca="false">IF(K155&lt;=StockP33,"Low",IF(K155&lt;=StockP67,"Moderate","High"))</f>
        <v>Low</v>
      </c>
      <c r="P155" s="11" t="str">
        <f aca="false">IF(H155=0,"Low",IF(H155&lt;=MarkdownP75,"Moderate","High"))</f>
        <v>Low</v>
      </c>
      <c r="Q155" s="11" t="str">
        <f aca="false">IF(ISBLANK(L155),"Unknown",IF(L155&gt;=4,"Good",IF(L155&lt;=2,"Poor","Neutral")))</f>
        <v>Neutral</v>
      </c>
      <c r="R155" s="11" t="str">
        <f aca="false">IF(AND(O155="Low",P155="Low",Q155="Good"),"BUY / PRIORITIZE",IF(AND(O155="High",P155="High",OR(Q155="Poor",M155=TRUE())),"HOLD / REVIEW","MONITOR"))</f>
        <v>MONITOR</v>
      </c>
      <c r="S155" s="11" t="n">
        <f aca="false">K155+(ROW()/10000000)</f>
        <v>1.0000155</v>
      </c>
    </row>
    <row r="156" customFormat="false" ht="15" hidden="false" customHeight="false" outlineLevel="0" collapsed="false">
      <c r="A156" s="11" t="s">
        <v>301</v>
      </c>
      <c r="B156" s="11" t="s">
        <v>27</v>
      </c>
      <c r="C156" s="11" t="s">
        <v>101</v>
      </c>
      <c r="D156" s="11" t="s">
        <v>35</v>
      </c>
      <c r="E156" s="11" t="s">
        <v>113</v>
      </c>
      <c r="F156" s="11" t="s">
        <v>96</v>
      </c>
      <c r="G156" s="21" t="n">
        <v>68.72</v>
      </c>
      <c r="H156" s="19" t="n">
        <v>0</v>
      </c>
      <c r="I156" s="21" t="n">
        <v>68.72</v>
      </c>
      <c r="J156" s="22" t="s">
        <v>80</v>
      </c>
      <c r="K156" s="11" t="n">
        <v>28</v>
      </c>
      <c r="L156" s="23" t="n">
        <v>1.7</v>
      </c>
      <c r="M156" s="24" t="b">
        <f aca="false">TRUE()</f>
        <v>1</v>
      </c>
      <c r="N156" s="11" t="s">
        <v>140</v>
      </c>
      <c r="O156" s="11" t="str">
        <f aca="false">IF(K156&lt;=StockP33,"Low",IF(K156&lt;=StockP67,"Moderate","High"))</f>
        <v>Moderate</v>
      </c>
      <c r="P156" s="11" t="str">
        <f aca="false">IF(H156=0,"Low",IF(H156&lt;=MarkdownP75,"Moderate","High"))</f>
        <v>Low</v>
      </c>
      <c r="Q156" s="11" t="str">
        <f aca="false">IF(ISBLANK(L156),"Unknown",IF(L156&gt;=4,"Good",IF(L156&lt;=2,"Poor","Neutral")))</f>
        <v>Poor</v>
      </c>
      <c r="R156" s="11" t="str">
        <f aca="false">IF(AND(O156="Low",P156="Low",Q156="Good"),"BUY / PRIORITIZE",IF(AND(O156="High",P156="High",OR(Q156="Poor",M156=TRUE())),"HOLD / REVIEW","MONITOR"))</f>
        <v>MONITOR</v>
      </c>
      <c r="S156" s="11" t="n">
        <f aca="false">K156+(ROW()/10000000)</f>
        <v>28.0000156</v>
      </c>
    </row>
    <row r="157" customFormat="false" ht="15" hidden="false" customHeight="false" outlineLevel="0" collapsed="false">
      <c r="A157" s="11" t="s">
        <v>302</v>
      </c>
      <c r="B157" s="11" t="s">
        <v>30</v>
      </c>
      <c r="C157" s="11" t="s">
        <v>86</v>
      </c>
      <c r="D157" s="11" t="s">
        <v>34</v>
      </c>
      <c r="E157" s="11" t="s">
        <v>73</v>
      </c>
      <c r="F157" s="11" t="s">
        <v>96</v>
      </c>
      <c r="G157" s="21" t="n">
        <v>28.78</v>
      </c>
      <c r="H157" s="19" t="n">
        <v>0</v>
      </c>
      <c r="I157" s="21" t="n">
        <v>28.78</v>
      </c>
      <c r="J157" s="22" t="s">
        <v>303</v>
      </c>
      <c r="K157" s="11" t="n">
        <v>21</v>
      </c>
      <c r="L157" s="23"/>
      <c r="M157" s="24" t="b">
        <f aca="false">FALSE()</f>
        <v>0</v>
      </c>
      <c r="N157" s="11"/>
      <c r="O157" s="11" t="str">
        <f aca="false">IF(K157&lt;=StockP33,"Low",IF(K157&lt;=StockP67,"Moderate","High"))</f>
        <v>Moderate</v>
      </c>
      <c r="P157" s="11" t="str">
        <f aca="false">IF(H157=0,"Low",IF(H157&lt;=MarkdownP75,"Moderate","High"))</f>
        <v>Low</v>
      </c>
      <c r="Q157" s="11" t="str">
        <f aca="false">IF(ISBLANK(L157),"Unknown",IF(L157&gt;=4,"Good",IF(L157&lt;=2,"Poor","Neutral")))</f>
        <v>Unknown</v>
      </c>
      <c r="R157" s="11" t="str">
        <f aca="false">IF(AND(O157="Low",P157="Low",Q157="Good"),"BUY / PRIORITIZE",IF(AND(O157="High",P157="High",OR(Q157="Poor",M157=TRUE())),"HOLD / REVIEW","MONITOR"))</f>
        <v>MONITOR</v>
      </c>
      <c r="S157" s="11" t="n">
        <f aca="false">K157+(ROW()/10000000)</f>
        <v>21.0000157</v>
      </c>
    </row>
    <row r="158" customFormat="false" ht="15" hidden="false" customHeight="false" outlineLevel="0" collapsed="false">
      <c r="A158" s="11" t="s">
        <v>304</v>
      </c>
      <c r="B158" s="11" t="s">
        <v>28</v>
      </c>
      <c r="C158" s="11" t="s">
        <v>101</v>
      </c>
      <c r="D158" s="11" t="s">
        <v>37</v>
      </c>
      <c r="E158" s="11" t="s">
        <v>102</v>
      </c>
      <c r="F158" s="11" t="s">
        <v>82</v>
      </c>
      <c r="G158" s="21" t="n">
        <v>110.32</v>
      </c>
      <c r="H158" s="19" t="n">
        <v>28.3</v>
      </c>
      <c r="I158" s="21" t="n">
        <v>79.1</v>
      </c>
      <c r="J158" s="22" t="s">
        <v>80</v>
      </c>
      <c r="K158" s="11" t="n">
        <v>49</v>
      </c>
      <c r="L158" s="23" t="n">
        <v>3.3</v>
      </c>
      <c r="M158" s="24" t="b">
        <f aca="false">FALSE()</f>
        <v>0</v>
      </c>
      <c r="N158" s="11"/>
      <c r="O158" s="11" t="str">
        <f aca="false">IF(K158&lt;=StockP33,"Low",IF(K158&lt;=StockP67,"Moderate","High"))</f>
        <v>High</v>
      </c>
      <c r="P158" s="11" t="str">
        <f aca="false">IF(H158=0,"Low",IF(H158&lt;=MarkdownP75,"Moderate","High"))</f>
        <v>High</v>
      </c>
      <c r="Q158" s="11" t="str">
        <f aca="false">IF(ISBLANK(L158),"Unknown",IF(L158&gt;=4,"Good",IF(L158&lt;=2,"Poor","Neutral")))</f>
        <v>Neutral</v>
      </c>
      <c r="R158" s="11" t="str">
        <f aca="false">IF(AND(O158="Low",P158="Low",Q158="Good"),"BUY / PRIORITIZE",IF(AND(O158="High",P158="High",OR(Q158="Poor",M158=TRUE())),"HOLD / REVIEW","MONITOR"))</f>
        <v>MONITOR</v>
      </c>
      <c r="S158" s="11" t="n">
        <f aca="false">K158+(ROW()/10000000)</f>
        <v>49.0000158</v>
      </c>
    </row>
    <row r="159" customFormat="false" ht="15" hidden="false" customHeight="false" outlineLevel="0" collapsed="false">
      <c r="A159" s="11" t="s">
        <v>305</v>
      </c>
      <c r="B159" s="11" t="s">
        <v>29</v>
      </c>
      <c r="C159" s="11" t="s">
        <v>95</v>
      </c>
      <c r="D159" s="11" t="s">
        <v>35</v>
      </c>
      <c r="E159" s="11" t="s">
        <v>102</v>
      </c>
      <c r="F159" s="11" t="s">
        <v>82</v>
      </c>
      <c r="G159" s="21" t="n">
        <v>194.24</v>
      </c>
      <c r="H159" s="19" t="n">
        <v>0</v>
      </c>
      <c r="I159" s="21" t="n">
        <v>194.24</v>
      </c>
      <c r="J159" s="22" t="s">
        <v>80</v>
      </c>
      <c r="K159" s="11" t="n">
        <v>17</v>
      </c>
      <c r="L159" s="23" t="n">
        <v>1.2</v>
      </c>
      <c r="M159" s="24" t="b">
        <f aca="false">TRUE()</f>
        <v>1</v>
      </c>
      <c r="N159" s="11" t="s">
        <v>178</v>
      </c>
      <c r="O159" s="11" t="str">
        <f aca="false">IF(K159&lt;=StockP33,"Low",IF(K159&lt;=StockP67,"Moderate","High"))</f>
        <v>Low</v>
      </c>
      <c r="P159" s="11" t="str">
        <f aca="false">IF(H159=0,"Low",IF(H159&lt;=MarkdownP75,"Moderate","High"))</f>
        <v>Low</v>
      </c>
      <c r="Q159" s="11" t="str">
        <f aca="false">IF(ISBLANK(L159),"Unknown",IF(L159&gt;=4,"Good",IF(L159&lt;=2,"Poor","Neutral")))</f>
        <v>Poor</v>
      </c>
      <c r="R159" s="11" t="str">
        <f aca="false">IF(AND(O159="Low",P159="Low",Q159="Good"),"BUY / PRIORITIZE",IF(AND(O159="High",P159="High",OR(Q159="Poor",M159=TRUE())),"HOLD / REVIEW","MONITOR"))</f>
        <v>MONITOR</v>
      </c>
      <c r="S159" s="11" t="n">
        <f aca="false">K159+(ROW()/10000000)</f>
        <v>17.0000159</v>
      </c>
    </row>
    <row r="160" customFormat="false" ht="15" hidden="false" customHeight="false" outlineLevel="0" collapsed="false">
      <c r="A160" s="11" t="s">
        <v>306</v>
      </c>
      <c r="B160" s="11" t="s">
        <v>29</v>
      </c>
      <c r="C160" s="11" t="s">
        <v>116</v>
      </c>
      <c r="D160" s="11" t="s">
        <v>36</v>
      </c>
      <c r="E160" s="11" t="s">
        <v>110</v>
      </c>
      <c r="F160" s="11" t="s">
        <v>111</v>
      </c>
      <c r="G160" s="21" t="n">
        <v>175.91</v>
      </c>
      <c r="H160" s="19" t="n">
        <v>0</v>
      </c>
      <c r="I160" s="21" t="n">
        <v>175.91</v>
      </c>
      <c r="J160" s="22" t="s">
        <v>80</v>
      </c>
      <c r="K160" s="11" t="n">
        <v>4</v>
      </c>
      <c r="L160" s="23" t="n">
        <v>2.8</v>
      </c>
      <c r="M160" s="24" t="b">
        <f aca="false">FALSE()</f>
        <v>0</v>
      </c>
      <c r="N160" s="11"/>
      <c r="O160" s="11" t="str">
        <f aca="false">IF(K160&lt;=StockP33,"Low",IF(K160&lt;=StockP67,"Moderate","High"))</f>
        <v>Low</v>
      </c>
      <c r="P160" s="11" t="str">
        <f aca="false">IF(H160=0,"Low",IF(H160&lt;=MarkdownP75,"Moderate","High"))</f>
        <v>Low</v>
      </c>
      <c r="Q160" s="11" t="str">
        <f aca="false">IF(ISBLANK(L160),"Unknown",IF(L160&gt;=4,"Good",IF(L160&lt;=2,"Poor","Neutral")))</f>
        <v>Neutral</v>
      </c>
      <c r="R160" s="11" t="str">
        <f aca="false">IF(AND(O160="Low",P160="Low",Q160="Good"),"BUY / PRIORITIZE",IF(AND(O160="High",P160="High",OR(Q160="Poor",M160=TRUE())),"HOLD / REVIEW","MONITOR"))</f>
        <v>MONITOR</v>
      </c>
      <c r="S160" s="11" t="n">
        <f aca="false">K160+(ROW()/10000000)</f>
        <v>4.000016</v>
      </c>
    </row>
    <row r="161" customFormat="false" ht="15" hidden="false" customHeight="false" outlineLevel="0" collapsed="false">
      <c r="A161" s="11" t="s">
        <v>307</v>
      </c>
      <c r="B161" s="11" t="s">
        <v>26</v>
      </c>
      <c r="C161" s="11" t="s">
        <v>95</v>
      </c>
      <c r="D161" s="11" t="s">
        <v>37</v>
      </c>
      <c r="E161" s="11" t="s">
        <v>102</v>
      </c>
      <c r="F161" s="11" t="s">
        <v>92</v>
      </c>
      <c r="G161" s="21" t="n">
        <v>79.34</v>
      </c>
      <c r="H161" s="19" t="n">
        <v>0</v>
      </c>
      <c r="I161" s="21" t="n">
        <v>79.34</v>
      </c>
      <c r="J161" s="22" t="s">
        <v>80</v>
      </c>
      <c r="K161" s="11" t="n">
        <v>30</v>
      </c>
      <c r="L161" s="23" t="n">
        <v>4.4</v>
      </c>
      <c r="M161" s="24" t="b">
        <f aca="false">FALSE()</f>
        <v>0</v>
      </c>
      <c r="N161" s="11"/>
      <c r="O161" s="11" t="str">
        <f aca="false">IF(K161&lt;=StockP33,"Low",IF(K161&lt;=StockP67,"Moderate","High"))</f>
        <v>Moderate</v>
      </c>
      <c r="P161" s="11" t="str">
        <f aca="false">IF(H161=0,"Low",IF(H161&lt;=MarkdownP75,"Moderate","High"))</f>
        <v>Low</v>
      </c>
      <c r="Q161" s="11" t="str">
        <f aca="false">IF(ISBLANK(L161),"Unknown",IF(L161&gt;=4,"Good",IF(L161&lt;=2,"Poor","Neutral")))</f>
        <v>Good</v>
      </c>
      <c r="R161" s="11" t="str">
        <f aca="false">IF(AND(O161="Low",P161="Low",Q161="Good"),"BUY / PRIORITIZE",IF(AND(O161="High",P161="High",OR(Q161="Poor",M161=TRUE())),"HOLD / REVIEW","MONITOR"))</f>
        <v>MONITOR</v>
      </c>
      <c r="S161" s="11" t="n">
        <f aca="false">K161+(ROW()/10000000)</f>
        <v>30.0000161</v>
      </c>
    </row>
    <row r="162" customFormat="false" ht="15" hidden="false" customHeight="false" outlineLevel="0" collapsed="false">
      <c r="A162" s="11" t="s">
        <v>308</v>
      </c>
      <c r="B162" s="11" t="s">
        <v>26</v>
      </c>
      <c r="C162" s="11" t="s">
        <v>101</v>
      </c>
      <c r="D162" s="11" t="s">
        <v>35</v>
      </c>
      <c r="E162" s="11" t="s">
        <v>113</v>
      </c>
      <c r="F162" s="11" t="s">
        <v>98</v>
      </c>
      <c r="G162" s="21" t="n">
        <v>111.88</v>
      </c>
      <c r="H162" s="19" t="n">
        <v>0</v>
      </c>
      <c r="I162" s="21" t="n">
        <v>111.88</v>
      </c>
      <c r="J162" s="22" t="s">
        <v>80</v>
      </c>
      <c r="K162" s="11" t="n">
        <v>41</v>
      </c>
      <c r="L162" s="23" t="n">
        <v>4.5</v>
      </c>
      <c r="M162" s="24" t="b">
        <f aca="false">FALSE()</f>
        <v>0</v>
      </c>
      <c r="N162" s="11"/>
      <c r="O162" s="11" t="str">
        <f aca="false">IF(K162&lt;=StockP33,"Low",IF(K162&lt;=StockP67,"Moderate","High"))</f>
        <v>High</v>
      </c>
      <c r="P162" s="11" t="str">
        <f aca="false">IF(H162=0,"Low",IF(H162&lt;=MarkdownP75,"Moderate","High"))</f>
        <v>Low</v>
      </c>
      <c r="Q162" s="11" t="str">
        <f aca="false">IF(ISBLANK(L162),"Unknown",IF(L162&gt;=4,"Good",IF(L162&lt;=2,"Poor","Neutral")))</f>
        <v>Good</v>
      </c>
      <c r="R162" s="11" t="str">
        <f aca="false">IF(AND(O162="Low",P162="Low",Q162="Good"),"BUY / PRIORITIZE",IF(AND(O162="High",P162="High",OR(Q162="Poor",M162=TRUE())),"HOLD / REVIEW","MONITOR"))</f>
        <v>MONITOR</v>
      </c>
      <c r="S162" s="11" t="n">
        <f aca="false">K162+(ROW()/10000000)</f>
        <v>41.0000162</v>
      </c>
    </row>
    <row r="163" customFormat="false" ht="15" hidden="false" customHeight="false" outlineLevel="0" collapsed="false">
      <c r="A163" s="11" t="s">
        <v>309</v>
      </c>
      <c r="B163" s="11" t="s">
        <v>8</v>
      </c>
      <c r="C163" s="11" t="s">
        <v>116</v>
      </c>
      <c r="D163" s="11" t="s">
        <v>34</v>
      </c>
      <c r="E163" s="11"/>
      <c r="F163" s="11" t="s">
        <v>118</v>
      </c>
      <c r="G163" s="21" t="n">
        <v>42.84</v>
      </c>
      <c r="H163" s="19" t="n">
        <v>40.6</v>
      </c>
      <c r="I163" s="21" t="n">
        <v>25.45</v>
      </c>
      <c r="J163" s="22" t="s">
        <v>310</v>
      </c>
      <c r="K163" s="11" t="n">
        <v>18</v>
      </c>
      <c r="L163" s="23" t="n">
        <v>2.6</v>
      </c>
      <c r="M163" s="24" t="b">
        <f aca="false">FALSE()</f>
        <v>0</v>
      </c>
      <c r="N163" s="11"/>
      <c r="O163" s="11" t="str">
        <f aca="false">IF(K163&lt;=StockP33,"Low",IF(K163&lt;=StockP67,"Moderate","High"))</f>
        <v>Moderate</v>
      </c>
      <c r="P163" s="11" t="str">
        <f aca="false">IF(H163=0,"Low",IF(H163&lt;=MarkdownP75,"Moderate","High"))</f>
        <v>High</v>
      </c>
      <c r="Q163" s="11" t="str">
        <f aca="false">IF(ISBLANK(L163),"Unknown",IF(L163&gt;=4,"Good",IF(L163&lt;=2,"Poor","Neutral")))</f>
        <v>Neutral</v>
      </c>
      <c r="R163" s="11" t="str">
        <f aca="false">IF(AND(O163="Low",P163="Low",Q163="Good"),"BUY / PRIORITIZE",IF(AND(O163="High",P163="High",OR(Q163="Poor",M163=TRUE())),"HOLD / REVIEW","MONITOR"))</f>
        <v>MONITOR</v>
      </c>
      <c r="S163" s="11" t="n">
        <f aca="false">K163+(ROW()/10000000)</f>
        <v>18.0000163</v>
      </c>
    </row>
    <row r="164" customFormat="false" ht="15" hidden="false" customHeight="false" outlineLevel="0" collapsed="false">
      <c r="A164" s="11" t="s">
        <v>311</v>
      </c>
      <c r="B164" s="11" t="s">
        <v>26</v>
      </c>
      <c r="C164" s="11" t="s">
        <v>116</v>
      </c>
      <c r="D164" s="11" t="s">
        <v>34</v>
      </c>
      <c r="E164" s="11" t="s">
        <v>102</v>
      </c>
      <c r="F164" s="11" t="s">
        <v>118</v>
      </c>
      <c r="G164" s="21" t="n">
        <v>26.28</v>
      </c>
      <c r="H164" s="19" t="n">
        <v>1.1</v>
      </c>
      <c r="I164" s="21" t="n">
        <v>25.99</v>
      </c>
      <c r="J164" s="22" t="s">
        <v>312</v>
      </c>
      <c r="K164" s="11" t="n">
        <v>35</v>
      </c>
      <c r="L164" s="23" t="n">
        <v>5</v>
      </c>
      <c r="M164" s="24" t="b">
        <f aca="false">FALSE()</f>
        <v>0</v>
      </c>
      <c r="N164" s="11"/>
      <c r="O164" s="11" t="str">
        <f aca="false">IF(K164&lt;=StockP33,"Low",IF(K164&lt;=StockP67,"Moderate","High"))</f>
        <v>High</v>
      </c>
      <c r="P164" s="11" t="str">
        <f aca="false">IF(H164=0,"Low",IF(H164&lt;=MarkdownP75,"Moderate","High"))</f>
        <v>Moderate</v>
      </c>
      <c r="Q164" s="11" t="str">
        <f aca="false">IF(ISBLANK(L164),"Unknown",IF(L164&gt;=4,"Good",IF(L164&lt;=2,"Poor","Neutral")))</f>
        <v>Good</v>
      </c>
      <c r="R164" s="11" t="str">
        <f aca="false">IF(AND(O164="Low",P164="Low",Q164="Good"),"BUY / PRIORITIZE",IF(AND(O164="High",P164="High",OR(Q164="Poor",M164=TRUE())),"HOLD / REVIEW","MONITOR"))</f>
        <v>MONITOR</v>
      </c>
      <c r="S164" s="11" t="n">
        <f aca="false">K164+(ROW()/10000000)</f>
        <v>35.0000164</v>
      </c>
    </row>
    <row r="165" customFormat="false" ht="15" hidden="false" customHeight="false" outlineLevel="0" collapsed="false">
      <c r="A165" s="11" t="s">
        <v>313</v>
      </c>
      <c r="B165" s="11" t="s">
        <v>8</v>
      </c>
      <c r="C165" s="11" t="s">
        <v>101</v>
      </c>
      <c r="D165" s="11" t="s">
        <v>34</v>
      </c>
      <c r="E165" s="11"/>
      <c r="F165" s="11" t="s">
        <v>98</v>
      </c>
      <c r="G165" s="21" t="n">
        <v>23.11</v>
      </c>
      <c r="H165" s="19" t="n">
        <v>0</v>
      </c>
      <c r="I165" s="21" t="n">
        <v>23.11</v>
      </c>
      <c r="J165" s="22" t="s">
        <v>314</v>
      </c>
      <c r="K165" s="11" t="n">
        <v>2</v>
      </c>
      <c r="L165" s="23" t="n">
        <v>1.4</v>
      </c>
      <c r="M165" s="24" t="b">
        <f aca="false">FALSE()</f>
        <v>0</v>
      </c>
      <c r="N165" s="11"/>
      <c r="O165" s="11" t="str">
        <f aca="false">IF(K165&lt;=StockP33,"Low",IF(K165&lt;=StockP67,"Moderate","High"))</f>
        <v>Low</v>
      </c>
      <c r="P165" s="11" t="str">
        <f aca="false">IF(H165=0,"Low",IF(H165&lt;=MarkdownP75,"Moderate","High"))</f>
        <v>Low</v>
      </c>
      <c r="Q165" s="11" t="str">
        <f aca="false">IF(ISBLANK(L165),"Unknown",IF(L165&gt;=4,"Good",IF(L165&lt;=2,"Poor","Neutral")))</f>
        <v>Poor</v>
      </c>
      <c r="R165" s="11" t="str">
        <f aca="false">IF(AND(O165="Low",P165="Low",Q165="Good"),"BUY / PRIORITIZE",IF(AND(O165="High",P165="High",OR(Q165="Poor",M165=TRUE())),"HOLD / REVIEW","MONITOR"))</f>
        <v>MONITOR</v>
      </c>
      <c r="S165" s="11" t="n">
        <f aca="false">K165+(ROW()/10000000)</f>
        <v>2.0000165</v>
      </c>
    </row>
    <row r="166" customFormat="false" ht="15" hidden="false" customHeight="false" outlineLevel="0" collapsed="false">
      <c r="A166" s="11" t="s">
        <v>315</v>
      </c>
      <c r="B166" s="11" t="s">
        <v>29</v>
      </c>
      <c r="C166" s="11" t="s">
        <v>72</v>
      </c>
      <c r="D166" s="11" t="s">
        <v>37</v>
      </c>
      <c r="E166" s="11" t="s">
        <v>113</v>
      </c>
      <c r="F166" s="11" t="s">
        <v>88</v>
      </c>
      <c r="G166" s="21" t="n">
        <v>168.36</v>
      </c>
      <c r="H166" s="19" t="n">
        <v>0</v>
      </c>
      <c r="I166" s="21" t="n">
        <v>168.36</v>
      </c>
      <c r="J166" s="22" t="s">
        <v>80</v>
      </c>
      <c r="K166" s="11" t="n">
        <v>47</v>
      </c>
      <c r="L166" s="23"/>
      <c r="M166" s="24" t="b">
        <f aca="false">TRUE()</f>
        <v>1</v>
      </c>
      <c r="N166" s="11" t="s">
        <v>134</v>
      </c>
      <c r="O166" s="11" t="str">
        <f aca="false">IF(K166&lt;=StockP33,"Low",IF(K166&lt;=StockP67,"Moderate","High"))</f>
        <v>High</v>
      </c>
      <c r="P166" s="11" t="str">
        <f aca="false">IF(H166=0,"Low",IF(H166&lt;=MarkdownP75,"Moderate","High"))</f>
        <v>Low</v>
      </c>
      <c r="Q166" s="11" t="str">
        <f aca="false">IF(ISBLANK(L166),"Unknown",IF(L166&gt;=4,"Good",IF(L166&lt;=2,"Poor","Neutral")))</f>
        <v>Unknown</v>
      </c>
      <c r="R166" s="11" t="str">
        <f aca="false">IF(AND(O166="Low",P166="Low",Q166="Good"),"BUY / PRIORITIZE",IF(AND(O166="High",P166="High",OR(Q166="Poor",M166=TRUE())),"HOLD / REVIEW","MONITOR"))</f>
        <v>MONITOR</v>
      </c>
      <c r="S166" s="11" t="n">
        <f aca="false">K166+(ROW()/10000000)</f>
        <v>47.0000166</v>
      </c>
    </row>
    <row r="167" customFormat="false" ht="15" hidden="false" customHeight="false" outlineLevel="0" collapsed="false">
      <c r="A167" s="11" t="s">
        <v>316</v>
      </c>
      <c r="B167" s="11" t="s">
        <v>29</v>
      </c>
      <c r="C167" s="11" t="s">
        <v>116</v>
      </c>
      <c r="D167" s="11" t="s">
        <v>36</v>
      </c>
      <c r="E167" s="11" t="s">
        <v>73</v>
      </c>
      <c r="F167" s="11" t="s">
        <v>98</v>
      </c>
      <c r="G167" s="21" t="n">
        <v>99.26</v>
      </c>
      <c r="H167" s="19" t="n">
        <v>0</v>
      </c>
      <c r="I167" s="21" t="n">
        <v>99.26</v>
      </c>
      <c r="J167" s="22" t="s">
        <v>80</v>
      </c>
      <c r="K167" s="11" t="n">
        <v>33</v>
      </c>
      <c r="L167" s="23"/>
      <c r="M167" s="24" t="b">
        <f aca="false">TRUE()</f>
        <v>1</v>
      </c>
      <c r="N167" s="11" t="s">
        <v>140</v>
      </c>
      <c r="O167" s="11" t="str">
        <f aca="false">IF(K167&lt;=StockP33,"Low",IF(K167&lt;=StockP67,"Moderate","High"))</f>
        <v>Moderate</v>
      </c>
      <c r="P167" s="11" t="str">
        <f aca="false">IF(H167=0,"Low",IF(H167&lt;=MarkdownP75,"Moderate","High"))</f>
        <v>Low</v>
      </c>
      <c r="Q167" s="11" t="str">
        <f aca="false">IF(ISBLANK(L167),"Unknown",IF(L167&gt;=4,"Good",IF(L167&lt;=2,"Poor","Neutral")))</f>
        <v>Unknown</v>
      </c>
      <c r="R167" s="11" t="str">
        <f aca="false">IF(AND(O167="Low",P167="Low",Q167="Good"),"BUY / PRIORITIZE",IF(AND(O167="High",P167="High",OR(Q167="Poor",M167=TRUE())),"HOLD / REVIEW","MONITOR"))</f>
        <v>MONITOR</v>
      </c>
      <c r="S167" s="11" t="n">
        <f aca="false">K167+(ROW()/10000000)</f>
        <v>33.0000167</v>
      </c>
    </row>
    <row r="168" customFormat="false" ht="15" hidden="false" customHeight="false" outlineLevel="0" collapsed="false">
      <c r="A168" s="11" t="s">
        <v>317</v>
      </c>
      <c r="B168" s="11" t="s">
        <v>8</v>
      </c>
      <c r="C168" s="11" t="s">
        <v>95</v>
      </c>
      <c r="D168" s="11" t="s">
        <v>34</v>
      </c>
      <c r="E168" s="11"/>
      <c r="F168" s="11" t="s">
        <v>82</v>
      </c>
      <c r="G168" s="21" t="n">
        <v>53.66</v>
      </c>
      <c r="H168" s="19" t="n">
        <v>0</v>
      </c>
      <c r="I168" s="21" t="n">
        <v>53.66</v>
      </c>
      <c r="J168" s="22" t="s">
        <v>318</v>
      </c>
      <c r="K168" s="11" t="n">
        <v>40</v>
      </c>
      <c r="L168" s="23" t="n">
        <v>2.8</v>
      </c>
      <c r="M168" s="24" t="b">
        <f aca="false">FALSE()</f>
        <v>0</v>
      </c>
      <c r="N168" s="11"/>
      <c r="O168" s="11" t="str">
        <f aca="false">IF(K168&lt;=StockP33,"Low",IF(K168&lt;=StockP67,"Moderate","High"))</f>
        <v>High</v>
      </c>
      <c r="P168" s="11" t="str">
        <f aca="false">IF(H168=0,"Low",IF(H168&lt;=MarkdownP75,"Moderate","High"))</f>
        <v>Low</v>
      </c>
      <c r="Q168" s="11" t="str">
        <f aca="false">IF(ISBLANK(L168),"Unknown",IF(L168&gt;=4,"Good",IF(L168&lt;=2,"Poor","Neutral")))</f>
        <v>Neutral</v>
      </c>
      <c r="R168" s="11" t="str">
        <f aca="false">IF(AND(O168="Low",P168="Low",Q168="Good"),"BUY / PRIORITIZE",IF(AND(O168="High",P168="High",OR(Q168="Poor",M168=TRUE())),"HOLD / REVIEW","MONITOR"))</f>
        <v>MONITOR</v>
      </c>
      <c r="S168" s="11" t="n">
        <f aca="false">K168+(ROW()/10000000)</f>
        <v>40.0000168</v>
      </c>
    </row>
    <row r="169" customFormat="false" ht="15" hidden="false" customHeight="false" outlineLevel="0" collapsed="false">
      <c r="A169" s="11" t="s">
        <v>319</v>
      </c>
      <c r="B169" s="11" t="s">
        <v>8</v>
      </c>
      <c r="C169" s="11" t="s">
        <v>107</v>
      </c>
      <c r="D169" s="11" t="s">
        <v>35</v>
      </c>
      <c r="E169" s="11"/>
      <c r="F169" s="11" t="s">
        <v>92</v>
      </c>
      <c r="G169" s="21" t="n">
        <v>69.71</v>
      </c>
      <c r="H169" s="19" t="n">
        <v>18</v>
      </c>
      <c r="I169" s="21" t="n">
        <v>57.16</v>
      </c>
      <c r="J169" s="22" t="s">
        <v>80</v>
      </c>
      <c r="K169" s="11" t="n">
        <v>34</v>
      </c>
      <c r="L169" s="23" t="n">
        <v>4.2</v>
      </c>
      <c r="M169" s="24" t="b">
        <f aca="false">TRUE()</f>
        <v>1</v>
      </c>
      <c r="N169" s="11" t="s">
        <v>89</v>
      </c>
      <c r="O169" s="11" t="str">
        <f aca="false">IF(K169&lt;=StockP33,"Low",IF(K169&lt;=StockP67,"Moderate","High"))</f>
        <v>High</v>
      </c>
      <c r="P169" s="11" t="str">
        <f aca="false">IF(H169=0,"Low",IF(H169&lt;=MarkdownP75,"Moderate","High"))</f>
        <v>Moderate</v>
      </c>
      <c r="Q169" s="11" t="str">
        <f aca="false">IF(ISBLANK(L169),"Unknown",IF(L169&gt;=4,"Good",IF(L169&lt;=2,"Poor","Neutral")))</f>
        <v>Good</v>
      </c>
      <c r="R169" s="11" t="str">
        <f aca="false">IF(AND(O169="Low",P169="Low",Q169="Good"),"BUY / PRIORITIZE",IF(AND(O169="High",P169="High",OR(Q169="Poor",M169=TRUE())),"HOLD / REVIEW","MONITOR"))</f>
        <v>MONITOR</v>
      </c>
      <c r="S169" s="11" t="n">
        <f aca="false">K169+(ROW()/10000000)</f>
        <v>34.0000169</v>
      </c>
    </row>
    <row r="170" customFormat="false" ht="15" hidden="false" customHeight="false" outlineLevel="0" collapsed="false">
      <c r="A170" s="11" t="s">
        <v>320</v>
      </c>
      <c r="B170" s="11" t="s">
        <v>27</v>
      </c>
      <c r="C170" s="11" t="s">
        <v>130</v>
      </c>
      <c r="D170" s="11" t="s">
        <v>36</v>
      </c>
      <c r="E170" s="11" t="s">
        <v>102</v>
      </c>
      <c r="F170" s="11" t="s">
        <v>92</v>
      </c>
      <c r="G170" s="21" t="n">
        <v>60.3</v>
      </c>
      <c r="H170" s="19" t="n">
        <v>21.4</v>
      </c>
      <c r="I170" s="21" t="n">
        <v>47.4</v>
      </c>
      <c r="J170" s="22" t="s">
        <v>80</v>
      </c>
      <c r="K170" s="11" t="n">
        <v>4</v>
      </c>
      <c r="L170" s="23" t="n">
        <v>3.6</v>
      </c>
      <c r="M170" s="24" t="b">
        <f aca="false">FALSE()</f>
        <v>0</v>
      </c>
      <c r="N170" s="11"/>
      <c r="O170" s="11" t="str">
        <f aca="false">IF(K170&lt;=StockP33,"Low",IF(K170&lt;=StockP67,"Moderate","High"))</f>
        <v>Low</v>
      </c>
      <c r="P170" s="11" t="str">
        <f aca="false">IF(H170=0,"Low",IF(H170&lt;=MarkdownP75,"Moderate","High"))</f>
        <v>Moderate</v>
      </c>
      <c r="Q170" s="11" t="str">
        <f aca="false">IF(ISBLANK(L170),"Unknown",IF(L170&gt;=4,"Good",IF(L170&lt;=2,"Poor","Neutral")))</f>
        <v>Neutral</v>
      </c>
      <c r="R170" s="11" t="str">
        <f aca="false">IF(AND(O170="Low",P170="Low",Q170="Good"),"BUY / PRIORITIZE",IF(AND(O170="High",P170="High",OR(Q170="Poor",M170=TRUE())),"HOLD / REVIEW","MONITOR"))</f>
        <v>MONITOR</v>
      </c>
      <c r="S170" s="11" t="n">
        <f aca="false">K170+(ROW()/10000000)</f>
        <v>4.000017</v>
      </c>
    </row>
    <row r="171" customFormat="false" ht="15" hidden="false" customHeight="false" outlineLevel="0" collapsed="false">
      <c r="A171" s="11" t="s">
        <v>321</v>
      </c>
      <c r="B171" s="11" t="s">
        <v>29</v>
      </c>
      <c r="C171" s="11" t="s">
        <v>86</v>
      </c>
      <c r="D171" s="11" t="s">
        <v>37</v>
      </c>
      <c r="E171" s="11" t="s">
        <v>102</v>
      </c>
      <c r="F171" s="11" t="s">
        <v>74</v>
      </c>
      <c r="G171" s="21" t="n">
        <v>113.58</v>
      </c>
      <c r="H171" s="19" t="n">
        <v>0</v>
      </c>
      <c r="I171" s="21" t="n">
        <v>113.58</v>
      </c>
      <c r="J171" s="22" t="s">
        <v>80</v>
      </c>
      <c r="K171" s="11" t="n">
        <v>33</v>
      </c>
      <c r="L171" s="23" t="n">
        <v>4.9</v>
      </c>
      <c r="M171" s="24" t="b">
        <f aca="false">TRUE()</f>
        <v>1</v>
      </c>
      <c r="N171" s="11" t="s">
        <v>191</v>
      </c>
      <c r="O171" s="11" t="str">
        <f aca="false">IF(K171&lt;=StockP33,"Low",IF(K171&lt;=StockP67,"Moderate","High"))</f>
        <v>Moderate</v>
      </c>
      <c r="P171" s="11" t="str">
        <f aca="false">IF(H171=0,"Low",IF(H171&lt;=MarkdownP75,"Moderate","High"))</f>
        <v>Low</v>
      </c>
      <c r="Q171" s="11" t="str">
        <f aca="false">IF(ISBLANK(L171),"Unknown",IF(L171&gt;=4,"Good",IF(L171&lt;=2,"Poor","Neutral")))</f>
        <v>Good</v>
      </c>
      <c r="R171" s="11" t="str">
        <f aca="false">IF(AND(O171="Low",P171="Low",Q171="Good"),"BUY / PRIORITIZE",IF(AND(O171="High",P171="High",OR(Q171="Poor",M171=TRUE())),"HOLD / REVIEW","MONITOR"))</f>
        <v>MONITOR</v>
      </c>
      <c r="S171" s="11" t="n">
        <f aca="false">K171+(ROW()/10000000)</f>
        <v>33.0000171</v>
      </c>
    </row>
    <row r="172" customFormat="false" ht="15" hidden="false" customHeight="false" outlineLevel="0" collapsed="false">
      <c r="A172" s="11" t="s">
        <v>322</v>
      </c>
      <c r="B172" s="11" t="s">
        <v>26</v>
      </c>
      <c r="C172" s="11" t="s">
        <v>107</v>
      </c>
      <c r="D172" s="11" t="s">
        <v>36</v>
      </c>
      <c r="E172" s="11" t="s">
        <v>110</v>
      </c>
      <c r="F172" s="11" t="s">
        <v>124</v>
      </c>
      <c r="G172" s="21" t="n">
        <v>54.86</v>
      </c>
      <c r="H172" s="19" t="n">
        <v>1.7</v>
      </c>
      <c r="I172" s="21" t="n">
        <v>53.93</v>
      </c>
      <c r="J172" s="22" t="s">
        <v>80</v>
      </c>
      <c r="K172" s="11" t="n">
        <v>40</v>
      </c>
      <c r="L172" s="23" t="n">
        <v>2.5</v>
      </c>
      <c r="M172" s="24" t="b">
        <f aca="false">FALSE()</f>
        <v>0</v>
      </c>
      <c r="N172" s="11"/>
      <c r="O172" s="11" t="str">
        <f aca="false">IF(K172&lt;=StockP33,"Low",IF(K172&lt;=StockP67,"Moderate","High"))</f>
        <v>High</v>
      </c>
      <c r="P172" s="11" t="str">
        <f aca="false">IF(H172=0,"Low",IF(H172&lt;=MarkdownP75,"Moderate","High"))</f>
        <v>Moderate</v>
      </c>
      <c r="Q172" s="11" t="str">
        <f aca="false">IF(ISBLANK(L172),"Unknown",IF(L172&gt;=4,"Good",IF(L172&lt;=2,"Poor","Neutral")))</f>
        <v>Neutral</v>
      </c>
      <c r="R172" s="11" t="str">
        <f aca="false">IF(AND(O172="Low",P172="Low",Q172="Good"),"BUY / PRIORITIZE",IF(AND(O172="High",P172="High",OR(Q172="Poor",M172=TRUE())),"HOLD / REVIEW","MONITOR"))</f>
        <v>MONITOR</v>
      </c>
      <c r="S172" s="11" t="n">
        <f aca="false">K172+(ROW()/10000000)</f>
        <v>40.0000172</v>
      </c>
    </row>
    <row r="173" customFormat="false" ht="15" hidden="false" customHeight="false" outlineLevel="0" collapsed="false">
      <c r="A173" s="11" t="s">
        <v>323</v>
      </c>
      <c r="B173" s="11" t="s">
        <v>30</v>
      </c>
      <c r="C173" s="11" t="s">
        <v>72</v>
      </c>
      <c r="D173" s="11" t="s">
        <v>37</v>
      </c>
      <c r="E173" s="11" t="s">
        <v>110</v>
      </c>
      <c r="F173" s="11" t="s">
        <v>74</v>
      </c>
      <c r="G173" s="21" t="n">
        <v>92.25</v>
      </c>
      <c r="H173" s="19" t="n">
        <v>0</v>
      </c>
      <c r="I173" s="21" t="n">
        <v>92.25</v>
      </c>
      <c r="J173" s="22" t="s">
        <v>80</v>
      </c>
      <c r="K173" s="11" t="n">
        <v>13</v>
      </c>
      <c r="L173" s="23" t="n">
        <v>2.8</v>
      </c>
      <c r="M173" s="24" t="b">
        <f aca="false">TRUE()</f>
        <v>1</v>
      </c>
      <c r="N173" s="11" t="s">
        <v>134</v>
      </c>
      <c r="O173" s="11" t="str">
        <f aca="false">IF(K173&lt;=StockP33,"Low",IF(K173&lt;=StockP67,"Moderate","High"))</f>
        <v>Low</v>
      </c>
      <c r="P173" s="11" t="str">
        <f aca="false">IF(H173=0,"Low",IF(H173&lt;=MarkdownP75,"Moderate","High"))</f>
        <v>Low</v>
      </c>
      <c r="Q173" s="11" t="str">
        <f aca="false">IF(ISBLANK(L173),"Unknown",IF(L173&gt;=4,"Good",IF(L173&lt;=2,"Poor","Neutral")))</f>
        <v>Neutral</v>
      </c>
      <c r="R173" s="11" t="str">
        <f aca="false">IF(AND(O173="Low",P173="Low",Q173="Good"),"BUY / PRIORITIZE",IF(AND(O173="High",P173="High",OR(Q173="Poor",M173=TRUE())),"HOLD / REVIEW","MONITOR"))</f>
        <v>MONITOR</v>
      </c>
      <c r="S173" s="11" t="n">
        <f aca="false">K173+(ROW()/10000000)</f>
        <v>13.0000173</v>
      </c>
    </row>
    <row r="174" customFormat="false" ht="15" hidden="false" customHeight="false" outlineLevel="0" collapsed="false">
      <c r="A174" s="11" t="s">
        <v>324</v>
      </c>
      <c r="B174" s="11" t="s">
        <v>8</v>
      </c>
      <c r="C174" s="11" t="s">
        <v>107</v>
      </c>
      <c r="D174" s="11" t="s">
        <v>37</v>
      </c>
      <c r="E174" s="11"/>
      <c r="F174" s="11" t="s">
        <v>88</v>
      </c>
      <c r="G174" s="21" t="n">
        <v>54.07</v>
      </c>
      <c r="H174" s="19" t="n">
        <v>0</v>
      </c>
      <c r="I174" s="21" t="n">
        <v>54.07</v>
      </c>
      <c r="J174" s="22" t="s">
        <v>80</v>
      </c>
      <c r="K174" s="11" t="n">
        <v>47</v>
      </c>
      <c r="L174" s="23" t="n">
        <v>4.6</v>
      </c>
      <c r="M174" s="24" t="b">
        <f aca="false">FALSE()</f>
        <v>0</v>
      </c>
      <c r="N174" s="11"/>
      <c r="O174" s="11" t="str">
        <f aca="false">IF(K174&lt;=StockP33,"Low",IF(K174&lt;=StockP67,"Moderate","High"))</f>
        <v>High</v>
      </c>
      <c r="P174" s="11" t="str">
        <f aca="false">IF(H174=0,"Low",IF(H174&lt;=MarkdownP75,"Moderate","High"))</f>
        <v>Low</v>
      </c>
      <c r="Q174" s="11" t="str">
        <f aca="false">IF(ISBLANK(L174),"Unknown",IF(L174&gt;=4,"Good",IF(L174&lt;=2,"Poor","Neutral")))</f>
        <v>Good</v>
      </c>
      <c r="R174" s="11" t="str">
        <f aca="false">IF(AND(O174="Low",P174="Low",Q174="Good"),"BUY / PRIORITIZE",IF(AND(O174="High",P174="High",OR(Q174="Poor",M174=TRUE())),"HOLD / REVIEW","MONITOR"))</f>
        <v>MONITOR</v>
      </c>
      <c r="S174" s="11" t="n">
        <f aca="false">K174+(ROW()/10000000)</f>
        <v>47.0000174</v>
      </c>
    </row>
    <row r="175" customFormat="false" ht="15" hidden="false" customHeight="false" outlineLevel="0" collapsed="false">
      <c r="A175" s="11" t="s">
        <v>325</v>
      </c>
      <c r="B175" s="11" t="s">
        <v>29</v>
      </c>
      <c r="C175" s="11" t="s">
        <v>86</v>
      </c>
      <c r="D175" s="11" t="s">
        <v>37</v>
      </c>
      <c r="E175" s="11" t="s">
        <v>73</v>
      </c>
      <c r="F175" s="11" t="s">
        <v>74</v>
      </c>
      <c r="G175" s="21" t="n">
        <v>104.4</v>
      </c>
      <c r="H175" s="19" t="n">
        <v>0</v>
      </c>
      <c r="I175" s="21" t="n">
        <v>104.4</v>
      </c>
      <c r="J175" s="22" t="s">
        <v>80</v>
      </c>
      <c r="K175" s="11" t="n">
        <v>41</v>
      </c>
      <c r="L175" s="23" t="n">
        <v>3.4</v>
      </c>
      <c r="M175" s="24" t="b">
        <f aca="false">FALSE()</f>
        <v>0</v>
      </c>
      <c r="N175" s="11"/>
      <c r="O175" s="11" t="str">
        <f aca="false">IF(K175&lt;=StockP33,"Low",IF(K175&lt;=StockP67,"Moderate","High"))</f>
        <v>High</v>
      </c>
      <c r="P175" s="11" t="str">
        <f aca="false">IF(H175=0,"Low",IF(H175&lt;=MarkdownP75,"Moderate","High"))</f>
        <v>Low</v>
      </c>
      <c r="Q175" s="11" t="str">
        <f aca="false">IF(ISBLANK(L175),"Unknown",IF(L175&gt;=4,"Good",IF(L175&lt;=2,"Poor","Neutral")))</f>
        <v>Neutral</v>
      </c>
      <c r="R175" s="11" t="str">
        <f aca="false">IF(AND(O175="Low",P175="Low",Q175="Good"),"BUY / PRIORITIZE",IF(AND(O175="High",P175="High",OR(Q175="Poor",M175=TRUE())),"HOLD / REVIEW","MONITOR"))</f>
        <v>MONITOR</v>
      </c>
      <c r="S175" s="11" t="n">
        <f aca="false">K175+(ROW()/10000000)</f>
        <v>41.0000175</v>
      </c>
    </row>
    <row r="176" customFormat="false" ht="15" hidden="false" customHeight="false" outlineLevel="0" collapsed="false">
      <c r="A176" s="11" t="s">
        <v>326</v>
      </c>
      <c r="B176" s="11" t="s">
        <v>27</v>
      </c>
      <c r="C176" s="11" t="s">
        <v>107</v>
      </c>
      <c r="D176" s="11" t="s">
        <v>34</v>
      </c>
      <c r="E176" s="11" t="s">
        <v>113</v>
      </c>
      <c r="F176" s="11" t="s">
        <v>92</v>
      </c>
      <c r="G176" s="21" t="n">
        <v>45.97</v>
      </c>
      <c r="H176" s="19" t="n">
        <v>0</v>
      </c>
      <c r="I176" s="21" t="n">
        <v>45.97</v>
      </c>
      <c r="J176" s="22" t="s">
        <v>327</v>
      </c>
      <c r="K176" s="11" t="n">
        <v>37</v>
      </c>
      <c r="L176" s="23" t="n">
        <v>3.2</v>
      </c>
      <c r="M176" s="24" t="b">
        <f aca="false">TRUE()</f>
        <v>1</v>
      </c>
      <c r="N176" s="11" t="s">
        <v>140</v>
      </c>
      <c r="O176" s="11" t="str">
        <f aca="false">IF(K176&lt;=StockP33,"Low",IF(K176&lt;=StockP67,"Moderate","High"))</f>
        <v>High</v>
      </c>
      <c r="P176" s="11" t="str">
        <f aca="false">IF(H176=0,"Low",IF(H176&lt;=MarkdownP75,"Moderate","High"))</f>
        <v>Low</v>
      </c>
      <c r="Q176" s="11" t="str">
        <f aca="false">IF(ISBLANK(L176),"Unknown",IF(L176&gt;=4,"Good",IF(L176&lt;=2,"Poor","Neutral")))</f>
        <v>Neutral</v>
      </c>
      <c r="R176" s="11" t="str">
        <f aca="false">IF(AND(O176="Low",P176="Low",Q176="Good"),"BUY / PRIORITIZE",IF(AND(O176="High",P176="High",OR(Q176="Poor",M176=TRUE())),"HOLD / REVIEW","MONITOR"))</f>
        <v>MONITOR</v>
      </c>
      <c r="S176" s="11" t="n">
        <f aca="false">K176+(ROW()/10000000)</f>
        <v>37.0000176</v>
      </c>
    </row>
    <row r="177" customFormat="false" ht="15" hidden="false" customHeight="false" outlineLevel="0" collapsed="false">
      <c r="A177" s="11" t="s">
        <v>328</v>
      </c>
      <c r="B177" s="11" t="s">
        <v>30</v>
      </c>
      <c r="C177" s="11" t="s">
        <v>107</v>
      </c>
      <c r="D177" s="11" t="s">
        <v>35</v>
      </c>
      <c r="E177" s="11" t="s">
        <v>102</v>
      </c>
      <c r="F177" s="11" t="s">
        <v>82</v>
      </c>
      <c r="G177" s="21" t="n">
        <v>28.79</v>
      </c>
      <c r="H177" s="19" t="n">
        <v>0</v>
      </c>
      <c r="I177" s="21" t="n">
        <v>28.79</v>
      </c>
      <c r="J177" s="22" t="s">
        <v>80</v>
      </c>
      <c r="K177" s="11" t="n">
        <v>4</v>
      </c>
      <c r="L177" s="23" t="n">
        <v>4.4</v>
      </c>
      <c r="M177" s="24" t="b">
        <f aca="false">FALSE()</f>
        <v>0</v>
      </c>
      <c r="N177" s="11"/>
      <c r="O177" s="11" t="str">
        <f aca="false">IF(K177&lt;=StockP33,"Low",IF(K177&lt;=StockP67,"Moderate","High"))</f>
        <v>Low</v>
      </c>
      <c r="P177" s="11" t="str">
        <f aca="false">IF(H177=0,"Low",IF(H177&lt;=MarkdownP75,"Moderate","High"))</f>
        <v>Low</v>
      </c>
      <c r="Q177" s="11" t="str">
        <f aca="false">IF(ISBLANK(L177),"Unknown",IF(L177&gt;=4,"Good",IF(L177&lt;=2,"Poor","Neutral")))</f>
        <v>Good</v>
      </c>
      <c r="R177" s="11" t="str">
        <f aca="false">IF(AND(O177="Low",P177="Low",Q177="Good"),"BUY / PRIORITIZE",IF(AND(O177="High",P177="High",OR(Q177="Poor",M177=TRUE())),"HOLD / REVIEW","MONITOR"))</f>
        <v>BUY / PRIORITIZE</v>
      </c>
      <c r="S177" s="11" t="n">
        <f aca="false">K177+(ROW()/10000000)</f>
        <v>4.0000177</v>
      </c>
    </row>
    <row r="178" customFormat="false" ht="15" hidden="false" customHeight="false" outlineLevel="0" collapsed="false">
      <c r="A178" s="11" t="s">
        <v>329</v>
      </c>
      <c r="B178" s="11" t="s">
        <v>28</v>
      </c>
      <c r="C178" s="11" t="s">
        <v>77</v>
      </c>
      <c r="D178" s="11" t="s">
        <v>37</v>
      </c>
      <c r="E178" s="11" t="s">
        <v>113</v>
      </c>
      <c r="F178" s="11" t="s">
        <v>92</v>
      </c>
      <c r="G178" s="21" t="n">
        <v>204.21</v>
      </c>
      <c r="H178" s="19" t="n">
        <v>0</v>
      </c>
      <c r="I178" s="21" t="n">
        <v>204.21</v>
      </c>
      <c r="J178" s="22" t="s">
        <v>80</v>
      </c>
      <c r="K178" s="11" t="n">
        <v>5</v>
      </c>
      <c r="L178" s="23" t="n">
        <v>3.3</v>
      </c>
      <c r="M178" s="24" t="b">
        <f aca="false">FALSE()</f>
        <v>0</v>
      </c>
      <c r="N178" s="11"/>
      <c r="O178" s="11" t="str">
        <f aca="false">IF(K178&lt;=StockP33,"Low",IF(K178&lt;=StockP67,"Moderate","High"))</f>
        <v>Low</v>
      </c>
      <c r="P178" s="11" t="str">
        <f aca="false">IF(H178=0,"Low",IF(H178&lt;=MarkdownP75,"Moderate","High"))</f>
        <v>Low</v>
      </c>
      <c r="Q178" s="11" t="str">
        <f aca="false">IF(ISBLANK(L178),"Unknown",IF(L178&gt;=4,"Good",IF(L178&lt;=2,"Poor","Neutral")))</f>
        <v>Neutral</v>
      </c>
      <c r="R178" s="11" t="str">
        <f aca="false">IF(AND(O178="Low",P178="Low",Q178="Good"),"BUY / PRIORITIZE",IF(AND(O178="High",P178="High",OR(Q178="Poor",M178=TRUE())),"HOLD / REVIEW","MONITOR"))</f>
        <v>MONITOR</v>
      </c>
      <c r="S178" s="11" t="n">
        <f aca="false">K178+(ROW()/10000000)</f>
        <v>5.0000178</v>
      </c>
    </row>
    <row r="179" customFormat="false" ht="15" hidden="false" customHeight="false" outlineLevel="0" collapsed="false">
      <c r="A179" s="11" t="s">
        <v>330</v>
      </c>
      <c r="B179" s="11" t="s">
        <v>29</v>
      </c>
      <c r="C179" s="11" t="s">
        <v>95</v>
      </c>
      <c r="D179" s="11" t="s">
        <v>36</v>
      </c>
      <c r="E179" s="11" t="s">
        <v>102</v>
      </c>
      <c r="F179" s="11" t="s">
        <v>79</v>
      </c>
      <c r="G179" s="21" t="n">
        <v>190.75</v>
      </c>
      <c r="H179" s="19" t="n">
        <v>20</v>
      </c>
      <c r="I179" s="21" t="n">
        <v>152.6</v>
      </c>
      <c r="J179" s="22" t="s">
        <v>80</v>
      </c>
      <c r="K179" s="11" t="n">
        <v>47</v>
      </c>
      <c r="L179" s="23"/>
      <c r="M179" s="24" t="b">
        <f aca="false">FALSE()</f>
        <v>0</v>
      </c>
      <c r="N179" s="11"/>
      <c r="O179" s="11" t="str">
        <f aca="false">IF(K179&lt;=StockP33,"Low",IF(K179&lt;=StockP67,"Moderate","High"))</f>
        <v>High</v>
      </c>
      <c r="P179" s="11" t="str">
        <f aca="false">IF(H179=0,"Low",IF(H179&lt;=MarkdownP75,"Moderate","High"))</f>
        <v>Moderate</v>
      </c>
      <c r="Q179" s="11" t="str">
        <f aca="false">IF(ISBLANK(L179),"Unknown",IF(L179&gt;=4,"Good",IF(L179&lt;=2,"Poor","Neutral")))</f>
        <v>Unknown</v>
      </c>
      <c r="R179" s="11" t="str">
        <f aca="false">IF(AND(O179="Low",P179="Low",Q179="Good"),"BUY / PRIORITIZE",IF(AND(O179="High",P179="High",OR(Q179="Poor",M179=TRUE())),"HOLD / REVIEW","MONITOR"))</f>
        <v>MONITOR</v>
      </c>
      <c r="S179" s="11" t="n">
        <f aca="false">K179+(ROW()/10000000)</f>
        <v>47.0000179</v>
      </c>
    </row>
    <row r="180" customFormat="false" ht="15" hidden="false" customHeight="false" outlineLevel="0" collapsed="false">
      <c r="A180" s="11" t="s">
        <v>331</v>
      </c>
      <c r="B180" s="11" t="s">
        <v>30</v>
      </c>
      <c r="C180" s="11" t="s">
        <v>130</v>
      </c>
      <c r="D180" s="11" t="s">
        <v>37</v>
      </c>
      <c r="E180" s="11" t="s">
        <v>110</v>
      </c>
      <c r="F180" s="11" t="s">
        <v>124</v>
      </c>
      <c r="G180" s="21" t="n">
        <v>33.01</v>
      </c>
      <c r="H180" s="19" t="n">
        <v>39.2</v>
      </c>
      <c r="I180" s="21" t="n">
        <v>20.07</v>
      </c>
      <c r="J180" s="22" t="s">
        <v>80</v>
      </c>
      <c r="K180" s="11" t="n">
        <v>16</v>
      </c>
      <c r="L180" s="23" t="n">
        <v>3.7</v>
      </c>
      <c r="M180" s="24" t="b">
        <f aca="false">FALSE()</f>
        <v>0</v>
      </c>
      <c r="N180" s="11"/>
      <c r="O180" s="11" t="str">
        <f aca="false">IF(K180&lt;=StockP33,"Low",IF(K180&lt;=StockP67,"Moderate","High"))</f>
        <v>Low</v>
      </c>
      <c r="P180" s="11" t="str">
        <f aca="false">IF(H180=0,"Low",IF(H180&lt;=MarkdownP75,"Moderate","High"))</f>
        <v>High</v>
      </c>
      <c r="Q180" s="11" t="str">
        <f aca="false">IF(ISBLANK(L180),"Unknown",IF(L180&gt;=4,"Good",IF(L180&lt;=2,"Poor","Neutral")))</f>
        <v>Neutral</v>
      </c>
      <c r="R180" s="11" t="str">
        <f aca="false">IF(AND(O180="Low",P180="Low",Q180="Good"),"BUY / PRIORITIZE",IF(AND(O180="High",P180="High",OR(Q180="Poor",M180=TRUE())),"HOLD / REVIEW","MONITOR"))</f>
        <v>MONITOR</v>
      </c>
      <c r="S180" s="11" t="n">
        <f aca="false">K180+(ROW()/10000000)</f>
        <v>16.000018</v>
      </c>
    </row>
    <row r="181" customFormat="false" ht="15" hidden="false" customHeight="false" outlineLevel="0" collapsed="false">
      <c r="A181" s="11" t="s">
        <v>332</v>
      </c>
      <c r="B181" s="11" t="s">
        <v>8</v>
      </c>
      <c r="C181" s="11" t="s">
        <v>86</v>
      </c>
      <c r="D181" s="11" t="s">
        <v>34</v>
      </c>
      <c r="E181" s="11"/>
      <c r="F181" s="11" t="s">
        <v>96</v>
      </c>
      <c r="G181" s="21" t="n">
        <v>47.61</v>
      </c>
      <c r="H181" s="19" t="n">
        <v>39.8</v>
      </c>
      <c r="I181" s="21" t="n">
        <v>28.66</v>
      </c>
      <c r="J181" s="22" t="s">
        <v>333</v>
      </c>
      <c r="K181" s="11" t="n">
        <v>18</v>
      </c>
      <c r="L181" s="23" t="n">
        <v>1.3</v>
      </c>
      <c r="M181" s="24" t="b">
        <f aca="false">FALSE()</f>
        <v>0</v>
      </c>
      <c r="N181" s="11"/>
      <c r="O181" s="11" t="str">
        <f aca="false">IF(K181&lt;=StockP33,"Low",IF(K181&lt;=StockP67,"Moderate","High"))</f>
        <v>Moderate</v>
      </c>
      <c r="P181" s="11" t="str">
        <f aca="false">IF(H181=0,"Low",IF(H181&lt;=MarkdownP75,"Moderate","High"))</f>
        <v>High</v>
      </c>
      <c r="Q181" s="11" t="str">
        <f aca="false">IF(ISBLANK(L181),"Unknown",IF(L181&gt;=4,"Good",IF(L181&lt;=2,"Poor","Neutral")))</f>
        <v>Poor</v>
      </c>
      <c r="R181" s="11" t="str">
        <f aca="false">IF(AND(O181="Low",P181="Low",Q181="Good"),"BUY / PRIORITIZE",IF(AND(O181="High",P181="High",OR(Q181="Poor",M181=TRUE())),"HOLD / REVIEW","MONITOR"))</f>
        <v>MONITOR</v>
      </c>
      <c r="S181" s="11" t="n">
        <f aca="false">K181+(ROW()/10000000)</f>
        <v>18.0000181</v>
      </c>
    </row>
    <row r="182" customFormat="false" ht="15" hidden="false" customHeight="false" outlineLevel="0" collapsed="false">
      <c r="A182" s="11" t="s">
        <v>334</v>
      </c>
      <c r="B182" s="11" t="s">
        <v>28</v>
      </c>
      <c r="C182" s="11" t="s">
        <v>101</v>
      </c>
      <c r="D182" s="11" t="s">
        <v>34</v>
      </c>
      <c r="E182" s="11" t="s">
        <v>110</v>
      </c>
      <c r="F182" s="11" t="s">
        <v>74</v>
      </c>
      <c r="G182" s="21" t="n">
        <v>137.16</v>
      </c>
      <c r="H182" s="19" t="n">
        <v>0</v>
      </c>
      <c r="I182" s="21" t="n">
        <v>137.16</v>
      </c>
      <c r="J182" s="22" t="s">
        <v>335</v>
      </c>
      <c r="K182" s="11" t="n">
        <v>34</v>
      </c>
      <c r="L182" s="23" t="n">
        <v>3.2</v>
      </c>
      <c r="M182" s="24" t="b">
        <f aca="false">FALSE()</f>
        <v>0</v>
      </c>
      <c r="N182" s="11"/>
      <c r="O182" s="11" t="str">
        <f aca="false">IF(K182&lt;=StockP33,"Low",IF(K182&lt;=StockP67,"Moderate","High"))</f>
        <v>High</v>
      </c>
      <c r="P182" s="11" t="str">
        <f aca="false">IF(H182=0,"Low",IF(H182&lt;=MarkdownP75,"Moderate","High"))</f>
        <v>Low</v>
      </c>
      <c r="Q182" s="11" t="str">
        <f aca="false">IF(ISBLANK(L182),"Unknown",IF(L182&gt;=4,"Good",IF(L182&lt;=2,"Poor","Neutral")))</f>
        <v>Neutral</v>
      </c>
      <c r="R182" s="11" t="str">
        <f aca="false">IF(AND(O182="Low",P182="Low",Q182="Good"),"BUY / PRIORITIZE",IF(AND(O182="High",P182="High",OR(Q182="Poor",M182=TRUE())),"HOLD / REVIEW","MONITOR"))</f>
        <v>MONITOR</v>
      </c>
      <c r="S182" s="11" t="n">
        <f aca="false">K182+(ROW()/10000000)</f>
        <v>34.0000182</v>
      </c>
    </row>
    <row r="183" customFormat="false" ht="15" hidden="false" customHeight="false" outlineLevel="0" collapsed="false">
      <c r="A183" s="11" t="s">
        <v>336</v>
      </c>
      <c r="B183" s="11" t="s">
        <v>30</v>
      </c>
      <c r="C183" s="11" t="s">
        <v>116</v>
      </c>
      <c r="D183" s="11" t="s">
        <v>36</v>
      </c>
      <c r="E183" s="11" t="s">
        <v>113</v>
      </c>
      <c r="F183" s="11" t="s">
        <v>118</v>
      </c>
      <c r="G183" s="21" t="n">
        <v>108.49</v>
      </c>
      <c r="H183" s="19" t="n">
        <v>0</v>
      </c>
      <c r="I183" s="21" t="n">
        <v>108.49</v>
      </c>
      <c r="J183" s="22" t="s">
        <v>80</v>
      </c>
      <c r="K183" s="11" t="n">
        <v>7</v>
      </c>
      <c r="L183" s="23" t="n">
        <v>3.3</v>
      </c>
      <c r="M183" s="24" t="b">
        <f aca="false">FALSE()</f>
        <v>0</v>
      </c>
      <c r="N183" s="11"/>
      <c r="O183" s="11" t="str">
        <f aca="false">IF(K183&lt;=StockP33,"Low",IF(K183&lt;=StockP67,"Moderate","High"))</f>
        <v>Low</v>
      </c>
      <c r="P183" s="11" t="str">
        <f aca="false">IF(H183=0,"Low",IF(H183&lt;=MarkdownP75,"Moderate","High"))</f>
        <v>Low</v>
      </c>
      <c r="Q183" s="11" t="str">
        <f aca="false">IF(ISBLANK(L183),"Unknown",IF(L183&gt;=4,"Good",IF(L183&lt;=2,"Poor","Neutral")))</f>
        <v>Neutral</v>
      </c>
      <c r="R183" s="11" t="str">
        <f aca="false">IF(AND(O183="Low",P183="Low",Q183="Good"),"BUY / PRIORITIZE",IF(AND(O183="High",P183="High",OR(Q183="Poor",M183=TRUE())),"HOLD / REVIEW","MONITOR"))</f>
        <v>MONITOR</v>
      </c>
      <c r="S183" s="11" t="n">
        <f aca="false">K183+(ROW()/10000000)</f>
        <v>7.0000183</v>
      </c>
    </row>
    <row r="184" customFormat="false" ht="15" hidden="false" customHeight="false" outlineLevel="0" collapsed="false">
      <c r="A184" s="11" t="s">
        <v>337</v>
      </c>
      <c r="B184" s="11" t="s">
        <v>30</v>
      </c>
      <c r="C184" s="11" t="s">
        <v>86</v>
      </c>
      <c r="D184" s="11" t="s">
        <v>37</v>
      </c>
      <c r="E184" s="11" t="s">
        <v>73</v>
      </c>
      <c r="F184" s="11" t="s">
        <v>98</v>
      </c>
      <c r="G184" s="21" t="n">
        <v>106.49</v>
      </c>
      <c r="H184" s="19" t="n">
        <v>0</v>
      </c>
      <c r="I184" s="21" t="n">
        <v>106.49</v>
      </c>
      <c r="J184" s="22" t="s">
        <v>80</v>
      </c>
      <c r="K184" s="11" t="n">
        <v>23</v>
      </c>
      <c r="L184" s="23" t="n">
        <v>4</v>
      </c>
      <c r="M184" s="24" t="b">
        <f aca="false">FALSE()</f>
        <v>0</v>
      </c>
      <c r="N184" s="11"/>
      <c r="O184" s="11" t="str">
        <f aca="false">IF(K184&lt;=StockP33,"Low",IF(K184&lt;=StockP67,"Moderate","High"))</f>
        <v>Moderate</v>
      </c>
      <c r="P184" s="11" t="str">
        <f aca="false">IF(H184=0,"Low",IF(H184&lt;=MarkdownP75,"Moderate","High"))</f>
        <v>Low</v>
      </c>
      <c r="Q184" s="11" t="str">
        <f aca="false">IF(ISBLANK(L184),"Unknown",IF(L184&gt;=4,"Good",IF(L184&lt;=2,"Poor","Neutral")))</f>
        <v>Good</v>
      </c>
      <c r="R184" s="11" t="str">
        <f aca="false">IF(AND(O184="Low",P184="Low",Q184="Good"),"BUY / PRIORITIZE",IF(AND(O184="High",P184="High",OR(Q184="Poor",M184=TRUE())),"HOLD / REVIEW","MONITOR"))</f>
        <v>MONITOR</v>
      </c>
      <c r="S184" s="11" t="n">
        <f aca="false">K184+(ROW()/10000000)</f>
        <v>23.0000184</v>
      </c>
    </row>
    <row r="185" customFormat="false" ht="15" hidden="false" customHeight="false" outlineLevel="0" collapsed="false">
      <c r="A185" s="11" t="s">
        <v>338</v>
      </c>
      <c r="B185" s="11" t="s">
        <v>30</v>
      </c>
      <c r="C185" s="11" t="s">
        <v>95</v>
      </c>
      <c r="D185" s="11" t="s">
        <v>37</v>
      </c>
      <c r="E185" s="11" t="s">
        <v>102</v>
      </c>
      <c r="F185" s="11" t="s">
        <v>79</v>
      </c>
      <c r="G185" s="21" t="n">
        <v>114.86</v>
      </c>
      <c r="H185" s="19" t="n">
        <v>0</v>
      </c>
      <c r="I185" s="21" t="n">
        <v>114.86</v>
      </c>
      <c r="J185" s="22" t="s">
        <v>80</v>
      </c>
      <c r="K185" s="11" t="n">
        <v>48</v>
      </c>
      <c r="L185" s="23" t="n">
        <v>1.1</v>
      </c>
      <c r="M185" s="24" t="b">
        <f aca="false">FALSE()</f>
        <v>0</v>
      </c>
      <c r="N185" s="11"/>
      <c r="O185" s="11" t="str">
        <f aca="false">IF(K185&lt;=StockP33,"Low",IF(K185&lt;=StockP67,"Moderate","High"))</f>
        <v>High</v>
      </c>
      <c r="P185" s="11" t="str">
        <f aca="false">IF(H185=0,"Low",IF(H185&lt;=MarkdownP75,"Moderate","High"))</f>
        <v>Low</v>
      </c>
      <c r="Q185" s="11" t="str">
        <f aca="false">IF(ISBLANK(L185),"Unknown",IF(L185&gt;=4,"Good",IF(L185&lt;=2,"Poor","Neutral")))</f>
        <v>Poor</v>
      </c>
      <c r="R185" s="11" t="str">
        <f aca="false">IF(AND(O185="Low",P185="Low",Q185="Good"),"BUY / PRIORITIZE",IF(AND(O185="High",P185="High",OR(Q185="Poor",M185=TRUE())),"HOLD / REVIEW","MONITOR"))</f>
        <v>MONITOR</v>
      </c>
      <c r="S185" s="11" t="n">
        <f aca="false">K185+(ROW()/10000000)</f>
        <v>48.0000185</v>
      </c>
    </row>
    <row r="186" customFormat="false" ht="15" hidden="false" customHeight="false" outlineLevel="0" collapsed="false">
      <c r="A186" s="11" t="s">
        <v>339</v>
      </c>
      <c r="B186" s="11" t="s">
        <v>27</v>
      </c>
      <c r="C186" s="11" t="s">
        <v>72</v>
      </c>
      <c r="D186" s="11" t="s">
        <v>36</v>
      </c>
      <c r="E186" s="11" t="s">
        <v>78</v>
      </c>
      <c r="F186" s="11" t="s">
        <v>96</v>
      </c>
      <c r="G186" s="21" t="n">
        <v>121.68</v>
      </c>
      <c r="H186" s="19" t="n">
        <v>0</v>
      </c>
      <c r="I186" s="21" t="n">
        <v>121.68</v>
      </c>
      <c r="J186" s="22" t="s">
        <v>80</v>
      </c>
      <c r="K186" s="11" t="n">
        <v>9</v>
      </c>
      <c r="L186" s="23" t="n">
        <v>1.5</v>
      </c>
      <c r="M186" s="24" t="b">
        <f aca="false">FALSE()</f>
        <v>0</v>
      </c>
      <c r="N186" s="11"/>
      <c r="O186" s="11" t="str">
        <f aca="false">IF(K186&lt;=StockP33,"Low",IF(K186&lt;=StockP67,"Moderate","High"))</f>
        <v>Low</v>
      </c>
      <c r="P186" s="11" t="str">
        <f aca="false">IF(H186=0,"Low",IF(H186&lt;=MarkdownP75,"Moderate","High"))</f>
        <v>Low</v>
      </c>
      <c r="Q186" s="11" t="str">
        <f aca="false">IF(ISBLANK(L186),"Unknown",IF(L186&gt;=4,"Good",IF(L186&lt;=2,"Poor","Neutral")))</f>
        <v>Poor</v>
      </c>
      <c r="R186" s="11" t="str">
        <f aca="false">IF(AND(O186="Low",P186="Low",Q186="Good"),"BUY / PRIORITIZE",IF(AND(O186="High",P186="High",OR(Q186="Poor",M186=TRUE())),"HOLD / REVIEW","MONITOR"))</f>
        <v>MONITOR</v>
      </c>
      <c r="S186" s="11" t="n">
        <f aca="false">K186+(ROW()/10000000)</f>
        <v>9.0000186</v>
      </c>
    </row>
    <row r="187" customFormat="false" ht="15" hidden="false" customHeight="false" outlineLevel="0" collapsed="false">
      <c r="A187" s="11" t="s">
        <v>340</v>
      </c>
      <c r="B187" s="11" t="s">
        <v>26</v>
      </c>
      <c r="C187" s="11" t="s">
        <v>72</v>
      </c>
      <c r="D187" s="11" t="s">
        <v>35</v>
      </c>
      <c r="E187" s="11" t="s">
        <v>102</v>
      </c>
      <c r="F187" s="11" t="s">
        <v>82</v>
      </c>
      <c r="G187" s="21" t="n">
        <v>74.08</v>
      </c>
      <c r="H187" s="19" t="n">
        <v>3.9</v>
      </c>
      <c r="I187" s="21" t="n">
        <v>71.19</v>
      </c>
      <c r="J187" s="22" t="s">
        <v>80</v>
      </c>
      <c r="K187" s="11" t="n">
        <v>37</v>
      </c>
      <c r="L187" s="23" t="n">
        <v>1.7</v>
      </c>
      <c r="M187" s="24" t="b">
        <f aca="false">FALSE()</f>
        <v>0</v>
      </c>
      <c r="N187" s="11"/>
      <c r="O187" s="11" t="str">
        <f aca="false">IF(K187&lt;=StockP33,"Low",IF(K187&lt;=StockP67,"Moderate","High"))</f>
        <v>High</v>
      </c>
      <c r="P187" s="11" t="str">
        <f aca="false">IF(H187=0,"Low",IF(H187&lt;=MarkdownP75,"Moderate","High"))</f>
        <v>Moderate</v>
      </c>
      <c r="Q187" s="11" t="str">
        <f aca="false">IF(ISBLANK(L187),"Unknown",IF(L187&gt;=4,"Good",IF(L187&lt;=2,"Poor","Neutral")))</f>
        <v>Poor</v>
      </c>
      <c r="R187" s="11" t="str">
        <f aca="false">IF(AND(O187="Low",P187="Low",Q187="Good"),"BUY / PRIORITIZE",IF(AND(O187="High",P187="High",OR(Q187="Poor",M187=TRUE())),"HOLD / REVIEW","MONITOR"))</f>
        <v>MONITOR</v>
      </c>
      <c r="S187" s="11" t="n">
        <f aca="false">K187+(ROW()/10000000)</f>
        <v>37.0000187</v>
      </c>
    </row>
    <row r="188" customFormat="false" ht="15" hidden="false" customHeight="false" outlineLevel="0" collapsed="false">
      <c r="A188" s="11" t="s">
        <v>341</v>
      </c>
      <c r="B188" s="11" t="s">
        <v>30</v>
      </c>
      <c r="C188" s="11" t="s">
        <v>116</v>
      </c>
      <c r="D188" s="11" t="s">
        <v>36</v>
      </c>
      <c r="E188" s="11" t="s">
        <v>113</v>
      </c>
      <c r="F188" s="11" t="s">
        <v>96</v>
      </c>
      <c r="G188" s="21" t="n">
        <v>92.37</v>
      </c>
      <c r="H188" s="19" t="n">
        <v>35.9</v>
      </c>
      <c r="I188" s="21" t="n">
        <v>59.21</v>
      </c>
      <c r="J188" s="22" t="s">
        <v>80</v>
      </c>
      <c r="K188" s="11" t="n">
        <v>20</v>
      </c>
      <c r="L188" s="23"/>
      <c r="M188" s="24" t="b">
        <f aca="false">FALSE()</f>
        <v>0</v>
      </c>
      <c r="N188" s="11"/>
      <c r="O188" s="11" t="str">
        <f aca="false">IF(K188&lt;=StockP33,"Low",IF(K188&lt;=StockP67,"Moderate","High"))</f>
        <v>Moderate</v>
      </c>
      <c r="P188" s="11" t="str">
        <f aca="false">IF(H188=0,"Low",IF(H188&lt;=MarkdownP75,"Moderate","High"))</f>
        <v>High</v>
      </c>
      <c r="Q188" s="11" t="str">
        <f aca="false">IF(ISBLANK(L188),"Unknown",IF(L188&gt;=4,"Good",IF(L188&lt;=2,"Poor","Neutral")))</f>
        <v>Unknown</v>
      </c>
      <c r="R188" s="11" t="str">
        <f aca="false">IF(AND(O188="Low",P188="Low",Q188="Good"),"BUY / PRIORITIZE",IF(AND(O188="High",P188="High",OR(Q188="Poor",M188=TRUE())),"HOLD / REVIEW","MONITOR"))</f>
        <v>MONITOR</v>
      </c>
      <c r="S188" s="11" t="n">
        <f aca="false">K188+(ROW()/10000000)</f>
        <v>20.0000188</v>
      </c>
    </row>
    <row r="189" customFormat="false" ht="15" hidden="false" customHeight="false" outlineLevel="0" collapsed="false">
      <c r="A189" s="11" t="s">
        <v>342</v>
      </c>
      <c r="B189" s="11" t="s">
        <v>30</v>
      </c>
      <c r="C189" s="11" t="s">
        <v>77</v>
      </c>
      <c r="D189" s="11" t="s">
        <v>35</v>
      </c>
      <c r="E189" s="11" t="s">
        <v>102</v>
      </c>
      <c r="F189" s="11" t="s">
        <v>111</v>
      </c>
      <c r="G189" s="21" t="n">
        <v>34.06</v>
      </c>
      <c r="H189" s="19" t="n">
        <v>0</v>
      </c>
      <c r="I189" s="21" t="n">
        <v>34.06</v>
      </c>
      <c r="J189" s="22" t="s">
        <v>80</v>
      </c>
      <c r="K189" s="11" t="n">
        <v>39</v>
      </c>
      <c r="L189" s="23" t="n">
        <v>4.5</v>
      </c>
      <c r="M189" s="24" t="b">
        <f aca="false">FALSE()</f>
        <v>0</v>
      </c>
      <c r="N189" s="11"/>
      <c r="O189" s="11" t="str">
        <f aca="false">IF(K189&lt;=StockP33,"Low",IF(K189&lt;=StockP67,"Moderate","High"))</f>
        <v>High</v>
      </c>
      <c r="P189" s="11" t="str">
        <f aca="false">IF(H189=0,"Low",IF(H189&lt;=MarkdownP75,"Moderate","High"))</f>
        <v>Low</v>
      </c>
      <c r="Q189" s="11" t="str">
        <f aca="false">IF(ISBLANK(L189),"Unknown",IF(L189&gt;=4,"Good",IF(L189&lt;=2,"Poor","Neutral")))</f>
        <v>Good</v>
      </c>
      <c r="R189" s="11" t="str">
        <f aca="false">IF(AND(O189="Low",P189="Low",Q189="Good"),"BUY / PRIORITIZE",IF(AND(O189="High",P189="High",OR(Q189="Poor",M189=TRUE())),"HOLD / REVIEW","MONITOR"))</f>
        <v>MONITOR</v>
      </c>
      <c r="S189" s="11" t="n">
        <f aca="false">K189+(ROW()/10000000)</f>
        <v>39.0000189</v>
      </c>
    </row>
    <row r="190" customFormat="false" ht="15" hidden="false" customHeight="false" outlineLevel="0" collapsed="false">
      <c r="A190" s="11" t="s">
        <v>343</v>
      </c>
      <c r="B190" s="11" t="s">
        <v>27</v>
      </c>
      <c r="C190" s="11" t="s">
        <v>72</v>
      </c>
      <c r="D190" s="11" t="s">
        <v>35</v>
      </c>
      <c r="E190" s="11" t="s">
        <v>78</v>
      </c>
      <c r="F190" s="11" t="s">
        <v>79</v>
      </c>
      <c r="G190" s="21" t="n">
        <v>173.42</v>
      </c>
      <c r="H190" s="19" t="n">
        <v>0</v>
      </c>
      <c r="I190" s="21" t="n">
        <v>173.42</v>
      </c>
      <c r="J190" s="22" t="s">
        <v>80</v>
      </c>
      <c r="K190" s="11" t="n">
        <v>47</v>
      </c>
      <c r="L190" s="23" t="n">
        <v>4.2</v>
      </c>
      <c r="M190" s="24" t="b">
        <f aca="false">FALSE()</f>
        <v>0</v>
      </c>
      <c r="N190" s="11"/>
      <c r="O190" s="11" t="str">
        <f aca="false">IF(K190&lt;=StockP33,"Low",IF(K190&lt;=StockP67,"Moderate","High"))</f>
        <v>High</v>
      </c>
      <c r="P190" s="11" t="str">
        <f aca="false">IF(H190=0,"Low",IF(H190&lt;=MarkdownP75,"Moderate","High"))</f>
        <v>Low</v>
      </c>
      <c r="Q190" s="11" t="str">
        <f aca="false">IF(ISBLANK(L190),"Unknown",IF(L190&gt;=4,"Good",IF(L190&lt;=2,"Poor","Neutral")))</f>
        <v>Good</v>
      </c>
      <c r="R190" s="11" t="str">
        <f aca="false">IF(AND(O190="Low",P190="Low",Q190="Good"),"BUY / PRIORITIZE",IF(AND(O190="High",P190="High",OR(Q190="Poor",M190=TRUE())),"HOLD / REVIEW","MONITOR"))</f>
        <v>MONITOR</v>
      </c>
      <c r="S190" s="11" t="n">
        <f aca="false">K190+(ROW()/10000000)</f>
        <v>47.000019</v>
      </c>
    </row>
    <row r="191" customFormat="false" ht="15" hidden="false" customHeight="false" outlineLevel="0" collapsed="false">
      <c r="A191" s="11" t="s">
        <v>344</v>
      </c>
      <c r="B191" s="11" t="s">
        <v>26</v>
      </c>
      <c r="C191" s="11" t="s">
        <v>77</v>
      </c>
      <c r="D191" s="11" t="s">
        <v>34</v>
      </c>
      <c r="E191" s="11" t="s">
        <v>102</v>
      </c>
      <c r="F191" s="11" t="s">
        <v>124</v>
      </c>
      <c r="G191" s="21" t="n">
        <v>66.51</v>
      </c>
      <c r="H191" s="19" t="n">
        <v>0</v>
      </c>
      <c r="I191" s="21" t="n">
        <v>66.51</v>
      </c>
      <c r="J191" s="22" t="s">
        <v>345</v>
      </c>
      <c r="K191" s="11" t="n">
        <v>32</v>
      </c>
      <c r="L191" s="23" t="n">
        <v>2.1</v>
      </c>
      <c r="M191" s="24" t="b">
        <f aca="false">FALSE()</f>
        <v>0</v>
      </c>
      <c r="N191" s="11"/>
      <c r="O191" s="11" t="str">
        <f aca="false">IF(K191&lt;=StockP33,"Low",IF(K191&lt;=StockP67,"Moderate","High"))</f>
        <v>Moderate</v>
      </c>
      <c r="P191" s="11" t="str">
        <f aca="false">IF(H191=0,"Low",IF(H191&lt;=MarkdownP75,"Moderate","High"))</f>
        <v>Low</v>
      </c>
      <c r="Q191" s="11" t="str">
        <f aca="false">IF(ISBLANK(L191),"Unknown",IF(L191&gt;=4,"Good",IF(L191&lt;=2,"Poor","Neutral")))</f>
        <v>Neutral</v>
      </c>
      <c r="R191" s="11" t="str">
        <f aca="false">IF(AND(O191="Low",P191="Low",Q191="Good"),"BUY / PRIORITIZE",IF(AND(O191="High",P191="High",OR(Q191="Poor",M191=TRUE())),"HOLD / REVIEW","MONITOR"))</f>
        <v>MONITOR</v>
      </c>
      <c r="S191" s="11" t="n">
        <f aca="false">K191+(ROW()/10000000)</f>
        <v>32.0000191</v>
      </c>
    </row>
    <row r="192" customFormat="false" ht="15" hidden="false" customHeight="false" outlineLevel="0" collapsed="false">
      <c r="A192" s="11" t="s">
        <v>346</v>
      </c>
      <c r="B192" s="11" t="s">
        <v>26</v>
      </c>
      <c r="C192" s="11" t="s">
        <v>77</v>
      </c>
      <c r="D192" s="11" t="s">
        <v>36</v>
      </c>
      <c r="E192" s="11" t="s">
        <v>102</v>
      </c>
      <c r="F192" s="11" t="s">
        <v>96</v>
      </c>
      <c r="G192" s="21" t="n">
        <v>72.44</v>
      </c>
      <c r="H192" s="19" t="n">
        <v>7.1</v>
      </c>
      <c r="I192" s="21" t="n">
        <v>67.3</v>
      </c>
      <c r="J192" s="22" t="s">
        <v>80</v>
      </c>
      <c r="K192" s="11" t="n">
        <v>10</v>
      </c>
      <c r="L192" s="23" t="n">
        <v>1.8</v>
      </c>
      <c r="M192" s="24" t="b">
        <f aca="false">FALSE()</f>
        <v>0</v>
      </c>
      <c r="N192" s="11"/>
      <c r="O192" s="11" t="str">
        <f aca="false">IF(K192&lt;=StockP33,"Low",IF(K192&lt;=StockP67,"Moderate","High"))</f>
        <v>Low</v>
      </c>
      <c r="P192" s="11" t="str">
        <f aca="false">IF(H192=0,"Low",IF(H192&lt;=MarkdownP75,"Moderate","High"))</f>
        <v>Moderate</v>
      </c>
      <c r="Q192" s="11" t="str">
        <f aca="false">IF(ISBLANK(L192),"Unknown",IF(L192&gt;=4,"Good",IF(L192&lt;=2,"Poor","Neutral")))</f>
        <v>Poor</v>
      </c>
      <c r="R192" s="11" t="str">
        <f aca="false">IF(AND(O192="Low",P192="Low",Q192="Good"),"BUY / PRIORITIZE",IF(AND(O192="High",P192="High",OR(Q192="Poor",M192=TRUE())),"HOLD / REVIEW","MONITOR"))</f>
        <v>MONITOR</v>
      </c>
      <c r="S192" s="11" t="n">
        <f aca="false">K192+(ROW()/10000000)</f>
        <v>10.0000192</v>
      </c>
    </row>
    <row r="193" customFormat="false" ht="15" hidden="false" customHeight="false" outlineLevel="0" collapsed="false">
      <c r="A193" s="11" t="s">
        <v>347</v>
      </c>
      <c r="B193" s="11" t="s">
        <v>30</v>
      </c>
      <c r="C193" s="11" t="s">
        <v>107</v>
      </c>
      <c r="D193" s="11" t="s">
        <v>36</v>
      </c>
      <c r="E193" s="11" t="s">
        <v>91</v>
      </c>
      <c r="F193" s="11" t="s">
        <v>82</v>
      </c>
      <c r="G193" s="21" t="n">
        <v>81.2</v>
      </c>
      <c r="H193" s="19" t="n">
        <v>0</v>
      </c>
      <c r="I193" s="21" t="n">
        <v>81.2</v>
      </c>
      <c r="J193" s="22" t="s">
        <v>80</v>
      </c>
      <c r="K193" s="11" t="n">
        <v>3</v>
      </c>
      <c r="L193" s="23" t="n">
        <v>1.5</v>
      </c>
      <c r="M193" s="24" t="b">
        <f aca="false">FALSE()</f>
        <v>0</v>
      </c>
      <c r="N193" s="11"/>
      <c r="O193" s="11" t="str">
        <f aca="false">IF(K193&lt;=StockP33,"Low",IF(K193&lt;=StockP67,"Moderate","High"))</f>
        <v>Low</v>
      </c>
      <c r="P193" s="11" t="str">
        <f aca="false">IF(H193=0,"Low",IF(H193&lt;=MarkdownP75,"Moderate","High"))</f>
        <v>Low</v>
      </c>
      <c r="Q193" s="11" t="str">
        <f aca="false">IF(ISBLANK(L193),"Unknown",IF(L193&gt;=4,"Good",IF(L193&lt;=2,"Poor","Neutral")))</f>
        <v>Poor</v>
      </c>
      <c r="R193" s="11" t="str">
        <f aca="false">IF(AND(O193="Low",P193="Low",Q193="Good"),"BUY / PRIORITIZE",IF(AND(O193="High",P193="High",OR(Q193="Poor",M193=TRUE())),"HOLD / REVIEW","MONITOR"))</f>
        <v>MONITOR</v>
      </c>
      <c r="S193" s="11" t="n">
        <f aca="false">K193+(ROW()/10000000)</f>
        <v>3.0000193</v>
      </c>
    </row>
    <row r="194" customFormat="false" ht="15" hidden="false" customHeight="false" outlineLevel="0" collapsed="false">
      <c r="A194" s="11" t="s">
        <v>348</v>
      </c>
      <c r="B194" s="11" t="s">
        <v>28</v>
      </c>
      <c r="C194" s="11" t="s">
        <v>116</v>
      </c>
      <c r="D194" s="11" t="s">
        <v>35</v>
      </c>
      <c r="E194" s="11" t="s">
        <v>102</v>
      </c>
      <c r="F194" s="11" t="s">
        <v>74</v>
      </c>
      <c r="G194" s="21" t="n">
        <v>104.5</v>
      </c>
      <c r="H194" s="19" t="n">
        <v>12.3</v>
      </c>
      <c r="I194" s="21" t="n">
        <v>91.65</v>
      </c>
      <c r="J194" s="22" t="s">
        <v>80</v>
      </c>
      <c r="K194" s="11" t="n">
        <v>42</v>
      </c>
      <c r="L194" s="23"/>
      <c r="M194" s="24" t="b">
        <f aca="false">FALSE()</f>
        <v>0</v>
      </c>
      <c r="N194" s="11"/>
      <c r="O194" s="11" t="str">
        <f aca="false">IF(K194&lt;=StockP33,"Low",IF(K194&lt;=StockP67,"Moderate","High"))</f>
        <v>High</v>
      </c>
      <c r="P194" s="11" t="str">
        <f aca="false">IF(H194=0,"Low",IF(H194&lt;=MarkdownP75,"Moderate","High"))</f>
        <v>Moderate</v>
      </c>
      <c r="Q194" s="11" t="str">
        <f aca="false">IF(ISBLANK(L194),"Unknown",IF(L194&gt;=4,"Good",IF(L194&lt;=2,"Poor","Neutral")))</f>
        <v>Unknown</v>
      </c>
      <c r="R194" s="11" t="str">
        <f aca="false">IF(AND(O194="Low",P194="Low",Q194="Good"),"BUY / PRIORITIZE",IF(AND(O194="High",P194="High",OR(Q194="Poor",M194=TRUE())),"HOLD / REVIEW","MONITOR"))</f>
        <v>MONITOR</v>
      </c>
      <c r="S194" s="11" t="n">
        <f aca="false">K194+(ROW()/10000000)</f>
        <v>42.0000194</v>
      </c>
    </row>
    <row r="195" customFormat="false" ht="15" hidden="false" customHeight="false" outlineLevel="0" collapsed="false">
      <c r="A195" s="11" t="s">
        <v>349</v>
      </c>
      <c r="B195" s="11" t="s">
        <v>27</v>
      </c>
      <c r="C195" s="11" t="s">
        <v>116</v>
      </c>
      <c r="D195" s="11" t="s">
        <v>37</v>
      </c>
      <c r="E195" s="11" t="s">
        <v>73</v>
      </c>
      <c r="F195" s="11" t="s">
        <v>79</v>
      </c>
      <c r="G195" s="21" t="n">
        <v>57.53</v>
      </c>
      <c r="H195" s="19" t="n">
        <v>13</v>
      </c>
      <c r="I195" s="21" t="n">
        <v>50.05</v>
      </c>
      <c r="J195" s="22" t="s">
        <v>80</v>
      </c>
      <c r="K195" s="11" t="n">
        <v>12</v>
      </c>
      <c r="L195" s="23" t="n">
        <v>4.1</v>
      </c>
      <c r="M195" s="24" t="b">
        <f aca="false">FALSE()</f>
        <v>0</v>
      </c>
      <c r="N195" s="11"/>
      <c r="O195" s="11" t="str">
        <f aca="false">IF(K195&lt;=StockP33,"Low",IF(K195&lt;=StockP67,"Moderate","High"))</f>
        <v>Low</v>
      </c>
      <c r="P195" s="11" t="str">
        <f aca="false">IF(H195=0,"Low",IF(H195&lt;=MarkdownP75,"Moderate","High"))</f>
        <v>Moderate</v>
      </c>
      <c r="Q195" s="11" t="str">
        <f aca="false">IF(ISBLANK(L195),"Unknown",IF(L195&gt;=4,"Good",IF(L195&lt;=2,"Poor","Neutral")))</f>
        <v>Good</v>
      </c>
      <c r="R195" s="11" t="str">
        <f aca="false">IF(AND(O195="Low",P195="Low",Q195="Good"),"BUY / PRIORITIZE",IF(AND(O195="High",P195="High",OR(Q195="Poor",M195=TRUE())),"HOLD / REVIEW","MONITOR"))</f>
        <v>MONITOR</v>
      </c>
      <c r="S195" s="11" t="n">
        <f aca="false">K195+(ROW()/10000000)</f>
        <v>12.0000195</v>
      </c>
    </row>
    <row r="196" customFormat="false" ht="15" hidden="false" customHeight="false" outlineLevel="0" collapsed="false">
      <c r="A196" s="11" t="s">
        <v>350</v>
      </c>
      <c r="B196" s="11" t="s">
        <v>29</v>
      </c>
      <c r="C196" s="11" t="s">
        <v>86</v>
      </c>
      <c r="D196" s="11" t="s">
        <v>35</v>
      </c>
      <c r="E196" s="11" t="s">
        <v>102</v>
      </c>
      <c r="F196" s="11" t="s">
        <v>92</v>
      </c>
      <c r="G196" s="21" t="n">
        <v>142.58</v>
      </c>
      <c r="H196" s="19" t="n">
        <v>0</v>
      </c>
      <c r="I196" s="21" t="n">
        <v>142.58</v>
      </c>
      <c r="J196" s="22" t="s">
        <v>80</v>
      </c>
      <c r="K196" s="11" t="n">
        <v>25</v>
      </c>
      <c r="L196" s="23" t="n">
        <v>4.8</v>
      </c>
      <c r="M196" s="24" t="b">
        <f aca="false">TRUE()</f>
        <v>1</v>
      </c>
      <c r="N196" s="11" t="s">
        <v>140</v>
      </c>
      <c r="O196" s="11" t="str">
        <f aca="false">IF(K196&lt;=StockP33,"Low",IF(K196&lt;=StockP67,"Moderate","High"))</f>
        <v>Moderate</v>
      </c>
      <c r="P196" s="11" t="str">
        <f aca="false">IF(H196=0,"Low",IF(H196&lt;=MarkdownP75,"Moderate","High"))</f>
        <v>Low</v>
      </c>
      <c r="Q196" s="11" t="str">
        <f aca="false">IF(ISBLANK(L196),"Unknown",IF(L196&gt;=4,"Good",IF(L196&lt;=2,"Poor","Neutral")))</f>
        <v>Good</v>
      </c>
      <c r="R196" s="11" t="str">
        <f aca="false">IF(AND(O196="Low",P196="Low",Q196="Good"),"BUY / PRIORITIZE",IF(AND(O196="High",P196="High",OR(Q196="Poor",M196=TRUE())),"HOLD / REVIEW","MONITOR"))</f>
        <v>MONITOR</v>
      </c>
      <c r="S196" s="11" t="n">
        <f aca="false">K196+(ROW()/10000000)</f>
        <v>25.0000196</v>
      </c>
    </row>
    <row r="197" customFormat="false" ht="15" hidden="false" customHeight="false" outlineLevel="0" collapsed="false">
      <c r="A197" s="11" t="s">
        <v>351</v>
      </c>
      <c r="B197" s="11" t="s">
        <v>27</v>
      </c>
      <c r="C197" s="11" t="s">
        <v>72</v>
      </c>
      <c r="D197" s="11" t="s">
        <v>36</v>
      </c>
      <c r="E197" s="11" t="s">
        <v>102</v>
      </c>
      <c r="F197" s="11" t="s">
        <v>98</v>
      </c>
      <c r="G197" s="21" t="n">
        <v>162.23</v>
      </c>
      <c r="H197" s="19" t="n">
        <v>29.4</v>
      </c>
      <c r="I197" s="21" t="n">
        <v>114.53</v>
      </c>
      <c r="J197" s="22" t="s">
        <v>80</v>
      </c>
      <c r="K197" s="11" t="n">
        <v>41</v>
      </c>
      <c r="L197" s="23" t="n">
        <v>4</v>
      </c>
      <c r="M197" s="24" t="b">
        <f aca="false">TRUE()</f>
        <v>1</v>
      </c>
      <c r="N197" s="11" t="s">
        <v>140</v>
      </c>
      <c r="O197" s="11" t="str">
        <f aca="false">IF(K197&lt;=StockP33,"Low",IF(K197&lt;=StockP67,"Moderate","High"))</f>
        <v>High</v>
      </c>
      <c r="P197" s="11" t="str">
        <f aca="false">IF(H197=0,"Low",IF(H197&lt;=MarkdownP75,"Moderate","High"))</f>
        <v>High</v>
      </c>
      <c r="Q197" s="11" t="str">
        <f aca="false">IF(ISBLANK(L197),"Unknown",IF(L197&gt;=4,"Good",IF(L197&lt;=2,"Poor","Neutral")))</f>
        <v>Good</v>
      </c>
      <c r="R197" s="11" t="str">
        <f aca="false">IF(AND(O197="Low",P197="Low",Q197="Good"),"BUY / PRIORITIZE",IF(AND(O197="High",P197="High",OR(Q197="Poor",M197=TRUE())),"HOLD / REVIEW","MONITOR"))</f>
        <v>HOLD / REVIEW</v>
      </c>
      <c r="S197" s="11" t="n">
        <f aca="false">K197+(ROW()/10000000)</f>
        <v>41.0000197</v>
      </c>
    </row>
    <row r="198" customFormat="false" ht="15" hidden="false" customHeight="false" outlineLevel="0" collapsed="false">
      <c r="A198" s="11" t="s">
        <v>352</v>
      </c>
      <c r="B198" s="11" t="s">
        <v>26</v>
      </c>
      <c r="C198" s="11" t="s">
        <v>107</v>
      </c>
      <c r="D198" s="11" t="s">
        <v>34</v>
      </c>
      <c r="E198" s="11" t="s">
        <v>102</v>
      </c>
      <c r="F198" s="11" t="s">
        <v>74</v>
      </c>
      <c r="G198" s="21" t="n">
        <v>32.1</v>
      </c>
      <c r="H198" s="19" t="n">
        <v>51.7</v>
      </c>
      <c r="I198" s="21" t="n">
        <v>15.5</v>
      </c>
      <c r="J198" s="22" t="s">
        <v>353</v>
      </c>
      <c r="K198" s="11" t="n">
        <v>27</v>
      </c>
      <c r="L198" s="23"/>
      <c r="M198" s="24" t="b">
        <f aca="false">FALSE()</f>
        <v>0</v>
      </c>
      <c r="N198" s="11"/>
      <c r="O198" s="11" t="str">
        <f aca="false">IF(K198&lt;=StockP33,"Low",IF(K198&lt;=StockP67,"Moderate","High"))</f>
        <v>Moderate</v>
      </c>
      <c r="P198" s="11" t="str">
        <f aca="false">IF(H198=0,"Low",IF(H198&lt;=MarkdownP75,"Moderate","High"))</f>
        <v>High</v>
      </c>
      <c r="Q198" s="11" t="str">
        <f aca="false">IF(ISBLANK(L198),"Unknown",IF(L198&gt;=4,"Good",IF(L198&lt;=2,"Poor","Neutral")))</f>
        <v>Unknown</v>
      </c>
      <c r="R198" s="11" t="str">
        <f aca="false">IF(AND(O198="Low",P198="Low",Q198="Good"),"BUY / PRIORITIZE",IF(AND(O198="High",P198="High",OR(Q198="Poor",M198=TRUE())),"HOLD / REVIEW","MONITOR"))</f>
        <v>MONITOR</v>
      </c>
      <c r="S198" s="11" t="n">
        <f aca="false">K198+(ROW()/10000000)</f>
        <v>27.0000198</v>
      </c>
    </row>
    <row r="199" customFormat="false" ht="15" hidden="false" customHeight="false" outlineLevel="0" collapsed="false">
      <c r="A199" s="11" t="s">
        <v>354</v>
      </c>
      <c r="B199" s="11" t="s">
        <v>29</v>
      </c>
      <c r="C199" s="11" t="s">
        <v>77</v>
      </c>
      <c r="D199" s="11" t="s">
        <v>36</v>
      </c>
      <c r="E199" s="11" t="s">
        <v>78</v>
      </c>
      <c r="F199" s="11" t="s">
        <v>82</v>
      </c>
      <c r="G199" s="21" t="n">
        <v>162.41</v>
      </c>
      <c r="H199" s="19" t="n">
        <v>42.7</v>
      </c>
      <c r="I199" s="21" t="n">
        <v>93.06</v>
      </c>
      <c r="J199" s="22" t="s">
        <v>80</v>
      </c>
      <c r="K199" s="11" t="n">
        <v>22</v>
      </c>
      <c r="L199" s="23" t="n">
        <v>4.8</v>
      </c>
      <c r="M199" s="24" t="b">
        <f aca="false">FALSE()</f>
        <v>0</v>
      </c>
      <c r="N199" s="11"/>
      <c r="O199" s="11" t="str">
        <f aca="false">IF(K199&lt;=StockP33,"Low",IF(K199&lt;=StockP67,"Moderate","High"))</f>
        <v>Moderate</v>
      </c>
      <c r="P199" s="11" t="str">
        <f aca="false">IF(H199=0,"Low",IF(H199&lt;=MarkdownP75,"Moderate","High"))</f>
        <v>High</v>
      </c>
      <c r="Q199" s="11" t="str">
        <f aca="false">IF(ISBLANK(L199),"Unknown",IF(L199&gt;=4,"Good",IF(L199&lt;=2,"Poor","Neutral")))</f>
        <v>Good</v>
      </c>
      <c r="R199" s="11" t="str">
        <f aca="false">IF(AND(O199="Low",P199="Low",Q199="Good"),"BUY / PRIORITIZE",IF(AND(O199="High",P199="High",OR(Q199="Poor",M199=TRUE())),"HOLD / REVIEW","MONITOR"))</f>
        <v>MONITOR</v>
      </c>
      <c r="S199" s="11" t="n">
        <f aca="false">K199+(ROW()/10000000)</f>
        <v>22.0000199</v>
      </c>
    </row>
    <row r="200" customFormat="false" ht="15" hidden="false" customHeight="false" outlineLevel="0" collapsed="false">
      <c r="A200" s="11" t="s">
        <v>355</v>
      </c>
      <c r="B200" s="11" t="s">
        <v>30</v>
      </c>
      <c r="C200" s="11" t="s">
        <v>86</v>
      </c>
      <c r="D200" s="11" t="s">
        <v>36</v>
      </c>
      <c r="E200" s="11" t="s">
        <v>113</v>
      </c>
      <c r="F200" s="11" t="s">
        <v>92</v>
      </c>
      <c r="G200" s="21" t="n">
        <v>77.46</v>
      </c>
      <c r="H200" s="19" t="n">
        <v>57.5</v>
      </c>
      <c r="I200" s="21" t="n">
        <v>32.92</v>
      </c>
      <c r="J200" s="22" t="s">
        <v>80</v>
      </c>
      <c r="K200" s="11" t="n">
        <v>23</v>
      </c>
      <c r="L200" s="23" t="n">
        <v>4</v>
      </c>
      <c r="M200" s="24" t="b">
        <f aca="false">FALSE()</f>
        <v>0</v>
      </c>
      <c r="N200" s="11"/>
      <c r="O200" s="11" t="str">
        <f aca="false">IF(K200&lt;=StockP33,"Low",IF(K200&lt;=StockP67,"Moderate","High"))</f>
        <v>Moderate</v>
      </c>
      <c r="P200" s="11" t="str">
        <f aca="false">IF(H200=0,"Low",IF(H200&lt;=MarkdownP75,"Moderate","High"))</f>
        <v>High</v>
      </c>
      <c r="Q200" s="11" t="str">
        <f aca="false">IF(ISBLANK(L200),"Unknown",IF(L200&gt;=4,"Good",IF(L200&lt;=2,"Poor","Neutral")))</f>
        <v>Good</v>
      </c>
      <c r="R200" s="11" t="str">
        <f aca="false">IF(AND(O200="Low",P200="Low",Q200="Good"),"BUY / PRIORITIZE",IF(AND(O200="High",P200="High",OR(Q200="Poor",M200=TRUE())),"HOLD / REVIEW","MONITOR"))</f>
        <v>MONITOR</v>
      </c>
      <c r="S200" s="11" t="n">
        <f aca="false">K200+(ROW()/10000000)</f>
        <v>23.00002</v>
      </c>
    </row>
    <row r="201" customFormat="false" ht="15" hidden="false" customHeight="false" outlineLevel="0" collapsed="false">
      <c r="A201" s="11" t="s">
        <v>356</v>
      </c>
      <c r="B201" s="11" t="s">
        <v>30</v>
      </c>
      <c r="C201" s="11" t="s">
        <v>101</v>
      </c>
      <c r="D201" s="11" t="s">
        <v>36</v>
      </c>
      <c r="E201" s="11" t="s">
        <v>102</v>
      </c>
      <c r="F201" s="11" t="s">
        <v>96</v>
      </c>
      <c r="G201" s="21" t="n">
        <v>103.42</v>
      </c>
      <c r="H201" s="19" t="n">
        <v>56.1</v>
      </c>
      <c r="I201" s="21" t="n">
        <v>45.4</v>
      </c>
      <c r="J201" s="22" t="s">
        <v>80</v>
      </c>
      <c r="K201" s="11" t="n">
        <v>4</v>
      </c>
      <c r="L201" s="23" t="n">
        <v>4.7</v>
      </c>
      <c r="M201" s="24" t="b">
        <f aca="false">FALSE()</f>
        <v>0</v>
      </c>
      <c r="N201" s="11"/>
      <c r="O201" s="11" t="str">
        <f aca="false">IF(K201&lt;=StockP33,"Low",IF(K201&lt;=StockP67,"Moderate","High"))</f>
        <v>Low</v>
      </c>
      <c r="P201" s="11" t="str">
        <f aca="false">IF(H201=0,"Low",IF(H201&lt;=MarkdownP75,"Moderate","High"))</f>
        <v>High</v>
      </c>
      <c r="Q201" s="11" t="str">
        <f aca="false">IF(ISBLANK(L201),"Unknown",IF(L201&gt;=4,"Good",IF(L201&lt;=2,"Poor","Neutral")))</f>
        <v>Good</v>
      </c>
      <c r="R201" s="11" t="str">
        <f aca="false">IF(AND(O201="Low",P201="Low",Q201="Good"),"BUY / PRIORITIZE",IF(AND(O201="High",P201="High",OR(Q201="Poor",M201=TRUE())),"HOLD / REVIEW","MONITOR"))</f>
        <v>MONITOR</v>
      </c>
      <c r="S201" s="11" t="n">
        <f aca="false">K201+(ROW()/10000000)</f>
        <v>4.0000201</v>
      </c>
    </row>
    <row r="202" customFormat="false" ht="15" hidden="false" customHeight="false" outlineLevel="0" collapsed="false">
      <c r="A202" s="11" t="s">
        <v>357</v>
      </c>
      <c r="B202" s="11" t="s">
        <v>26</v>
      </c>
      <c r="C202" s="11" t="s">
        <v>72</v>
      </c>
      <c r="D202" s="11" t="s">
        <v>34</v>
      </c>
      <c r="E202" s="11" t="s">
        <v>110</v>
      </c>
      <c r="F202" s="11" t="s">
        <v>98</v>
      </c>
      <c r="G202" s="21" t="n">
        <v>42.91</v>
      </c>
      <c r="H202" s="19" t="n">
        <v>33.3</v>
      </c>
      <c r="I202" s="21" t="n">
        <v>28.62</v>
      </c>
      <c r="J202" s="22" t="s">
        <v>353</v>
      </c>
      <c r="K202" s="11" t="n">
        <v>18</v>
      </c>
      <c r="L202" s="23"/>
      <c r="M202" s="24" t="b">
        <f aca="false">FALSE()</f>
        <v>0</v>
      </c>
      <c r="N202" s="11"/>
      <c r="O202" s="11" t="str">
        <f aca="false">IF(K202&lt;=StockP33,"Low",IF(K202&lt;=StockP67,"Moderate","High"))</f>
        <v>Moderate</v>
      </c>
      <c r="P202" s="11" t="str">
        <f aca="false">IF(H202=0,"Low",IF(H202&lt;=MarkdownP75,"Moderate","High"))</f>
        <v>High</v>
      </c>
      <c r="Q202" s="11" t="str">
        <f aca="false">IF(ISBLANK(L202),"Unknown",IF(L202&gt;=4,"Good",IF(L202&lt;=2,"Poor","Neutral")))</f>
        <v>Unknown</v>
      </c>
      <c r="R202" s="11" t="str">
        <f aca="false">IF(AND(O202="Low",P202="Low",Q202="Good"),"BUY / PRIORITIZE",IF(AND(O202="High",P202="High",OR(Q202="Poor",M202=TRUE())),"HOLD / REVIEW","MONITOR"))</f>
        <v>MONITOR</v>
      </c>
      <c r="S202" s="11" t="n">
        <f aca="false">K202+(ROW()/10000000)</f>
        <v>18.0000202</v>
      </c>
    </row>
    <row r="203" customFormat="false" ht="15" hidden="false" customHeight="false" outlineLevel="0" collapsed="false">
      <c r="A203" s="11" t="s">
        <v>358</v>
      </c>
      <c r="B203" s="11" t="s">
        <v>29</v>
      </c>
      <c r="C203" s="11" t="s">
        <v>72</v>
      </c>
      <c r="D203" s="11" t="s">
        <v>35</v>
      </c>
      <c r="E203" s="11" t="s">
        <v>73</v>
      </c>
      <c r="F203" s="11" t="s">
        <v>98</v>
      </c>
      <c r="G203" s="21" t="n">
        <v>144.92</v>
      </c>
      <c r="H203" s="19" t="n">
        <v>17</v>
      </c>
      <c r="I203" s="21" t="n">
        <v>120.28</v>
      </c>
      <c r="J203" s="22" t="s">
        <v>80</v>
      </c>
      <c r="K203" s="11" t="n">
        <v>32</v>
      </c>
      <c r="L203" s="23" t="n">
        <v>2</v>
      </c>
      <c r="M203" s="24" t="b">
        <f aca="false">FALSE()</f>
        <v>0</v>
      </c>
      <c r="N203" s="11"/>
      <c r="O203" s="11" t="str">
        <f aca="false">IF(K203&lt;=StockP33,"Low",IF(K203&lt;=StockP67,"Moderate","High"))</f>
        <v>Moderate</v>
      </c>
      <c r="P203" s="11" t="str">
        <f aca="false">IF(H203=0,"Low",IF(H203&lt;=MarkdownP75,"Moderate","High"))</f>
        <v>Moderate</v>
      </c>
      <c r="Q203" s="11" t="str">
        <f aca="false">IF(ISBLANK(L203),"Unknown",IF(L203&gt;=4,"Good",IF(L203&lt;=2,"Poor","Neutral")))</f>
        <v>Poor</v>
      </c>
      <c r="R203" s="11" t="str">
        <f aca="false">IF(AND(O203="Low",P203="Low",Q203="Good"),"BUY / PRIORITIZE",IF(AND(O203="High",P203="High",OR(Q203="Poor",M203=TRUE())),"HOLD / REVIEW","MONITOR"))</f>
        <v>MONITOR</v>
      </c>
      <c r="S203" s="11" t="n">
        <f aca="false">K203+(ROW()/10000000)</f>
        <v>32.0000203</v>
      </c>
    </row>
    <row r="204" customFormat="false" ht="15" hidden="false" customHeight="false" outlineLevel="0" collapsed="false">
      <c r="A204" s="11" t="s">
        <v>359</v>
      </c>
      <c r="B204" s="11" t="s">
        <v>29</v>
      </c>
      <c r="C204" s="11" t="s">
        <v>86</v>
      </c>
      <c r="D204" s="11" t="s">
        <v>35</v>
      </c>
      <c r="E204" s="11" t="s">
        <v>110</v>
      </c>
      <c r="F204" s="11" t="s">
        <v>82</v>
      </c>
      <c r="G204" s="21" t="n">
        <v>93.07</v>
      </c>
      <c r="H204" s="19" t="n">
        <v>23.9</v>
      </c>
      <c r="I204" s="21" t="n">
        <v>70.83</v>
      </c>
      <c r="J204" s="22" t="s">
        <v>80</v>
      </c>
      <c r="K204" s="11" t="n">
        <v>10</v>
      </c>
      <c r="L204" s="23" t="n">
        <v>3.5</v>
      </c>
      <c r="M204" s="24" t="b">
        <f aca="false">TRUE()</f>
        <v>1</v>
      </c>
      <c r="N204" s="11" t="s">
        <v>178</v>
      </c>
      <c r="O204" s="11" t="str">
        <f aca="false">IF(K204&lt;=StockP33,"Low",IF(K204&lt;=StockP67,"Moderate","High"))</f>
        <v>Low</v>
      </c>
      <c r="P204" s="11" t="str">
        <f aca="false">IF(H204=0,"Low",IF(H204&lt;=MarkdownP75,"Moderate","High"))</f>
        <v>High</v>
      </c>
      <c r="Q204" s="11" t="str">
        <f aca="false">IF(ISBLANK(L204),"Unknown",IF(L204&gt;=4,"Good",IF(L204&lt;=2,"Poor","Neutral")))</f>
        <v>Neutral</v>
      </c>
      <c r="R204" s="11" t="str">
        <f aca="false">IF(AND(O204="Low",P204="Low",Q204="Good"),"BUY / PRIORITIZE",IF(AND(O204="High",P204="High",OR(Q204="Poor",M204=TRUE())),"HOLD / REVIEW","MONITOR"))</f>
        <v>MONITOR</v>
      </c>
      <c r="S204" s="11" t="n">
        <f aca="false">K204+(ROW()/10000000)</f>
        <v>10.0000204</v>
      </c>
    </row>
    <row r="205" customFormat="false" ht="15" hidden="false" customHeight="false" outlineLevel="0" collapsed="false">
      <c r="A205" s="11" t="s">
        <v>360</v>
      </c>
      <c r="B205" s="11" t="s">
        <v>28</v>
      </c>
      <c r="C205" s="11" t="s">
        <v>101</v>
      </c>
      <c r="D205" s="11" t="s">
        <v>35</v>
      </c>
      <c r="E205" s="11" t="s">
        <v>91</v>
      </c>
      <c r="F205" s="11" t="s">
        <v>74</v>
      </c>
      <c r="G205" s="21" t="n">
        <v>119.96</v>
      </c>
      <c r="H205" s="19" t="n">
        <v>0</v>
      </c>
      <c r="I205" s="21" t="n">
        <v>119.96</v>
      </c>
      <c r="J205" s="22" t="s">
        <v>80</v>
      </c>
      <c r="K205" s="11" t="n">
        <v>20</v>
      </c>
      <c r="L205" s="23" t="n">
        <v>1.1</v>
      </c>
      <c r="M205" s="24" t="b">
        <f aca="false">FALSE()</f>
        <v>0</v>
      </c>
      <c r="N205" s="11"/>
      <c r="O205" s="11" t="str">
        <f aca="false">IF(K205&lt;=StockP33,"Low",IF(K205&lt;=StockP67,"Moderate","High"))</f>
        <v>Moderate</v>
      </c>
      <c r="P205" s="11" t="str">
        <f aca="false">IF(H205=0,"Low",IF(H205&lt;=MarkdownP75,"Moderate","High"))</f>
        <v>Low</v>
      </c>
      <c r="Q205" s="11" t="str">
        <f aca="false">IF(ISBLANK(L205),"Unknown",IF(L205&gt;=4,"Good",IF(L205&lt;=2,"Poor","Neutral")))</f>
        <v>Poor</v>
      </c>
      <c r="R205" s="11" t="str">
        <f aca="false">IF(AND(O205="Low",P205="Low",Q205="Good"),"BUY / PRIORITIZE",IF(AND(O205="High",P205="High",OR(Q205="Poor",M205=TRUE())),"HOLD / REVIEW","MONITOR"))</f>
        <v>MONITOR</v>
      </c>
      <c r="S205" s="11" t="n">
        <f aca="false">K205+(ROW()/10000000)</f>
        <v>20.0000205</v>
      </c>
    </row>
    <row r="206" customFormat="false" ht="15" hidden="false" customHeight="false" outlineLevel="0" collapsed="false">
      <c r="A206" s="11" t="s">
        <v>361</v>
      </c>
      <c r="B206" s="11" t="s">
        <v>8</v>
      </c>
      <c r="C206" s="11" t="s">
        <v>130</v>
      </c>
      <c r="D206" s="11" t="s">
        <v>35</v>
      </c>
      <c r="E206" s="11"/>
      <c r="F206" s="11" t="s">
        <v>92</v>
      </c>
      <c r="G206" s="21" t="n">
        <v>42.04</v>
      </c>
      <c r="H206" s="19" t="n">
        <v>50.9</v>
      </c>
      <c r="I206" s="21" t="n">
        <v>20.64</v>
      </c>
      <c r="J206" s="22" t="s">
        <v>80</v>
      </c>
      <c r="K206" s="11" t="n">
        <v>43</v>
      </c>
      <c r="L206" s="23" t="n">
        <v>2.3</v>
      </c>
      <c r="M206" s="24" t="b">
        <f aca="false">TRUE()</f>
        <v>1</v>
      </c>
      <c r="N206" s="11" t="s">
        <v>191</v>
      </c>
      <c r="O206" s="11" t="str">
        <f aca="false">IF(K206&lt;=StockP33,"Low",IF(K206&lt;=StockP67,"Moderate","High"))</f>
        <v>High</v>
      </c>
      <c r="P206" s="11" t="str">
        <f aca="false">IF(H206=0,"Low",IF(H206&lt;=MarkdownP75,"Moderate","High"))</f>
        <v>High</v>
      </c>
      <c r="Q206" s="11" t="str">
        <f aca="false">IF(ISBLANK(L206),"Unknown",IF(L206&gt;=4,"Good",IF(L206&lt;=2,"Poor","Neutral")))</f>
        <v>Neutral</v>
      </c>
      <c r="R206" s="11" t="str">
        <f aca="false">IF(AND(O206="Low",P206="Low",Q206="Good"),"BUY / PRIORITIZE",IF(AND(O206="High",P206="High",OR(Q206="Poor",M206=TRUE())),"HOLD / REVIEW","MONITOR"))</f>
        <v>HOLD / REVIEW</v>
      </c>
      <c r="S206" s="11" t="n">
        <f aca="false">K206+(ROW()/10000000)</f>
        <v>43.0000206</v>
      </c>
    </row>
    <row r="207" customFormat="false" ht="15" hidden="false" customHeight="false" outlineLevel="0" collapsed="false">
      <c r="A207" s="11" t="s">
        <v>362</v>
      </c>
      <c r="B207" s="11" t="s">
        <v>8</v>
      </c>
      <c r="C207" s="11" t="s">
        <v>86</v>
      </c>
      <c r="D207" s="11" t="s">
        <v>37</v>
      </c>
      <c r="E207" s="11"/>
      <c r="F207" s="11" t="s">
        <v>74</v>
      </c>
      <c r="G207" s="21" t="n">
        <v>54.45</v>
      </c>
      <c r="H207" s="19" t="n">
        <v>0</v>
      </c>
      <c r="I207" s="21" t="n">
        <v>54.45</v>
      </c>
      <c r="J207" s="22" t="s">
        <v>80</v>
      </c>
      <c r="K207" s="11" t="n">
        <v>12</v>
      </c>
      <c r="L207" s="23" t="n">
        <v>2.7</v>
      </c>
      <c r="M207" s="24" t="b">
        <f aca="false">FALSE()</f>
        <v>0</v>
      </c>
      <c r="N207" s="11"/>
      <c r="O207" s="11" t="str">
        <f aca="false">IF(K207&lt;=StockP33,"Low",IF(K207&lt;=StockP67,"Moderate","High"))</f>
        <v>Low</v>
      </c>
      <c r="P207" s="11" t="str">
        <f aca="false">IF(H207=0,"Low",IF(H207&lt;=MarkdownP75,"Moderate","High"))</f>
        <v>Low</v>
      </c>
      <c r="Q207" s="11" t="str">
        <f aca="false">IF(ISBLANK(L207),"Unknown",IF(L207&gt;=4,"Good",IF(L207&lt;=2,"Poor","Neutral")))</f>
        <v>Neutral</v>
      </c>
      <c r="R207" s="11" t="str">
        <f aca="false">IF(AND(O207="Low",P207="Low",Q207="Good"),"BUY / PRIORITIZE",IF(AND(O207="High",P207="High",OR(Q207="Poor",M207=TRUE())),"HOLD / REVIEW","MONITOR"))</f>
        <v>MONITOR</v>
      </c>
      <c r="S207" s="11" t="n">
        <f aca="false">K207+(ROW()/10000000)</f>
        <v>12.0000207</v>
      </c>
    </row>
    <row r="208" customFormat="false" ht="15" hidden="false" customHeight="false" outlineLevel="0" collapsed="false">
      <c r="A208" s="11" t="s">
        <v>363</v>
      </c>
      <c r="B208" s="11" t="s">
        <v>30</v>
      </c>
      <c r="C208" s="11" t="s">
        <v>95</v>
      </c>
      <c r="D208" s="11" t="s">
        <v>34</v>
      </c>
      <c r="E208" s="11" t="s">
        <v>113</v>
      </c>
      <c r="F208" s="11" t="s">
        <v>98</v>
      </c>
      <c r="G208" s="21" t="n">
        <v>66.95</v>
      </c>
      <c r="H208" s="19" t="n">
        <v>36.4</v>
      </c>
      <c r="I208" s="21" t="n">
        <v>42.58</v>
      </c>
      <c r="J208" s="22" t="s">
        <v>364</v>
      </c>
      <c r="K208" s="11" t="n">
        <v>44</v>
      </c>
      <c r="L208" s="23" t="n">
        <v>1.9</v>
      </c>
      <c r="M208" s="24" t="b">
        <f aca="false">TRUE()</f>
        <v>1</v>
      </c>
      <c r="N208" s="11" t="s">
        <v>140</v>
      </c>
      <c r="O208" s="11" t="str">
        <f aca="false">IF(K208&lt;=StockP33,"Low",IF(K208&lt;=StockP67,"Moderate","High"))</f>
        <v>High</v>
      </c>
      <c r="P208" s="11" t="str">
        <f aca="false">IF(H208=0,"Low",IF(H208&lt;=MarkdownP75,"Moderate","High"))</f>
        <v>High</v>
      </c>
      <c r="Q208" s="11" t="str">
        <f aca="false">IF(ISBLANK(L208),"Unknown",IF(L208&gt;=4,"Good",IF(L208&lt;=2,"Poor","Neutral")))</f>
        <v>Poor</v>
      </c>
      <c r="R208" s="11" t="str">
        <f aca="false">IF(AND(O208="Low",P208="Low",Q208="Good"),"BUY / PRIORITIZE",IF(AND(O208="High",P208="High",OR(Q208="Poor",M208=TRUE())),"HOLD / REVIEW","MONITOR"))</f>
        <v>HOLD / REVIEW</v>
      </c>
      <c r="S208" s="11" t="n">
        <f aca="false">K208+(ROW()/10000000)</f>
        <v>44.0000208</v>
      </c>
    </row>
    <row r="209" customFormat="false" ht="15" hidden="false" customHeight="false" outlineLevel="0" collapsed="false">
      <c r="A209" s="11" t="s">
        <v>365</v>
      </c>
      <c r="B209" s="11" t="s">
        <v>30</v>
      </c>
      <c r="C209" s="11" t="s">
        <v>107</v>
      </c>
      <c r="D209" s="11" t="s">
        <v>34</v>
      </c>
      <c r="E209" s="11" t="s">
        <v>73</v>
      </c>
      <c r="F209" s="11" t="s">
        <v>111</v>
      </c>
      <c r="G209" s="21" t="n">
        <v>116.96</v>
      </c>
      <c r="H209" s="19" t="n">
        <v>8.8</v>
      </c>
      <c r="I209" s="21" t="n">
        <v>106.67</v>
      </c>
      <c r="J209" s="22" t="s">
        <v>366</v>
      </c>
      <c r="K209" s="11" t="n">
        <v>33</v>
      </c>
      <c r="L209" s="23" t="n">
        <v>1.6</v>
      </c>
      <c r="M209" s="24" t="b">
        <f aca="false">FALSE()</f>
        <v>0</v>
      </c>
      <c r="N209" s="11"/>
      <c r="O209" s="11" t="str">
        <f aca="false">IF(K209&lt;=StockP33,"Low",IF(K209&lt;=StockP67,"Moderate","High"))</f>
        <v>Moderate</v>
      </c>
      <c r="P209" s="11" t="str">
        <f aca="false">IF(H209=0,"Low",IF(H209&lt;=MarkdownP75,"Moderate","High"))</f>
        <v>Moderate</v>
      </c>
      <c r="Q209" s="11" t="str">
        <f aca="false">IF(ISBLANK(L209),"Unknown",IF(L209&gt;=4,"Good",IF(L209&lt;=2,"Poor","Neutral")))</f>
        <v>Poor</v>
      </c>
      <c r="R209" s="11" t="str">
        <f aca="false">IF(AND(O209="Low",P209="Low",Q209="Good"),"BUY / PRIORITIZE",IF(AND(O209="High",P209="High",OR(Q209="Poor",M209=TRUE())),"HOLD / REVIEW","MONITOR"))</f>
        <v>MONITOR</v>
      </c>
      <c r="S209" s="11" t="n">
        <f aca="false">K209+(ROW()/10000000)</f>
        <v>33.0000209</v>
      </c>
    </row>
    <row r="210" customFormat="false" ht="15" hidden="false" customHeight="false" outlineLevel="0" collapsed="false">
      <c r="A210" s="11" t="s">
        <v>367</v>
      </c>
      <c r="B210" s="11" t="s">
        <v>30</v>
      </c>
      <c r="C210" s="11" t="s">
        <v>130</v>
      </c>
      <c r="D210" s="11" t="s">
        <v>36</v>
      </c>
      <c r="E210" s="11" t="s">
        <v>102</v>
      </c>
      <c r="F210" s="11" t="s">
        <v>79</v>
      </c>
      <c r="G210" s="21" t="n">
        <v>111.14</v>
      </c>
      <c r="H210" s="19" t="n">
        <v>0</v>
      </c>
      <c r="I210" s="21" t="n">
        <v>111.14</v>
      </c>
      <c r="J210" s="22" t="s">
        <v>80</v>
      </c>
      <c r="K210" s="11" t="n">
        <v>49</v>
      </c>
      <c r="L210" s="23" t="n">
        <v>1.6</v>
      </c>
      <c r="M210" s="24" t="b">
        <f aca="false">FALSE()</f>
        <v>0</v>
      </c>
      <c r="N210" s="11"/>
      <c r="O210" s="11" t="str">
        <f aca="false">IF(K210&lt;=StockP33,"Low",IF(K210&lt;=StockP67,"Moderate","High"))</f>
        <v>High</v>
      </c>
      <c r="P210" s="11" t="str">
        <f aca="false">IF(H210=0,"Low",IF(H210&lt;=MarkdownP75,"Moderate","High"))</f>
        <v>Low</v>
      </c>
      <c r="Q210" s="11" t="str">
        <f aca="false">IF(ISBLANK(L210),"Unknown",IF(L210&gt;=4,"Good",IF(L210&lt;=2,"Poor","Neutral")))</f>
        <v>Poor</v>
      </c>
      <c r="R210" s="11" t="str">
        <f aca="false">IF(AND(O210="Low",P210="Low",Q210="Good"),"BUY / PRIORITIZE",IF(AND(O210="High",P210="High",OR(Q210="Poor",M210=TRUE())),"HOLD / REVIEW","MONITOR"))</f>
        <v>MONITOR</v>
      </c>
      <c r="S210" s="11" t="n">
        <f aca="false">K210+(ROW()/10000000)</f>
        <v>49.000021</v>
      </c>
    </row>
    <row r="211" customFormat="false" ht="15" hidden="false" customHeight="false" outlineLevel="0" collapsed="false">
      <c r="A211" s="11" t="s">
        <v>368</v>
      </c>
      <c r="B211" s="11" t="s">
        <v>30</v>
      </c>
      <c r="C211" s="11" t="s">
        <v>86</v>
      </c>
      <c r="D211" s="11" t="s">
        <v>36</v>
      </c>
      <c r="E211" s="11" t="s">
        <v>110</v>
      </c>
      <c r="F211" s="11" t="s">
        <v>96</v>
      </c>
      <c r="G211" s="21" t="n">
        <v>59.6</v>
      </c>
      <c r="H211" s="19" t="n">
        <v>0</v>
      </c>
      <c r="I211" s="21" t="n">
        <v>59.6</v>
      </c>
      <c r="J211" s="22" t="s">
        <v>80</v>
      </c>
      <c r="K211" s="11" t="n">
        <v>40</v>
      </c>
      <c r="L211" s="23" t="n">
        <v>2.1</v>
      </c>
      <c r="M211" s="24" t="b">
        <f aca="false">FALSE()</f>
        <v>0</v>
      </c>
      <c r="N211" s="11"/>
      <c r="O211" s="11" t="str">
        <f aca="false">IF(K211&lt;=StockP33,"Low",IF(K211&lt;=StockP67,"Moderate","High"))</f>
        <v>High</v>
      </c>
      <c r="P211" s="11" t="str">
        <f aca="false">IF(H211=0,"Low",IF(H211&lt;=MarkdownP75,"Moderate","High"))</f>
        <v>Low</v>
      </c>
      <c r="Q211" s="11" t="str">
        <f aca="false">IF(ISBLANK(L211),"Unknown",IF(L211&gt;=4,"Good",IF(L211&lt;=2,"Poor","Neutral")))</f>
        <v>Neutral</v>
      </c>
      <c r="R211" s="11" t="str">
        <f aca="false">IF(AND(O211="Low",P211="Low",Q211="Good"),"BUY / PRIORITIZE",IF(AND(O211="High",P211="High",OR(Q211="Poor",M211=TRUE())),"HOLD / REVIEW","MONITOR"))</f>
        <v>MONITOR</v>
      </c>
      <c r="S211" s="11" t="n">
        <f aca="false">K211+(ROW()/10000000)</f>
        <v>40.0000211</v>
      </c>
    </row>
    <row r="212" customFormat="false" ht="15" hidden="false" customHeight="false" outlineLevel="0" collapsed="false">
      <c r="A212" s="11" t="s">
        <v>369</v>
      </c>
      <c r="B212" s="11" t="s">
        <v>30</v>
      </c>
      <c r="C212" s="11" t="s">
        <v>107</v>
      </c>
      <c r="D212" s="11" t="s">
        <v>34</v>
      </c>
      <c r="E212" s="11" t="s">
        <v>91</v>
      </c>
      <c r="F212" s="11" t="s">
        <v>92</v>
      </c>
      <c r="G212" s="21" t="n">
        <v>25.49</v>
      </c>
      <c r="H212" s="19" t="n">
        <v>16.7</v>
      </c>
      <c r="I212" s="21" t="n">
        <v>21.23</v>
      </c>
      <c r="J212" s="22" t="s">
        <v>370</v>
      </c>
      <c r="K212" s="11" t="n">
        <v>32</v>
      </c>
      <c r="L212" s="23"/>
      <c r="M212" s="24" t="b">
        <f aca="false">FALSE()</f>
        <v>0</v>
      </c>
      <c r="N212" s="11"/>
      <c r="O212" s="11" t="str">
        <f aca="false">IF(K212&lt;=StockP33,"Low",IF(K212&lt;=StockP67,"Moderate","High"))</f>
        <v>Moderate</v>
      </c>
      <c r="P212" s="11" t="str">
        <f aca="false">IF(H212=0,"Low",IF(H212&lt;=MarkdownP75,"Moderate","High"))</f>
        <v>Moderate</v>
      </c>
      <c r="Q212" s="11" t="str">
        <f aca="false">IF(ISBLANK(L212),"Unknown",IF(L212&gt;=4,"Good",IF(L212&lt;=2,"Poor","Neutral")))</f>
        <v>Unknown</v>
      </c>
      <c r="R212" s="11" t="str">
        <f aca="false">IF(AND(O212="Low",P212="Low",Q212="Good"),"BUY / PRIORITIZE",IF(AND(O212="High",P212="High",OR(Q212="Poor",M212=TRUE())),"HOLD / REVIEW","MONITOR"))</f>
        <v>MONITOR</v>
      </c>
      <c r="S212" s="11" t="n">
        <f aca="false">K212+(ROW()/10000000)</f>
        <v>32.0000212</v>
      </c>
    </row>
    <row r="213" customFormat="false" ht="15" hidden="false" customHeight="false" outlineLevel="0" collapsed="false">
      <c r="A213" s="11" t="s">
        <v>371</v>
      </c>
      <c r="B213" s="11" t="s">
        <v>30</v>
      </c>
      <c r="C213" s="11" t="s">
        <v>72</v>
      </c>
      <c r="D213" s="11" t="s">
        <v>34</v>
      </c>
      <c r="E213" s="11" t="s">
        <v>113</v>
      </c>
      <c r="F213" s="11" t="s">
        <v>82</v>
      </c>
      <c r="G213" s="21" t="n">
        <v>82.94</v>
      </c>
      <c r="H213" s="19" t="n">
        <v>0</v>
      </c>
      <c r="I213" s="21" t="n">
        <v>82.94</v>
      </c>
      <c r="J213" s="22" t="s">
        <v>372</v>
      </c>
      <c r="K213" s="11" t="n">
        <v>46</v>
      </c>
      <c r="L213" s="23" t="n">
        <v>1.5</v>
      </c>
      <c r="M213" s="24" t="b">
        <f aca="false">FALSE()</f>
        <v>0</v>
      </c>
      <c r="N213" s="11"/>
      <c r="O213" s="11" t="str">
        <f aca="false">IF(K213&lt;=StockP33,"Low",IF(K213&lt;=StockP67,"Moderate","High"))</f>
        <v>High</v>
      </c>
      <c r="P213" s="11" t="str">
        <f aca="false">IF(H213=0,"Low",IF(H213&lt;=MarkdownP75,"Moderate","High"))</f>
        <v>Low</v>
      </c>
      <c r="Q213" s="11" t="str">
        <f aca="false">IF(ISBLANK(L213),"Unknown",IF(L213&gt;=4,"Good",IF(L213&lt;=2,"Poor","Neutral")))</f>
        <v>Poor</v>
      </c>
      <c r="R213" s="11" t="str">
        <f aca="false">IF(AND(O213="Low",P213="Low",Q213="Good"),"BUY / PRIORITIZE",IF(AND(O213="High",P213="High",OR(Q213="Poor",M213=TRUE())),"HOLD / REVIEW","MONITOR"))</f>
        <v>MONITOR</v>
      </c>
      <c r="S213" s="11" t="n">
        <f aca="false">K213+(ROW()/10000000)</f>
        <v>46.0000213</v>
      </c>
    </row>
    <row r="214" customFormat="false" ht="15" hidden="false" customHeight="false" outlineLevel="0" collapsed="false">
      <c r="A214" s="11" t="s">
        <v>373</v>
      </c>
      <c r="B214" s="11" t="s">
        <v>30</v>
      </c>
      <c r="C214" s="11" t="s">
        <v>77</v>
      </c>
      <c r="D214" s="11" t="s">
        <v>34</v>
      </c>
      <c r="E214" s="11" t="s">
        <v>78</v>
      </c>
      <c r="F214" s="11" t="s">
        <v>96</v>
      </c>
      <c r="G214" s="21" t="n">
        <v>99.71</v>
      </c>
      <c r="H214" s="19" t="n">
        <v>0</v>
      </c>
      <c r="I214" s="21" t="n">
        <v>99.71</v>
      </c>
      <c r="J214" s="22" t="s">
        <v>374</v>
      </c>
      <c r="K214" s="11" t="n">
        <v>23</v>
      </c>
      <c r="L214" s="23" t="n">
        <v>1.4</v>
      </c>
      <c r="M214" s="24" t="b">
        <f aca="false">FALSE()</f>
        <v>0</v>
      </c>
      <c r="N214" s="11"/>
      <c r="O214" s="11" t="str">
        <f aca="false">IF(K214&lt;=StockP33,"Low",IF(K214&lt;=StockP67,"Moderate","High"))</f>
        <v>Moderate</v>
      </c>
      <c r="P214" s="11" t="str">
        <f aca="false">IF(H214=0,"Low",IF(H214&lt;=MarkdownP75,"Moderate","High"))</f>
        <v>Low</v>
      </c>
      <c r="Q214" s="11" t="str">
        <f aca="false">IF(ISBLANK(L214),"Unknown",IF(L214&gt;=4,"Good",IF(L214&lt;=2,"Poor","Neutral")))</f>
        <v>Poor</v>
      </c>
      <c r="R214" s="11" t="str">
        <f aca="false">IF(AND(O214="Low",P214="Low",Q214="Good"),"BUY / PRIORITIZE",IF(AND(O214="High",P214="High",OR(Q214="Poor",M214=TRUE())),"HOLD / REVIEW","MONITOR"))</f>
        <v>MONITOR</v>
      </c>
      <c r="S214" s="11" t="n">
        <f aca="false">K214+(ROW()/10000000)</f>
        <v>23.0000214</v>
      </c>
    </row>
    <row r="215" customFormat="false" ht="15" hidden="false" customHeight="false" outlineLevel="0" collapsed="false">
      <c r="A215" s="11" t="s">
        <v>375</v>
      </c>
      <c r="B215" s="11" t="s">
        <v>8</v>
      </c>
      <c r="C215" s="11" t="s">
        <v>86</v>
      </c>
      <c r="D215" s="11" t="s">
        <v>36</v>
      </c>
      <c r="E215" s="11"/>
      <c r="F215" s="11" t="s">
        <v>82</v>
      </c>
      <c r="G215" s="21" t="n">
        <v>69.74</v>
      </c>
      <c r="H215" s="19" t="n">
        <v>0</v>
      </c>
      <c r="I215" s="21" t="n">
        <v>69.74</v>
      </c>
      <c r="J215" s="22" t="s">
        <v>80</v>
      </c>
      <c r="K215" s="11" t="n">
        <v>11</v>
      </c>
      <c r="L215" s="23" t="n">
        <v>3.3</v>
      </c>
      <c r="M215" s="24" t="b">
        <f aca="false">TRUE()</f>
        <v>1</v>
      </c>
      <c r="N215" s="11" t="s">
        <v>178</v>
      </c>
      <c r="O215" s="11" t="str">
        <f aca="false">IF(K215&lt;=StockP33,"Low",IF(K215&lt;=StockP67,"Moderate","High"))</f>
        <v>Low</v>
      </c>
      <c r="P215" s="11" t="str">
        <f aca="false">IF(H215=0,"Low",IF(H215&lt;=MarkdownP75,"Moderate","High"))</f>
        <v>Low</v>
      </c>
      <c r="Q215" s="11" t="str">
        <f aca="false">IF(ISBLANK(L215),"Unknown",IF(L215&gt;=4,"Good",IF(L215&lt;=2,"Poor","Neutral")))</f>
        <v>Neutral</v>
      </c>
      <c r="R215" s="11" t="str">
        <f aca="false">IF(AND(O215="Low",P215="Low",Q215="Good"),"BUY / PRIORITIZE",IF(AND(O215="High",P215="High",OR(Q215="Poor",M215=TRUE())),"HOLD / REVIEW","MONITOR"))</f>
        <v>MONITOR</v>
      </c>
      <c r="S215" s="11" t="n">
        <f aca="false">K215+(ROW()/10000000)</f>
        <v>11.0000215</v>
      </c>
    </row>
    <row r="216" customFormat="false" ht="15" hidden="false" customHeight="false" outlineLevel="0" collapsed="false">
      <c r="A216" s="11" t="s">
        <v>376</v>
      </c>
      <c r="B216" s="11" t="s">
        <v>26</v>
      </c>
      <c r="C216" s="11" t="s">
        <v>101</v>
      </c>
      <c r="D216" s="11" t="s">
        <v>35</v>
      </c>
      <c r="E216" s="11" t="s">
        <v>102</v>
      </c>
      <c r="F216" s="11" t="s">
        <v>98</v>
      </c>
      <c r="G216" s="21" t="n">
        <v>57.19</v>
      </c>
      <c r="H216" s="19" t="n">
        <v>0</v>
      </c>
      <c r="I216" s="21" t="n">
        <v>57.19</v>
      </c>
      <c r="J216" s="22" t="s">
        <v>80</v>
      </c>
      <c r="K216" s="11" t="n">
        <v>12</v>
      </c>
      <c r="L216" s="23" t="n">
        <v>2.5</v>
      </c>
      <c r="M216" s="24" t="b">
        <f aca="false">FALSE()</f>
        <v>0</v>
      </c>
      <c r="N216" s="11"/>
      <c r="O216" s="11" t="str">
        <f aca="false">IF(K216&lt;=StockP33,"Low",IF(K216&lt;=StockP67,"Moderate","High"))</f>
        <v>Low</v>
      </c>
      <c r="P216" s="11" t="str">
        <f aca="false">IF(H216=0,"Low",IF(H216&lt;=MarkdownP75,"Moderate","High"))</f>
        <v>Low</v>
      </c>
      <c r="Q216" s="11" t="str">
        <f aca="false">IF(ISBLANK(L216),"Unknown",IF(L216&gt;=4,"Good",IF(L216&lt;=2,"Poor","Neutral")))</f>
        <v>Neutral</v>
      </c>
      <c r="R216" s="11" t="str">
        <f aca="false">IF(AND(O216="Low",P216="Low",Q216="Good"),"BUY / PRIORITIZE",IF(AND(O216="High",P216="High",OR(Q216="Poor",M216=TRUE())),"HOLD / REVIEW","MONITOR"))</f>
        <v>MONITOR</v>
      </c>
      <c r="S216" s="11" t="n">
        <f aca="false">K216+(ROW()/10000000)</f>
        <v>12.0000216</v>
      </c>
    </row>
    <row r="217" customFormat="false" ht="15" hidden="false" customHeight="false" outlineLevel="0" collapsed="false">
      <c r="A217" s="11" t="s">
        <v>377</v>
      </c>
      <c r="B217" s="11" t="s">
        <v>30</v>
      </c>
      <c r="C217" s="11" t="s">
        <v>101</v>
      </c>
      <c r="D217" s="11" t="s">
        <v>35</v>
      </c>
      <c r="E217" s="11" t="s">
        <v>102</v>
      </c>
      <c r="F217" s="11" t="s">
        <v>74</v>
      </c>
      <c r="G217" s="21" t="n">
        <v>58.65</v>
      </c>
      <c r="H217" s="19" t="n">
        <v>0</v>
      </c>
      <c r="I217" s="21" t="n">
        <v>58.65</v>
      </c>
      <c r="J217" s="22" t="s">
        <v>80</v>
      </c>
      <c r="K217" s="11" t="n">
        <v>4</v>
      </c>
      <c r="L217" s="23" t="n">
        <v>1.1</v>
      </c>
      <c r="M217" s="24" t="b">
        <f aca="false">FALSE()</f>
        <v>0</v>
      </c>
      <c r="N217" s="11"/>
      <c r="O217" s="11" t="str">
        <f aca="false">IF(K217&lt;=StockP33,"Low",IF(K217&lt;=StockP67,"Moderate","High"))</f>
        <v>Low</v>
      </c>
      <c r="P217" s="11" t="str">
        <f aca="false">IF(H217=0,"Low",IF(H217&lt;=MarkdownP75,"Moderate","High"))</f>
        <v>Low</v>
      </c>
      <c r="Q217" s="11" t="str">
        <f aca="false">IF(ISBLANK(L217),"Unknown",IF(L217&gt;=4,"Good",IF(L217&lt;=2,"Poor","Neutral")))</f>
        <v>Poor</v>
      </c>
      <c r="R217" s="11" t="str">
        <f aca="false">IF(AND(O217="Low",P217="Low",Q217="Good"),"BUY / PRIORITIZE",IF(AND(O217="High",P217="High",OR(Q217="Poor",M217=TRUE())),"HOLD / REVIEW","MONITOR"))</f>
        <v>MONITOR</v>
      </c>
      <c r="S217" s="11" t="n">
        <f aca="false">K217+(ROW()/10000000)</f>
        <v>4.0000217</v>
      </c>
    </row>
    <row r="218" customFormat="false" ht="15" hidden="false" customHeight="false" outlineLevel="0" collapsed="false">
      <c r="A218" s="11" t="s">
        <v>378</v>
      </c>
      <c r="B218" s="11" t="s">
        <v>28</v>
      </c>
      <c r="C218" s="11" t="s">
        <v>77</v>
      </c>
      <c r="D218" s="11" t="s">
        <v>36</v>
      </c>
      <c r="E218" s="11" t="s">
        <v>73</v>
      </c>
      <c r="F218" s="11" t="s">
        <v>79</v>
      </c>
      <c r="G218" s="21" t="n">
        <v>110.22</v>
      </c>
      <c r="H218" s="19" t="n">
        <v>0</v>
      </c>
      <c r="I218" s="21" t="n">
        <v>110.22</v>
      </c>
      <c r="J218" s="22" t="s">
        <v>80</v>
      </c>
      <c r="K218" s="11" t="n">
        <v>4</v>
      </c>
      <c r="L218" s="23" t="n">
        <v>1.6</v>
      </c>
      <c r="M218" s="24" t="b">
        <f aca="false">FALSE()</f>
        <v>0</v>
      </c>
      <c r="N218" s="11"/>
      <c r="O218" s="11" t="str">
        <f aca="false">IF(K218&lt;=StockP33,"Low",IF(K218&lt;=StockP67,"Moderate","High"))</f>
        <v>Low</v>
      </c>
      <c r="P218" s="11" t="str">
        <f aca="false">IF(H218=0,"Low",IF(H218&lt;=MarkdownP75,"Moderate","High"))</f>
        <v>Low</v>
      </c>
      <c r="Q218" s="11" t="str">
        <f aca="false">IF(ISBLANK(L218),"Unknown",IF(L218&gt;=4,"Good",IF(L218&lt;=2,"Poor","Neutral")))</f>
        <v>Poor</v>
      </c>
      <c r="R218" s="11" t="str">
        <f aca="false">IF(AND(O218="Low",P218="Low",Q218="Good"),"BUY / PRIORITIZE",IF(AND(O218="High",P218="High",OR(Q218="Poor",M218=TRUE())),"HOLD / REVIEW","MONITOR"))</f>
        <v>MONITOR</v>
      </c>
      <c r="S218" s="11" t="n">
        <f aca="false">K218+(ROW()/10000000)</f>
        <v>4.0000218</v>
      </c>
    </row>
    <row r="219" customFormat="false" ht="15" hidden="false" customHeight="false" outlineLevel="0" collapsed="false">
      <c r="A219" s="11" t="s">
        <v>379</v>
      </c>
      <c r="B219" s="11" t="s">
        <v>30</v>
      </c>
      <c r="C219" s="11" t="s">
        <v>72</v>
      </c>
      <c r="D219" s="11" t="s">
        <v>35</v>
      </c>
      <c r="E219" s="11" t="s">
        <v>102</v>
      </c>
      <c r="F219" s="11" t="s">
        <v>79</v>
      </c>
      <c r="G219" s="21" t="n">
        <v>69.36</v>
      </c>
      <c r="H219" s="19" t="n">
        <v>0</v>
      </c>
      <c r="I219" s="21" t="n">
        <v>69.36</v>
      </c>
      <c r="J219" s="22" t="s">
        <v>80</v>
      </c>
      <c r="K219" s="11" t="n">
        <v>25</v>
      </c>
      <c r="L219" s="23"/>
      <c r="M219" s="24" t="b">
        <f aca="false">FALSE()</f>
        <v>0</v>
      </c>
      <c r="N219" s="11"/>
      <c r="O219" s="11" t="str">
        <f aca="false">IF(K219&lt;=StockP33,"Low",IF(K219&lt;=StockP67,"Moderate","High"))</f>
        <v>Moderate</v>
      </c>
      <c r="P219" s="11" t="str">
        <f aca="false">IF(H219=0,"Low",IF(H219&lt;=MarkdownP75,"Moderate","High"))</f>
        <v>Low</v>
      </c>
      <c r="Q219" s="11" t="str">
        <f aca="false">IF(ISBLANK(L219),"Unknown",IF(L219&gt;=4,"Good",IF(L219&lt;=2,"Poor","Neutral")))</f>
        <v>Unknown</v>
      </c>
      <c r="R219" s="11" t="str">
        <f aca="false">IF(AND(O219="Low",P219="Low",Q219="Good"),"BUY / PRIORITIZE",IF(AND(O219="High",P219="High",OR(Q219="Poor",M219=TRUE())),"HOLD / REVIEW","MONITOR"))</f>
        <v>MONITOR</v>
      </c>
      <c r="S219" s="11" t="n">
        <f aca="false">K219+(ROW()/10000000)</f>
        <v>25.0000219</v>
      </c>
    </row>
    <row r="220" customFormat="false" ht="15" hidden="false" customHeight="false" outlineLevel="0" collapsed="false">
      <c r="A220" s="11" t="s">
        <v>380</v>
      </c>
      <c r="B220" s="11" t="s">
        <v>26</v>
      </c>
      <c r="C220" s="11" t="s">
        <v>72</v>
      </c>
      <c r="D220" s="11" t="s">
        <v>37</v>
      </c>
      <c r="E220" s="11" t="s">
        <v>91</v>
      </c>
      <c r="F220" s="11" t="s">
        <v>82</v>
      </c>
      <c r="G220" s="21" t="n">
        <v>87.03</v>
      </c>
      <c r="H220" s="19" t="n">
        <v>0</v>
      </c>
      <c r="I220" s="21" t="n">
        <v>87.03</v>
      </c>
      <c r="J220" s="22" t="s">
        <v>80</v>
      </c>
      <c r="K220" s="11" t="n">
        <v>39</v>
      </c>
      <c r="L220" s="23" t="n">
        <v>4.3</v>
      </c>
      <c r="M220" s="24" t="b">
        <f aca="false">FALSE()</f>
        <v>0</v>
      </c>
      <c r="N220" s="11"/>
      <c r="O220" s="11" t="str">
        <f aca="false">IF(K220&lt;=StockP33,"Low",IF(K220&lt;=StockP67,"Moderate","High"))</f>
        <v>High</v>
      </c>
      <c r="P220" s="11" t="str">
        <f aca="false">IF(H220=0,"Low",IF(H220&lt;=MarkdownP75,"Moderate","High"))</f>
        <v>Low</v>
      </c>
      <c r="Q220" s="11" t="str">
        <f aca="false">IF(ISBLANK(L220),"Unknown",IF(L220&gt;=4,"Good",IF(L220&lt;=2,"Poor","Neutral")))</f>
        <v>Good</v>
      </c>
      <c r="R220" s="11" t="str">
        <f aca="false">IF(AND(O220="Low",P220="Low",Q220="Good"),"BUY / PRIORITIZE",IF(AND(O220="High",P220="High",OR(Q220="Poor",M220=TRUE())),"HOLD / REVIEW","MONITOR"))</f>
        <v>MONITOR</v>
      </c>
      <c r="S220" s="11" t="n">
        <f aca="false">K220+(ROW()/10000000)</f>
        <v>39.000022</v>
      </c>
    </row>
    <row r="221" customFormat="false" ht="15" hidden="false" customHeight="false" outlineLevel="0" collapsed="false">
      <c r="A221" s="11" t="s">
        <v>381</v>
      </c>
      <c r="B221" s="11" t="s">
        <v>27</v>
      </c>
      <c r="C221" s="11" t="s">
        <v>72</v>
      </c>
      <c r="D221" s="11" t="s">
        <v>37</v>
      </c>
      <c r="E221" s="11" t="s">
        <v>102</v>
      </c>
      <c r="F221" s="11" t="s">
        <v>124</v>
      </c>
      <c r="G221" s="21" t="n">
        <v>160.6</v>
      </c>
      <c r="H221" s="19" t="n">
        <v>18.4</v>
      </c>
      <c r="I221" s="21" t="n">
        <v>131.05</v>
      </c>
      <c r="J221" s="22" t="s">
        <v>80</v>
      </c>
      <c r="K221" s="11" t="n">
        <v>41</v>
      </c>
      <c r="L221" s="23" t="n">
        <v>3</v>
      </c>
      <c r="M221" s="24" t="b">
        <f aca="false">FALSE()</f>
        <v>0</v>
      </c>
      <c r="N221" s="11"/>
      <c r="O221" s="11" t="str">
        <f aca="false">IF(K221&lt;=StockP33,"Low",IF(K221&lt;=StockP67,"Moderate","High"))</f>
        <v>High</v>
      </c>
      <c r="P221" s="11" t="str">
        <f aca="false">IF(H221=0,"Low",IF(H221&lt;=MarkdownP75,"Moderate","High"))</f>
        <v>Moderate</v>
      </c>
      <c r="Q221" s="11" t="str">
        <f aca="false">IF(ISBLANK(L221),"Unknown",IF(L221&gt;=4,"Good",IF(L221&lt;=2,"Poor","Neutral")))</f>
        <v>Neutral</v>
      </c>
      <c r="R221" s="11" t="str">
        <f aca="false">IF(AND(O221="Low",P221="Low",Q221="Good"),"BUY / PRIORITIZE",IF(AND(O221="High",P221="High",OR(Q221="Poor",M221=TRUE())),"HOLD / REVIEW","MONITOR"))</f>
        <v>MONITOR</v>
      </c>
      <c r="S221" s="11" t="n">
        <f aca="false">K221+(ROW()/10000000)</f>
        <v>41.0000221</v>
      </c>
    </row>
    <row r="222" customFormat="false" ht="15" hidden="false" customHeight="false" outlineLevel="0" collapsed="false">
      <c r="A222" s="11" t="s">
        <v>382</v>
      </c>
      <c r="B222" s="11" t="s">
        <v>28</v>
      </c>
      <c r="C222" s="11" t="s">
        <v>101</v>
      </c>
      <c r="D222" s="11" t="s">
        <v>34</v>
      </c>
      <c r="E222" s="11" t="s">
        <v>110</v>
      </c>
      <c r="F222" s="11" t="s">
        <v>120</v>
      </c>
      <c r="G222" s="21" t="n">
        <v>167.02</v>
      </c>
      <c r="H222" s="19" t="n">
        <v>0</v>
      </c>
      <c r="I222" s="21" t="n">
        <v>167.02</v>
      </c>
      <c r="J222" s="22" t="s">
        <v>383</v>
      </c>
      <c r="K222" s="11" t="n">
        <v>26</v>
      </c>
      <c r="L222" s="23" t="n">
        <v>2.6</v>
      </c>
      <c r="M222" s="24" t="b">
        <f aca="false">TRUE()</f>
        <v>1</v>
      </c>
      <c r="N222" s="11" t="s">
        <v>128</v>
      </c>
      <c r="O222" s="11" t="str">
        <f aca="false">IF(K222&lt;=StockP33,"Low",IF(K222&lt;=StockP67,"Moderate","High"))</f>
        <v>Moderate</v>
      </c>
      <c r="P222" s="11" t="str">
        <f aca="false">IF(H222=0,"Low",IF(H222&lt;=MarkdownP75,"Moderate","High"))</f>
        <v>Low</v>
      </c>
      <c r="Q222" s="11" t="str">
        <f aca="false">IF(ISBLANK(L222),"Unknown",IF(L222&gt;=4,"Good",IF(L222&lt;=2,"Poor","Neutral")))</f>
        <v>Neutral</v>
      </c>
      <c r="R222" s="11" t="str">
        <f aca="false">IF(AND(O222="Low",P222="Low",Q222="Good"),"BUY / PRIORITIZE",IF(AND(O222="High",P222="High",OR(Q222="Poor",M222=TRUE())),"HOLD / REVIEW","MONITOR"))</f>
        <v>MONITOR</v>
      </c>
      <c r="S222" s="11" t="n">
        <f aca="false">K222+(ROW()/10000000)</f>
        <v>26.0000222</v>
      </c>
    </row>
    <row r="223" customFormat="false" ht="15" hidden="false" customHeight="false" outlineLevel="0" collapsed="false">
      <c r="A223" s="11" t="s">
        <v>384</v>
      </c>
      <c r="B223" s="11" t="s">
        <v>30</v>
      </c>
      <c r="C223" s="11" t="s">
        <v>72</v>
      </c>
      <c r="D223" s="11" t="s">
        <v>35</v>
      </c>
      <c r="E223" s="11" t="s">
        <v>102</v>
      </c>
      <c r="F223" s="11" t="s">
        <v>92</v>
      </c>
      <c r="G223" s="21" t="n">
        <v>26.09</v>
      </c>
      <c r="H223" s="19" t="n">
        <v>0</v>
      </c>
      <c r="I223" s="21" t="n">
        <v>26.09</v>
      </c>
      <c r="J223" s="22" t="s">
        <v>80</v>
      </c>
      <c r="K223" s="11" t="n">
        <v>32</v>
      </c>
      <c r="L223" s="23" t="n">
        <v>4.6</v>
      </c>
      <c r="M223" s="24" t="b">
        <f aca="false">TRUE()</f>
        <v>1</v>
      </c>
      <c r="N223" s="11" t="s">
        <v>134</v>
      </c>
      <c r="O223" s="11" t="str">
        <f aca="false">IF(K223&lt;=StockP33,"Low",IF(K223&lt;=StockP67,"Moderate","High"))</f>
        <v>Moderate</v>
      </c>
      <c r="P223" s="11" t="str">
        <f aca="false">IF(H223=0,"Low",IF(H223&lt;=MarkdownP75,"Moderate","High"))</f>
        <v>Low</v>
      </c>
      <c r="Q223" s="11" t="str">
        <f aca="false">IF(ISBLANK(L223),"Unknown",IF(L223&gt;=4,"Good",IF(L223&lt;=2,"Poor","Neutral")))</f>
        <v>Good</v>
      </c>
      <c r="R223" s="11" t="str">
        <f aca="false">IF(AND(O223="Low",P223="Low",Q223="Good"),"BUY / PRIORITIZE",IF(AND(O223="High",P223="High",OR(Q223="Poor",M223=TRUE())),"HOLD / REVIEW","MONITOR"))</f>
        <v>MONITOR</v>
      </c>
      <c r="S223" s="11" t="n">
        <f aca="false">K223+(ROW()/10000000)</f>
        <v>32.0000223</v>
      </c>
    </row>
    <row r="224" customFormat="false" ht="15" hidden="false" customHeight="false" outlineLevel="0" collapsed="false">
      <c r="A224" s="11" t="s">
        <v>385</v>
      </c>
      <c r="B224" s="11" t="s">
        <v>28</v>
      </c>
      <c r="C224" s="11" t="s">
        <v>101</v>
      </c>
      <c r="D224" s="11" t="s">
        <v>35</v>
      </c>
      <c r="E224" s="11" t="s">
        <v>73</v>
      </c>
      <c r="F224" s="11" t="s">
        <v>124</v>
      </c>
      <c r="G224" s="21" t="n">
        <v>246.65</v>
      </c>
      <c r="H224" s="19" t="n">
        <v>0</v>
      </c>
      <c r="I224" s="21" t="n">
        <v>246.65</v>
      </c>
      <c r="J224" s="22" t="s">
        <v>80</v>
      </c>
      <c r="K224" s="11" t="n">
        <v>17</v>
      </c>
      <c r="L224" s="23" t="n">
        <v>2.9</v>
      </c>
      <c r="M224" s="24" t="b">
        <f aca="false">TRUE()</f>
        <v>1</v>
      </c>
      <c r="N224" s="11" t="s">
        <v>134</v>
      </c>
      <c r="O224" s="11" t="str">
        <f aca="false">IF(K224&lt;=StockP33,"Low",IF(K224&lt;=StockP67,"Moderate","High"))</f>
        <v>Low</v>
      </c>
      <c r="P224" s="11" t="str">
        <f aca="false">IF(H224=0,"Low",IF(H224&lt;=MarkdownP75,"Moderate","High"))</f>
        <v>Low</v>
      </c>
      <c r="Q224" s="11" t="str">
        <f aca="false">IF(ISBLANK(L224),"Unknown",IF(L224&gt;=4,"Good",IF(L224&lt;=2,"Poor","Neutral")))</f>
        <v>Neutral</v>
      </c>
      <c r="R224" s="11" t="str">
        <f aca="false">IF(AND(O224="Low",P224="Low",Q224="Good"),"BUY / PRIORITIZE",IF(AND(O224="High",P224="High",OR(Q224="Poor",M224=TRUE())),"HOLD / REVIEW","MONITOR"))</f>
        <v>MONITOR</v>
      </c>
      <c r="S224" s="11" t="n">
        <f aca="false">K224+(ROW()/10000000)</f>
        <v>17.0000224</v>
      </c>
    </row>
    <row r="225" customFormat="false" ht="15" hidden="false" customHeight="false" outlineLevel="0" collapsed="false">
      <c r="A225" s="11" t="s">
        <v>386</v>
      </c>
      <c r="B225" s="11" t="s">
        <v>28</v>
      </c>
      <c r="C225" s="11" t="s">
        <v>130</v>
      </c>
      <c r="D225" s="11" t="s">
        <v>35</v>
      </c>
      <c r="E225" s="11" t="s">
        <v>91</v>
      </c>
      <c r="F225" s="11" t="s">
        <v>74</v>
      </c>
      <c r="G225" s="21" t="n">
        <v>206.91</v>
      </c>
      <c r="H225" s="19" t="n">
        <v>0</v>
      </c>
      <c r="I225" s="21" t="n">
        <v>206.91</v>
      </c>
      <c r="J225" s="22" t="s">
        <v>80</v>
      </c>
      <c r="K225" s="11" t="n">
        <v>34</v>
      </c>
      <c r="L225" s="23" t="n">
        <v>2.3</v>
      </c>
      <c r="M225" s="24" t="b">
        <f aca="false">FALSE()</f>
        <v>0</v>
      </c>
      <c r="N225" s="11"/>
      <c r="O225" s="11" t="str">
        <f aca="false">IF(K225&lt;=StockP33,"Low",IF(K225&lt;=StockP67,"Moderate","High"))</f>
        <v>High</v>
      </c>
      <c r="P225" s="11" t="str">
        <f aca="false">IF(H225=0,"Low",IF(H225&lt;=MarkdownP75,"Moderate","High"))</f>
        <v>Low</v>
      </c>
      <c r="Q225" s="11" t="str">
        <f aca="false">IF(ISBLANK(L225),"Unknown",IF(L225&gt;=4,"Good",IF(L225&lt;=2,"Poor","Neutral")))</f>
        <v>Neutral</v>
      </c>
      <c r="R225" s="11" t="str">
        <f aca="false">IF(AND(O225="Low",P225="Low",Q225="Good"),"BUY / PRIORITIZE",IF(AND(O225="High",P225="High",OR(Q225="Poor",M225=TRUE())),"HOLD / REVIEW","MONITOR"))</f>
        <v>MONITOR</v>
      </c>
      <c r="S225" s="11" t="n">
        <f aca="false">K225+(ROW()/10000000)</f>
        <v>34.0000225</v>
      </c>
    </row>
    <row r="226" customFormat="false" ht="15" hidden="false" customHeight="false" outlineLevel="0" collapsed="false">
      <c r="A226" s="11" t="s">
        <v>387</v>
      </c>
      <c r="B226" s="11" t="s">
        <v>27</v>
      </c>
      <c r="C226" s="11" t="s">
        <v>116</v>
      </c>
      <c r="D226" s="11" t="s">
        <v>37</v>
      </c>
      <c r="E226" s="11" t="s">
        <v>73</v>
      </c>
      <c r="F226" s="11" t="s">
        <v>82</v>
      </c>
      <c r="G226" s="21" t="n">
        <v>85.08</v>
      </c>
      <c r="H226" s="19" t="n">
        <v>0</v>
      </c>
      <c r="I226" s="21" t="n">
        <v>85.08</v>
      </c>
      <c r="J226" s="22" t="s">
        <v>80</v>
      </c>
      <c r="K226" s="11" t="n">
        <v>29</v>
      </c>
      <c r="L226" s="23"/>
      <c r="M226" s="24" t="b">
        <f aca="false">FALSE()</f>
        <v>0</v>
      </c>
      <c r="N226" s="11"/>
      <c r="O226" s="11" t="str">
        <f aca="false">IF(K226&lt;=StockP33,"Low",IF(K226&lt;=StockP67,"Moderate","High"))</f>
        <v>Moderate</v>
      </c>
      <c r="P226" s="11" t="str">
        <f aca="false">IF(H226=0,"Low",IF(H226&lt;=MarkdownP75,"Moderate","High"))</f>
        <v>Low</v>
      </c>
      <c r="Q226" s="11" t="str">
        <f aca="false">IF(ISBLANK(L226),"Unknown",IF(L226&gt;=4,"Good",IF(L226&lt;=2,"Poor","Neutral")))</f>
        <v>Unknown</v>
      </c>
      <c r="R226" s="11" t="str">
        <f aca="false">IF(AND(O226="Low",P226="Low",Q226="Good"),"BUY / PRIORITIZE",IF(AND(O226="High",P226="High",OR(Q226="Poor",M226=TRUE())),"HOLD / REVIEW","MONITOR"))</f>
        <v>MONITOR</v>
      </c>
      <c r="S226" s="11" t="n">
        <f aca="false">K226+(ROW()/10000000)</f>
        <v>29.0000226</v>
      </c>
    </row>
    <row r="227" customFormat="false" ht="15" hidden="false" customHeight="false" outlineLevel="0" collapsed="false">
      <c r="A227" s="11" t="s">
        <v>388</v>
      </c>
      <c r="B227" s="11" t="s">
        <v>28</v>
      </c>
      <c r="C227" s="11" t="s">
        <v>130</v>
      </c>
      <c r="D227" s="11" t="s">
        <v>34</v>
      </c>
      <c r="E227" s="11" t="s">
        <v>102</v>
      </c>
      <c r="F227" s="11" t="s">
        <v>88</v>
      </c>
      <c r="G227" s="21" t="n">
        <v>240.32</v>
      </c>
      <c r="H227" s="19" t="n">
        <v>54.8</v>
      </c>
      <c r="I227" s="21" t="n">
        <v>108.62</v>
      </c>
      <c r="J227" s="22" t="s">
        <v>389</v>
      </c>
      <c r="K227" s="11" t="n">
        <v>3</v>
      </c>
      <c r="L227" s="23" t="n">
        <v>4.5</v>
      </c>
      <c r="M227" s="24" t="b">
        <f aca="false">FALSE()</f>
        <v>0</v>
      </c>
      <c r="N227" s="11"/>
      <c r="O227" s="11" t="str">
        <f aca="false">IF(K227&lt;=StockP33,"Low",IF(K227&lt;=StockP67,"Moderate","High"))</f>
        <v>Low</v>
      </c>
      <c r="P227" s="11" t="str">
        <f aca="false">IF(H227=0,"Low",IF(H227&lt;=MarkdownP75,"Moderate","High"))</f>
        <v>High</v>
      </c>
      <c r="Q227" s="11" t="str">
        <f aca="false">IF(ISBLANK(L227),"Unknown",IF(L227&gt;=4,"Good",IF(L227&lt;=2,"Poor","Neutral")))</f>
        <v>Good</v>
      </c>
      <c r="R227" s="11" t="str">
        <f aca="false">IF(AND(O227="Low",P227="Low",Q227="Good"),"BUY / PRIORITIZE",IF(AND(O227="High",P227="High",OR(Q227="Poor",M227=TRUE())),"HOLD / REVIEW","MONITOR"))</f>
        <v>MONITOR</v>
      </c>
      <c r="S227" s="11" t="n">
        <f aca="false">K227+(ROW()/10000000)</f>
        <v>3.0000227</v>
      </c>
    </row>
    <row r="228" customFormat="false" ht="15" hidden="false" customHeight="false" outlineLevel="0" collapsed="false">
      <c r="A228" s="11" t="s">
        <v>390</v>
      </c>
      <c r="B228" s="11" t="s">
        <v>27</v>
      </c>
      <c r="C228" s="11" t="s">
        <v>77</v>
      </c>
      <c r="D228" s="11" t="s">
        <v>36</v>
      </c>
      <c r="E228" s="11" t="s">
        <v>102</v>
      </c>
      <c r="F228" s="11" t="s">
        <v>74</v>
      </c>
      <c r="G228" s="21" t="n">
        <v>130.12</v>
      </c>
      <c r="H228" s="19" t="n">
        <v>1.4</v>
      </c>
      <c r="I228" s="21" t="n">
        <v>128.3</v>
      </c>
      <c r="J228" s="22" t="s">
        <v>80</v>
      </c>
      <c r="K228" s="11" t="n">
        <v>0</v>
      </c>
      <c r="L228" s="23" t="n">
        <v>5</v>
      </c>
      <c r="M228" s="24" t="b">
        <f aca="false">FALSE()</f>
        <v>0</v>
      </c>
      <c r="N228" s="11"/>
      <c r="O228" s="11" t="str">
        <f aca="false">IF(K228&lt;=StockP33,"Low",IF(K228&lt;=StockP67,"Moderate","High"))</f>
        <v>Low</v>
      </c>
      <c r="P228" s="11" t="str">
        <f aca="false">IF(H228=0,"Low",IF(H228&lt;=MarkdownP75,"Moderate","High"))</f>
        <v>Moderate</v>
      </c>
      <c r="Q228" s="11" t="str">
        <f aca="false">IF(ISBLANK(L228),"Unknown",IF(L228&gt;=4,"Good",IF(L228&lt;=2,"Poor","Neutral")))</f>
        <v>Good</v>
      </c>
      <c r="R228" s="11" t="str">
        <f aca="false">IF(AND(O228="Low",P228="Low",Q228="Good"),"BUY / PRIORITIZE",IF(AND(O228="High",P228="High",OR(Q228="Poor",M228=TRUE())),"HOLD / REVIEW","MONITOR"))</f>
        <v>MONITOR</v>
      </c>
      <c r="S228" s="11" t="n">
        <f aca="false">K228+(ROW()/10000000)</f>
        <v>2.28E-005</v>
      </c>
    </row>
    <row r="229" customFormat="false" ht="15" hidden="false" customHeight="false" outlineLevel="0" collapsed="false">
      <c r="A229" s="11" t="s">
        <v>391</v>
      </c>
      <c r="B229" s="11" t="s">
        <v>26</v>
      </c>
      <c r="C229" s="11" t="s">
        <v>101</v>
      </c>
      <c r="D229" s="11" t="s">
        <v>34</v>
      </c>
      <c r="E229" s="11" t="s">
        <v>110</v>
      </c>
      <c r="F229" s="11" t="s">
        <v>82</v>
      </c>
      <c r="G229" s="21" t="n">
        <v>42.29</v>
      </c>
      <c r="H229" s="19" t="n">
        <v>15.8</v>
      </c>
      <c r="I229" s="21" t="n">
        <v>35.61</v>
      </c>
      <c r="J229" s="22" t="s">
        <v>392</v>
      </c>
      <c r="K229" s="11" t="n">
        <v>11</v>
      </c>
      <c r="L229" s="23" t="n">
        <v>1.6</v>
      </c>
      <c r="M229" s="24" t="b">
        <f aca="false">FALSE()</f>
        <v>0</v>
      </c>
      <c r="N229" s="11"/>
      <c r="O229" s="11" t="str">
        <f aca="false">IF(K229&lt;=StockP33,"Low",IF(K229&lt;=StockP67,"Moderate","High"))</f>
        <v>Low</v>
      </c>
      <c r="P229" s="11" t="str">
        <f aca="false">IF(H229=0,"Low",IF(H229&lt;=MarkdownP75,"Moderate","High"))</f>
        <v>Moderate</v>
      </c>
      <c r="Q229" s="11" t="str">
        <f aca="false">IF(ISBLANK(L229),"Unknown",IF(L229&gt;=4,"Good",IF(L229&lt;=2,"Poor","Neutral")))</f>
        <v>Poor</v>
      </c>
      <c r="R229" s="11" t="str">
        <f aca="false">IF(AND(O229="Low",P229="Low",Q229="Good"),"BUY / PRIORITIZE",IF(AND(O229="High",P229="High",OR(Q229="Poor",M229=TRUE())),"HOLD / REVIEW","MONITOR"))</f>
        <v>MONITOR</v>
      </c>
      <c r="S229" s="11" t="n">
        <f aca="false">K229+(ROW()/10000000)</f>
        <v>11.0000229</v>
      </c>
    </row>
    <row r="230" customFormat="false" ht="15" hidden="false" customHeight="false" outlineLevel="0" collapsed="false">
      <c r="A230" s="11" t="s">
        <v>393</v>
      </c>
      <c r="B230" s="11" t="s">
        <v>28</v>
      </c>
      <c r="C230" s="11" t="s">
        <v>101</v>
      </c>
      <c r="D230" s="11" t="s">
        <v>34</v>
      </c>
      <c r="E230" s="11" t="s">
        <v>91</v>
      </c>
      <c r="F230" s="11" t="s">
        <v>111</v>
      </c>
      <c r="G230" s="21" t="n">
        <v>191.54</v>
      </c>
      <c r="H230" s="19" t="n">
        <v>0</v>
      </c>
      <c r="I230" s="21" t="n">
        <v>191.54</v>
      </c>
      <c r="J230" s="22" t="s">
        <v>394</v>
      </c>
      <c r="K230" s="11" t="n">
        <v>18</v>
      </c>
      <c r="L230" s="23" t="n">
        <v>1.2</v>
      </c>
      <c r="M230" s="24" t="b">
        <f aca="false">FALSE()</f>
        <v>0</v>
      </c>
      <c r="N230" s="11"/>
      <c r="O230" s="11" t="str">
        <f aca="false">IF(K230&lt;=StockP33,"Low",IF(K230&lt;=StockP67,"Moderate","High"))</f>
        <v>Moderate</v>
      </c>
      <c r="P230" s="11" t="str">
        <f aca="false">IF(H230=0,"Low",IF(H230&lt;=MarkdownP75,"Moderate","High"))</f>
        <v>Low</v>
      </c>
      <c r="Q230" s="11" t="str">
        <f aca="false">IF(ISBLANK(L230),"Unknown",IF(L230&gt;=4,"Good",IF(L230&lt;=2,"Poor","Neutral")))</f>
        <v>Poor</v>
      </c>
      <c r="R230" s="11" t="str">
        <f aca="false">IF(AND(O230="Low",P230="Low",Q230="Good"),"BUY / PRIORITIZE",IF(AND(O230="High",P230="High",OR(Q230="Poor",M230=TRUE())),"HOLD / REVIEW","MONITOR"))</f>
        <v>MONITOR</v>
      </c>
      <c r="S230" s="11" t="n">
        <f aca="false">K230+(ROW()/10000000)</f>
        <v>18.000023</v>
      </c>
    </row>
    <row r="231" customFormat="false" ht="15" hidden="false" customHeight="false" outlineLevel="0" collapsed="false">
      <c r="A231" s="11" t="s">
        <v>395</v>
      </c>
      <c r="B231" s="11" t="s">
        <v>8</v>
      </c>
      <c r="C231" s="11" t="s">
        <v>107</v>
      </c>
      <c r="D231" s="11" t="s">
        <v>34</v>
      </c>
      <c r="E231" s="11"/>
      <c r="F231" s="11" t="s">
        <v>111</v>
      </c>
      <c r="G231" s="21" t="n">
        <v>42.23</v>
      </c>
      <c r="H231" s="19" t="n">
        <v>0</v>
      </c>
      <c r="I231" s="21" t="n">
        <v>42.23</v>
      </c>
      <c r="J231" s="22" t="s">
        <v>396</v>
      </c>
      <c r="K231" s="11" t="n">
        <v>15</v>
      </c>
      <c r="L231" s="23"/>
      <c r="M231" s="24" t="b">
        <f aca="false">FALSE()</f>
        <v>0</v>
      </c>
      <c r="N231" s="11"/>
      <c r="O231" s="11" t="str">
        <f aca="false">IF(K231&lt;=StockP33,"Low",IF(K231&lt;=StockP67,"Moderate","High"))</f>
        <v>Low</v>
      </c>
      <c r="P231" s="11" t="str">
        <f aca="false">IF(H231=0,"Low",IF(H231&lt;=MarkdownP75,"Moderate","High"))</f>
        <v>Low</v>
      </c>
      <c r="Q231" s="11" t="str">
        <f aca="false">IF(ISBLANK(L231),"Unknown",IF(L231&gt;=4,"Good",IF(L231&lt;=2,"Poor","Neutral")))</f>
        <v>Unknown</v>
      </c>
      <c r="R231" s="11" t="str">
        <f aca="false">IF(AND(O231="Low",P231="Low",Q231="Good"),"BUY / PRIORITIZE",IF(AND(O231="High",P231="High",OR(Q231="Poor",M231=TRUE())),"HOLD / REVIEW","MONITOR"))</f>
        <v>MONITOR</v>
      </c>
      <c r="S231" s="11" t="n">
        <f aca="false">K231+(ROW()/10000000)</f>
        <v>15.0000231</v>
      </c>
    </row>
    <row r="232" customFormat="false" ht="15" hidden="false" customHeight="false" outlineLevel="0" collapsed="false">
      <c r="A232" s="11" t="s">
        <v>397</v>
      </c>
      <c r="B232" s="11" t="s">
        <v>29</v>
      </c>
      <c r="C232" s="11" t="s">
        <v>101</v>
      </c>
      <c r="D232" s="11" t="s">
        <v>35</v>
      </c>
      <c r="E232" s="11" t="s">
        <v>91</v>
      </c>
      <c r="F232" s="11" t="s">
        <v>92</v>
      </c>
      <c r="G232" s="21" t="n">
        <v>109.76</v>
      </c>
      <c r="H232" s="19" t="n">
        <v>0</v>
      </c>
      <c r="I232" s="21" t="n">
        <v>109.76</v>
      </c>
      <c r="J232" s="22" t="s">
        <v>80</v>
      </c>
      <c r="K232" s="11" t="n">
        <v>16</v>
      </c>
      <c r="L232" s="23" t="n">
        <v>4.3</v>
      </c>
      <c r="M232" s="24" t="b">
        <f aca="false">FALSE()</f>
        <v>0</v>
      </c>
      <c r="N232" s="11"/>
      <c r="O232" s="11" t="str">
        <f aca="false">IF(K232&lt;=StockP33,"Low",IF(K232&lt;=StockP67,"Moderate","High"))</f>
        <v>Low</v>
      </c>
      <c r="P232" s="11" t="str">
        <f aca="false">IF(H232=0,"Low",IF(H232&lt;=MarkdownP75,"Moderate","High"))</f>
        <v>Low</v>
      </c>
      <c r="Q232" s="11" t="str">
        <f aca="false">IF(ISBLANK(L232),"Unknown",IF(L232&gt;=4,"Good",IF(L232&lt;=2,"Poor","Neutral")))</f>
        <v>Good</v>
      </c>
      <c r="R232" s="11" t="str">
        <f aca="false">IF(AND(O232="Low",P232="Low",Q232="Good"),"BUY / PRIORITIZE",IF(AND(O232="High",P232="High",OR(Q232="Poor",M232=TRUE())),"HOLD / REVIEW","MONITOR"))</f>
        <v>BUY / PRIORITIZE</v>
      </c>
      <c r="S232" s="11" t="n">
        <f aca="false">K232+(ROW()/10000000)</f>
        <v>16.0000232</v>
      </c>
    </row>
    <row r="233" customFormat="false" ht="15" hidden="false" customHeight="false" outlineLevel="0" collapsed="false">
      <c r="A233" s="11" t="s">
        <v>398</v>
      </c>
      <c r="B233" s="11" t="s">
        <v>8</v>
      </c>
      <c r="C233" s="11" t="s">
        <v>95</v>
      </c>
      <c r="D233" s="11" t="s">
        <v>35</v>
      </c>
      <c r="E233" s="11"/>
      <c r="F233" s="11" t="s">
        <v>74</v>
      </c>
      <c r="G233" s="21" t="n">
        <v>76.8</v>
      </c>
      <c r="H233" s="19" t="n">
        <v>43.3</v>
      </c>
      <c r="I233" s="21" t="n">
        <v>43.55</v>
      </c>
      <c r="J233" s="22" t="s">
        <v>80</v>
      </c>
      <c r="K233" s="11" t="n">
        <v>24</v>
      </c>
      <c r="L233" s="23"/>
      <c r="M233" s="24" t="b">
        <f aca="false">FALSE()</f>
        <v>0</v>
      </c>
      <c r="N233" s="11"/>
      <c r="O233" s="11" t="str">
        <f aca="false">IF(K233&lt;=StockP33,"Low",IF(K233&lt;=StockP67,"Moderate","High"))</f>
        <v>Moderate</v>
      </c>
      <c r="P233" s="11" t="str">
        <f aca="false">IF(H233=0,"Low",IF(H233&lt;=MarkdownP75,"Moderate","High"))</f>
        <v>High</v>
      </c>
      <c r="Q233" s="11" t="str">
        <f aca="false">IF(ISBLANK(L233),"Unknown",IF(L233&gt;=4,"Good",IF(L233&lt;=2,"Poor","Neutral")))</f>
        <v>Unknown</v>
      </c>
      <c r="R233" s="11" t="str">
        <f aca="false">IF(AND(O233="Low",P233="Low",Q233="Good"),"BUY / PRIORITIZE",IF(AND(O233="High",P233="High",OR(Q233="Poor",M233=TRUE())),"HOLD / REVIEW","MONITOR"))</f>
        <v>MONITOR</v>
      </c>
      <c r="S233" s="11" t="n">
        <f aca="false">K233+(ROW()/10000000)</f>
        <v>24.0000233</v>
      </c>
    </row>
    <row r="234" customFormat="false" ht="15" hidden="false" customHeight="false" outlineLevel="0" collapsed="false">
      <c r="A234" s="11" t="s">
        <v>399</v>
      </c>
      <c r="B234" s="11" t="s">
        <v>27</v>
      </c>
      <c r="C234" s="11" t="s">
        <v>130</v>
      </c>
      <c r="D234" s="11" t="s">
        <v>37</v>
      </c>
      <c r="E234" s="11"/>
      <c r="F234" s="11" t="s">
        <v>82</v>
      </c>
      <c r="G234" s="21" t="n">
        <v>56.34</v>
      </c>
      <c r="H234" s="19" t="n">
        <v>22.4</v>
      </c>
      <c r="I234" s="21" t="n">
        <v>43.72</v>
      </c>
      <c r="J234" s="22" t="s">
        <v>80</v>
      </c>
      <c r="K234" s="11" t="n">
        <v>37</v>
      </c>
      <c r="L234" s="23" t="n">
        <v>2.5</v>
      </c>
      <c r="M234" s="24" t="b">
        <f aca="false">TRUE()</f>
        <v>1</v>
      </c>
      <c r="N234" s="11" t="s">
        <v>191</v>
      </c>
      <c r="O234" s="11" t="str">
        <f aca="false">IF(K234&lt;=StockP33,"Low",IF(K234&lt;=StockP67,"Moderate","High"))</f>
        <v>High</v>
      </c>
      <c r="P234" s="11" t="str">
        <f aca="false">IF(H234=0,"Low",IF(H234&lt;=MarkdownP75,"Moderate","High"))</f>
        <v>Moderate</v>
      </c>
      <c r="Q234" s="11" t="str">
        <f aca="false">IF(ISBLANK(L234),"Unknown",IF(L234&gt;=4,"Good",IF(L234&lt;=2,"Poor","Neutral")))</f>
        <v>Neutral</v>
      </c>
      <c r="R234" s="11" t="str">
        <f aca="false">IF(AND(O234="Low",P234="Low",Q234="Good"),"BUY / PRIORITIZE",IF(AND(O234="High",P234="High",OR(Q234="Poor",M234=TRUE())),"HOLD / REVIEW","MONITOR"))</f>
        <v>MONITOR</v>
      </c>
      <c r="S234" s="11" t="n">
        <f aca="false">K234+(ROW()/10000000)</f>
        <v>37.0000234</v>
      </c>
    </row>
    <row r="235" customFormat="false" ht="15" hidden="false" customHeight="false" outlineLevel="0" collapsed="false">
      <c r="A235" s="11" t="s">
        <v>400</v>
      </c>
      <c r="B235" s="11" t="s">
        <v>30</v>
      </c>
      <c r="C235" s="11" t="s">
        <v>116</v>
      </c>
      <c r="D235" s="11" t="s">
        <v>36</v>
      </c>
      <c r="E235" s="11"/>
      <c r="F235" s="11" t="s">
        <v>111</v>
      </c>
      <c r="G235" s="21" t="n">
        <v>88.41</v>
      </c>
      <c r="H235" s="19" t="n">
        <v>0</v>
      </c>
      <c r="I235" s="21" t="n">
        <v>88.41</v>
      </c>
      <c r="J235" s="22" t="s">
        <v>80</v>
      </c>
      <c r="K235" s="11" t="n">
        <v>24</v>
      </c>
      <c r="L235" s="23" t="n">
        <v>4.4</v>
      </c>
      <c r="M235" s="24" t="b">
        <f aca="false">FALSE()</f>
        <v>0</v>
      </c>
      <c r="N235" s="11"/>
      <c r="O235" s="11" t="str">
        <f aca="false">IF(K235&lt;=StockP33,"Low",IF(K235&lt;=StockP67,"Moderate","High"))</f>
        <v>Moderate</v>
      </c>
      <c r="P235" s="11" t="str">
        <f aca="false">IF(H235=0,"Low",IF(H235&lt;=MarkdownP75,"Moderate","High"))</f>
        <v>Low</v>
      </c>
      <c r="Q235" s="11" t="str">
        <f aca="false">IF(ISBLANK(L235),"Unknown",IF(L235&gt;=4,"Good",IF(L235&lt;=2,"Poor","Neutral")))</f>
        <v>Good</v>
      </c>
      <c r="R235" s="11" t="str">
        <f aca="false">IF(AND(O235="Low",P235="Low",Q235="Good"),"BUY / PRIORITIZE",IF(AND(O235="High",P235="High",OR(Q235="Poor",M235=TRUE())),"HOLD / REVIEW","MONITOR"))</f>
        <v>MONITOR</v>
      </c>
      <c r="S235" s="11" t="n">
        <f aca="false">K235+(ROW()/10000000)</f>
        <v>24.0000235</v>
      </c>
    </row>
    <row r="236" customFormat="false" ht="15" hidden="false" customHeight="false" outlineLevel="0" collapsed="false">
      <c r="A236" s="11" t="s">
        <v>401</v>
      </c>
      <c r="B236" s="11" t="s">
        <v>30</v>
      </c>
      <c r="C236" s="11" t="s">
        <v>116</v>
      </c>
      <c r="D236" s="11" t="s">
        <v>34</v>
      </c>
      <c r="E236" s="11" t="s">
        <v>91</v>
      </c>
      <c r="F236" s="11" t="s">
        <v>82</v>
      </c>
      <c r="G236" s="21" t="n">
        <v>25.96</v>
      </c>
      <c r="H236" s="19" t="n">
        <v>0</v>
      </c>
      <c r="I236" s="21" t="n">
        <v>25.96</v>
      </c>
      <c r="J236" s="22" t="s">
        <v>345</v>
      </c>
      <c r="K236" s="11" t="n">
        <v>2</v>
      </c>
      <c r="L236" s="23" t="n">
        <v>1.4</v>
      </c>
      <c r="M236" s="24" t="b">
        <f aca="false">FALSE()</f>
        <v>0</v>
      </c>
      <c r="N236" s="11"/>
      <c r="O236" s="11" t="str">
        <f aca="false">IF(K236&lt;=StockP33,"Low",IF(K236&lt;=StockP67,"Moderate","High"))</f>
        <v>Low</v>
      </c>
      <c r="P236" s="11" t="str">
        <f aca="false">IF(H236=0,"Low",IF(H236&lt;=MarkdownP75,"Moderate","High"))</f>
        <v>Low</v>
      </c>
      <c r="Q236" s="11" t="str">
        <f aca="false">IF(ISBLANK(L236),"Unknown",IF(L236&gt;=4,"Good",IF(L236&lt;=2,"Poor","Neutral")))</f>
        <v>Poor</v>
      </c>
      <c r="R236" s="11" t="str">
        <f aca="false">IF(AND(O236="Low",P236="Low",Q236="Good"),"BUY / PRIORITIZE",IF(AND(O236="High",P236="High",OR(Q236="Poor",M236=TRUE())),"HOLD / REVIEW","MONITOR"))</f>
        <v>MONITOR</v>
      </c>
      <c r="S236" s="11" t="n">
        <f aca="false">K236+(ROW()/10000000)</f>
        <v>2.0000236</v>
      </c>
    </row>
    <row r="237" customFormat="false" ht="15" hidden="false" customHeight="false" outlineLevel="0" collapsed="false">
      <c r="A237" s="11" t="s">
        <v>402</v>
      </c>
      <c r="B237" s="11" t="s">
        <v>26</v>
      </c>
      <c r="C237" s="11" t="s">
        <v>72</v>
      </c>
      <c r="D237" s="11" t="s">
        <v>34</v>
      </c>
      <c r="E237" s="11" t="s">
        <v>102</v>
      </c>
      <c r="F237" s="11" t="s">
        <v>74</v>
      </c>
      <c r="G237" s="21" t="n">
        <v>60.25</v>
      </c>
      <c r="H237" s="19" t="n">
        <v>0</v>
      </c>
      <c r="I237" s="21" t="n">
        <v>60.25</v>
      </c>
      <c r="J237" s="22" t="s">
        <v>403</v>
      </c>
      <c r="K237" s="11" t="n">
        <v>25</v>
      </c>
      <c r="L237" s="23" t="n">
        <v>4.1</v>
      </c>
      <c r="M237" s="24" t="b">
        <f aca="false">FALSE()</f>
        <v>0</v>
      </c>
      <c r="N237" s="11"/>
      <c r="O237" s="11" t="str">
        <f aca="false">IF(K237&lt;=StockP33,"Low",IF(K237&lt;=StockP67,"Moderate","High"))</f>
        <v>Moderate</v>
      </c>
      <c r="P237" s="11" t="str">
        <f aca="false">IF(H237=0,"Low",IF(H237&lt;=MarkdownP75,"Moderate","High"))</f>
        <v>Low</v>
      </c>
      <c r="Q237" s="11" t="str">
        <f aca="false">IF(ISBLANK(L237),"Unknown",IF(L237&gt;=4,"Good",IF(L237&lt;=2,"Poor","Neutral")))</f>
        <v>Good</v>
      </c>
      <c r="R237" s="11" t="str">
        <f aca="false">IF(AND(O237="Low",P237="Low",Q237="Good"),"BUY / PRIORITIZE",IF(AND(O237="High",P237="High",OR(Q237="Poor",M237=TRUE())),"HOLD / REVIEW","MONITOR"))</f>
        <v>MONITOR</v>
      </c>
      <c r="S237" s="11" t="n">
        <f aca="false">K237+(ROW()/10000000)</f>
        <v>25.0000237</v>
      </c>
    </row>
    <row r="238" customFormat="false" ht="15" hidden="false" customHeight="false" outlineLevel="0" collapsed="false">
      <c r="A238" s="11" t="s">
        <v>404</v>
      </c>
      <c r="B238" s="11" t="s">
        <v>8</v>
      </c>
      <c r="C238" s="11" t="s">
        <v>101</v>
      </c>
      <c r="D238" s="11" t="s">
        <v>36</v>
      </c>
      <c r="E238" s="11"/>
      <c r="F238" s="11" t="s">
        <v>74</v>
      </c>
      <c r="G238" s="21" t="n">
        <v>52.33</v>
      </c>
      <c r="H238" s="19" t="n">
        <v>19.1</v>
      </c>
      <c r="I238" s="21" t="n">
        <v>42.33</v>
      </c>
      <c r="J238" s="22" t="s">
        <v>80</v>
      </c>
      <c r="K238" s="11" t="n">
        <v>4</v>
      </c>
      <c r="L238" s="23"/>
      <c r="M238" s="24" t="b">
        <f aca="false">FALSE()</f>
        <v>0</v>
      </c>
      <c r="N238" s="11"/>
      <c r="O238" s="11" t="str">
        <f aca="false">IF(K238&lt;=StockP33,"Low",IF(K238&lt;=StockP67,"Moderate","High"))</f>
        <v>Low</v>
      </c>
      <c r="P238" s="11" t="str">
        <f aca="false">IF(H238=0,"Low",IF(H238&lt;=MarkdownP75,"Moderate","High"))</f>
        <v>Moderate</v>
      </c>
      <c r="Q238" s="11" t="str">
        <f aca="false">IF(ISBLANK(L238),"Unknown",IF(L238&gt;=4,"Good",IF(L238&lt;=2,"Poor","Neutral")))</f>
        <v>Unknown</v>
      </c>
      <c r="R238" s="11" t="str">
        <f aca="false">IF(AND(O238="Low",P238="Low",Q238="Good"),"BUY / PRIORITIZE",IF(AND(O238="High",P238="High",OR(Q238="Poor",M238=TRUE())),"HOLD / REVIEW","MONITOR"))</f>
        <v>MONITOR</v>
      </c>
      <c r="S238" s="11" t="n">
        <f aca="false">K238+(ROW()/10000000)</f>
        <v>4.0000238</v>
      </c>
    </row>
    <row r="239" customFormat="false" ht="15" hidden="false" customHeight="false" outlineLevel="0" collapsed="false">
      <c r="A239" s="11" t="s">
        <v>405</v>
      </c>
      <c r="B239" s="11" t="s">
        <v>8</v>
      </c>
      <c r="C239" s="11" t="s">
        <v>95</v>
      </c>
      <c r="D239" s="11" t="s">
        <v>36</v>
      </c>
      <c r="E239" s="11"/>
      <c r="F239" s="11" t="s">
        <v>88</v>
      </c>
      <c r="G239" s="21" t="n">
        <v>67.61</v>
      </c>
      <c r="H239" s="19" t="n">
        <v>0</v>
      </c>
      <c r="I239" s="21" t="n">
        <v>67.61</v>
      </c>
      <c r="J239" s="22" t="s">
        <v>80</v>
      </c>
      <c r="K239" s="11" t="n">
        <v>14</v>
      </c>
      <c r="L239" s="23" t="n">
        <v>1.8</v>
      </c>
      <c r="M239" s="24" t="b">
        <f aca="false">FALSE()</f>
        <v>0</v>
      </c>
      <c r="N239" s="11"/>
      <c r="O239" s="11" t="str">
        <f aca="false">IF(K239&lt;=StockP33,"Low",IF(K239&lt;=StockP67,"Moderate","High"))</f>
        <v>Low</v>
      </c>
      <c r="P239" s="11" t="str">
        <f aca="false">IF(H239=0,"Low",IF(H239&lt;=MarkdownP75,"Moderate","High"))</f>
        <v>Low</v>
      </c>
      <c r="Q239" s="11" t="str">
        <f aca="false">IF(ISBLANK(L239),"Unknown",IF(L239&gt;=4,"Good",IF(L239&lt;=2,"Poor","Neutral")))</f>
        <v>Poor</v>
      </c>
      <c r="R239" s="11" t="str">
        <f aca="false">IF(AND(O239="Low",P239="Low",Q239="Good"),"BUY / PRIORITIZE",IF(AND(O239="High",P239="High",OR(Q239="Poor",M239=TRUE())),"HOLD / REVIEW","MONITOR"))</f>
        <v>MONITOR</v>
      </c>
      <c r="S239" s="11" t="n">
        <f aca="false">K239+(ROW()/10000000)</f>
        <v>14.0000239</v>
      </c>
    </row>
    <row r="240" customFormat="false" ht="15" hidden="false" customHeight="false" outlineLevel="0" collapsed="false">
      <c r="A240" s="11" t="s">
        <v>406</v>
      </c>
      <c r="B240" s="11" t="s">
        <v>29</v>
      </c>
      <c r="C240" s="11" t="s">
        <v>130</v>
      </c>
      <c r="D240" s="11" t="s">
        <v>34</v>
      </c>
      <c r="E240" s="11" t="s">
        <v>78</v>
      </c>
      <c r="F240" s="11" t="s">
        <v>124</v>
      </c>
      <c r="G240" s="21" t="n">
        <v>136</v>
      </c>
      <c r="H240" s="19" t="n">
        <v>0</v>
      </c>
      <c r="I240" s="21" t="n">
        <v>136</v>
      </c>
      <c r="J240" s="22" t="s">
        <v>407</v>
      </c>
      <c r="K240" s="11" t="n">
        <v>46</v>
      </c>
      <c r="L240" s="23" t="n">
        <v>4.5</v>
      </c>
      <c r="M240" s="24" t="b">
        <f aca="false">FALSE()</f>
        <v>0</v>
      </c>
      <c r="N240" s="11"/>
      <c r="O240" s="11" t="str">
        <f aca="false">IF(K240&lt;=StockP33,"Low",IF(K240&lt;=StockP67,"Moderate","High"))</f>
        <v>High</v>
      </c>
      <c r="P240" s="11" t="str">
        <f aca="false">IF(H240=0,"Low",IF(H240&lt;=MarkdownP75,"Moderate","High"))</f>
        <v>Low</v>
      </c>
      <c r="Q240" s="11" t="str">
        <f aca="false">IF(ISBLANK(L240),"Unknown",IF(L240&gt;=4,"Good",IF(L240&lt;=2,"Poor","Neutral")))</f>
        <v>Good</v>
      </c>
      <c r="R240" s="11" t="str">
        <f aca="false">IF(AND(O240="Low",P240="Low",Q240="Good"),"BUY / PRIORITIZE",IF(AND(O240="High",P240="High",OR(Q240="Poor",M240=TRUE())),"HOLD / REVIEW","MONITOR"))</f>
        <v>MONITOR</v>
      </c>
      <c r="S240" s="11" t="n">
        <f aca="false">K240+(ROW()/10000000)</f>
        <v>46.000024</v>
      </c>
    </row>
    <row r="241" customFormat="false" ht="15" hidden="false" customHeight="false" outlineLevel="0" collapsed="false">
      <c r="A241" s="11" t="s">
        <v>408</v>
      </c>
      <c r="B241" s="11" t="s">
        <v>29</v>
      </c>
      <c r="C241" s="11" t="s">
        <v>72</v>
      </c>
      <c r="D241" s="11" t="s">
        <v>36</v>
      </c>
      <c r="E241" s="11"/>
      <c r="F241" s="11" t="s">
        <v>124</v>
      </c>
      <c r="G241" s="21" t="n">
        <v>74.48</v>
      </c>
      <c r="H241" s="19" t="n">
        <v>0</v>
      </c>
      <c r="I241" s="21" t="n">
        <v>74.48</v>
      </c>
      <c r="J241" s="22" t="s">
        <v>80</v>
      </c>
      <c r="K241" s="11" t="n">
        <v>24</v>
      </c>
      <c r="L241" s="23" t="n">
        <v>3.7</v>
      </c>
      <c r="M241" s="24" t="b">
        <f aca="false">FALSE()</f>
        <v>0</v>
      </c>
      <c r="N241" s="11"/>
      <c r="O241" s="11" t="str">
        <f aca="false">IF(K241&lt;=StockP33,"Low",IF(K241&lt;=StockP67,"Moderate","High"))</f>
        <v>Moderate</v>
      </c>
      <c r="P241" s="11" t="str">
        <f aca="false">IF(H241=0,"Low",IF(H241&lt;=MarkdownP75,"Moderate","High"))</f>
        <v>Low</v>
      </c>
      <c r="Q241" s="11" t="str">
        <f aca="false">IF(ISBLANK(L241),"Unknown",IF(L241&gt;=4,"Good",IF(L241&lt;=2,"Poor","Neutral")))</f>
        <v>Neutral</v>
      </c>
      <c r="R241" s="11" t="str">
        <f aca="false">IF(AND(O241="Low",P241="Low",Q241="Good"),"BUY / PRIORITIZE",IF(AND(O241="High",P241="High",OR(Q241="Poor",M241=TRUE())),"HOLD / REVIEW","MONITOR"))</f>
        <v>MONITOR</v>
      </c>
      <c r="S241" s="11" t="n">
        <f aca="false">K241+(ROW()/10000000)</f>
        <v>24.0000241</v>
      </c>
    </row>
    <row r="242" customFormat="false" ht="15" hidden="false" customHeight="false" outlineLevel="0" collapsed="false">
      <c r="A242" s="11" t="s">
        <v>409</v>
      </c>
      <c r="B242" s="11" t="s">
        <v>27</v>
      </c>
      <c r="C242" s="11" t="s">
        <v>130</v>
      </c>
      <c r="D242" s="11" t="s">
        <v>36</v>
      </c>
      <c r="E242" s="11" t="s">
        <v>110</v>
      </c>
      <c r="F242" s="11" t="s">
        <v>79</v>
      </c>
      <c r="G242" s="21" t="n">
        <v>101.39</v>
      </c>
      <c r="H242" s="19" t="n">
        <v>0</v>
      </c>
      <c r="I242" s="21" t="n">
        <v>101.39</v>
      </c>
      <c r="J242" s="22" t="s">
        <v>80</v>
      </c>
      <c r="K242" s="11" t="n">
        <v>33</v>
      </c>
      <c r="L242" s="23" t="n">
        <v>2.4</v>
      </c>
      <c r="M242" s="24" t="b">
        <f aca="false">TRUE()</f>
        <v>1</v>
      </c>
      <c r="N242" s="11" t="s">
        <v>128</v>
      </c>
      <c r="O242" s="11" t="str">
        <f aca="false">IF(K242&lt;=StockP33,"Low",IF(K242&lt;=StockP67,"Moderate","High"))</f>
        <v>Moderate</v>
      </c>
      <c r="P242" s="11" t="str">
        <f aca="false">IF(H242=0,"Low",IF(H242&lt;=MarkdownP75,"Moderate","High"))</f>
        <v>Low</v>
      </c>
      <c r="Q242" s="11" t="str">
        <f aca="false">IF(ISBLANK(L242),"Unknown",IF(L242&gt;=4,"Good",IF(L242&lt;=2,"Poor","Neutral")))</f>
        <v>Neutral</v>
      </c>
      <c r="R242" s="11" t="str">
        <f aca="false">IF(AND(O242="Low",P242="Low",Q242="Good"),"BUY / PRIORITIZE",IF(AND(O242="High",P242="High",OR(Q242="Poor",M242=TRUE())),"HOLD / REVIEW","MONITOR"))</f>
        <v>MONITOR</v>
      </c>
      <c r="S242" s="11" t="n">
        <f aca="false">K242+(ROW()/10000000)</f>
        <v>33.0000242</v>
      </c>
    </row>
    <row r="243" customFormat="false" ht="15" hidden="false" customHeight="false" outlineLevel="0" collapsed="false">
      <c r="A243" s="11" t="s">
        <v>410</v>
      </c>
      <c r="B243" s="11" t="s">
        <v>27</v>
      </c>
      <c r="C243" s="11" t="s">
        <v>130</v>
      </c>
      <c r="D243" s="11" t="s">
        <v>36</v>
      </c>
      <c r="E243" s="11" t="s">
        <v>102</v>
      </c>
      <c r="F243" s="11" t="s">
        <v>98</v>
      </c>
      <c r="G243" s="21" t="n">
        <v>169.68</v>
      </c>
      <c r="H243" s="19" t="n">
        <v>41.7</v>
      </c>
      <c r="I243" s="21" t="n">
        <v>98.92</v>
      </c>
      <c r="J243" s="22" t="s">
        <v>80</v>
      </c>
      <c r="K243" s="11" t="n">
        <v>43</v>
      </c>
      <c r="L243" s="23" t="n">
        <v>4.6</v>
      </c>
      <c r="M243" s="24" t="b">
        <f aca="false">FALSE()</f>
        <v>0</v>
      </c>
      <c r="N243" s="11"/>
      <c r="O243" s="11" t="str">
        <f aca="false">IF(K243&lt;=StockP33,"Low",IF(K243&lt;=StockP67,"Moderate","High"))</f>
        <v>High</v>
      </c>
      <c r="P243" s="11" t="str">
        <f aca="false">IF(H243=0,"Low",IF(H243&lt;=MarkdownP75,"Moderate","High"))</f>
        <v>High</v>
      </c>
      <c r="Q243" s="11" t="str">
        <f aca="false">IF(ISBLANK(L243),"Unknown",IF(L243&gt;=4,"Good",IF(L243&lt;=2,"Poor","Neutral")))</f>
        <v>Good</v>
      </c>
      <c r="R243" s="11" t="str">
        <f aca="false">IF(AND(O243="Low",P243="Low",Q243="Good"),"BUY / PRIORITIZE",IF(AND(O243="High",P243="High",OR(Q243="Poor",M243=TRUE())),"HOLD / REVIEW","MONITOR"))</f>
        <v>MONITOR</v>
      </c>
      <c r="S243" s="11" t="n">
        <f aca="false">K243+(ROW()/10000000)</f>
        <v>43.0000243</v>
      </c>
    </row>
    <row r="244" customFormat="false" ht="15" hidden="false" customHeight="false" outlineLevel="0" collapsed="false">
      <c r="A244" s="11" t="s">
        <v>411</v>
      </c>
      <c r="B244" s="11" t="s">
        <v>8</v>
      </c>
      <c r="C244" s="11" t="s">
        <v>130</v>
      </c>
      <c r="D244" s="11" t="s">
        <v>37</v>
      </c>
      <c r="E244" s="11"/>
      <c r="F244" s="11" t="s">
        <v>120</v>
      </c>
      <c r="G244" s="21" t="n">
        <v>52.45</v>
      </c>
      <c r="H244" s="19" t="n">
        <v>0</v>
      </c>
      <c r="I244" s="21" t="n">
        <v>52.45</v>
      </c>
      <c r="J244" s="22" t="s">
        <v>80</v>
      </c>
      <c r="K244" s="11" t="n">
        <v>34</v>
      </c>
      <c r="L244" s="23" t="n">
        <v>2.1</v>
      </c>
      <c r="M244" s="24" t="b">
        <f aca="false">FALSE()</f>
        <v>0</v>
      </c>
      <c r="N244" s="11"/>
      <c r="O244" s="11" t="str">
        <f aca="false">IF(K244&lt;=StockP33,"Low",IF(K244&lt;=StockP67,"Moderate","High"))</f>
        <v>High</v>
      </c>
      <c r="P244" s="11" t="str">
        <f aca="false">IF(H244=0,"Low",IF(H244&lt;=MarkdownP75,"Moderate","High"))</f>
        <v>Low</v>
      </c>
      <c r="Q244" s="11" t="str">
        <f aca="false">IF(ISBLANK(L244),"Unknown",IF(L244&gt;=4,"Good",IF(L244&lt;=2,"Poor","Neutral")))</f>
        <v>Neutral</v>
      </c>
      <c r="R244" s="11" t="str">
        <f aca="false">IF(AND(O244="Low",P244="Low",Q244="Good"),"BUY / PRIORITIZE",IF(AND(O244="High",P244="High",OR(Q244="Poor",M244=TRUE())),"HOLD / REVIEW","MONITOR"))</f>
        <v>MONITOR</v>
      </c>
      <c r="S244" s="11" t="n">
        <f aca="false">K244+(ROW()/10000000)</f>
        <v>34.0000244</v>
      </c>
    </row>
    <row r="245" customFormat="false" ht="15" hidden="false" customHeight="false" outlineLevel="0" collapsed="false">
      <c r="A245" s="11" t="s">
        <v>412</v>
      </c>
      <c r="B245" s="11" t="s">
        <v>29</v>
      </c>
      <c r="C245" s="11" t="s">
        <v>77</v>
      </c>
      <c r="D245" s="11" t="s">
        <v>35</v>
      </c>
      <c r="E245" s="11" t="s">
        <v>102</v>
      </c>
      <c r="F245" s="11" t="s">
        <v>79</v>
      </c>
      <c r="G245" s="21" t="n">
        <v>153.85</v>
      </c>
      <c r="H245" s="19" t="n">
        <v>47.6</v>
      </c>
      <c r="I245" s="21" t="n">
        <v>80.62</v>
      </c>
      <c r="J245" s="22" t="s">
        <v>80</v>
      </c>
      <c r="K245" s="11" t="n">
        <v>12</v>
      </c>
      <c r="L245" s="23" t="n">
        <v>3.1</v>
      </c>
      <c r="M245" s="24" t="b">
        <f aca="false">FALSE()</f>
        <v>0</v>
      </c>
      <c r="N245" s="11"/>
      <c r="O245" s="11" t="str">
        <f aca="false">IF(K245&lt;=StockP33,"Low",IF(K245&lt;=StockP67,"Moderate","High"))</f>
        <v>Low</v>
      </c>
      <c r="P245" s="11" t="str">
        <f aca="false">IF(H245=0,"Low",IF(H245&lt;=MarkdownP75,"Moderate","High"))</f>
        <v>High</v>
      </c>
      <c r="Q245" s="11" t="str">
        <f aca="false">IF(ISBLANK(L245),"Unknown",IF(L245&gt;=4,"Good",IF(L245&lt;=2,"Poor","Neutral")))</f>
        <v>Neutral</v>
      </c>
      <c r="R245" s="11" t="str">
        <f aca="false">IF(AND(O245="Low",P245="Low",Q245="Good"),"BUY / PRIORITIZE",IF(AND(O245="High",P245="High",OR(Q245="Poor",M245=TRUE())),"HOLD / REVIEW","MONITOR"))</f>
        <v>MONITOR</v>
      </c>
      <c r="S245" s="11" t="n">
        <f aca="false">K245+(ROW()/10000000)</f>
        <v>12.0000245</v>
      </c>
    </row>
    <row r="246" customFormat="false" ht="15" hidden="false" customHeight="false" outlineLevel="0" collapsed="false">
      <c r="A246" s="11" t="s">
        <v>413</v>
      </c>
      <c r="B246" s="11" t="s">
        <v>26</v>
      </c>
      <c r="C246" s="11" t="s">
        <v>95</v>
      </c>
      <c r="D246" s="11" t="s">
        <v>36</v>
      </c>
      <c r="E246" s="11" t="s">
        <v>113</v>
      </c>
      <c r="F246" s="11" t="s">
        <v>124</v>
      </c>
      <c r="G246" s="21" t="n">
        <v>32.7</v>
      </c>
      <c r="H246" s="19" t="n">
        <v>50.5</v>
      </c>
      <c r="I246" s="21" t="n">
        <v>16.19</v>
      </c>
      <c r="J246" s="22" t="s">
        <v>80</v>
      </c>
      <c r="K246" s="11" t="n">
        <v>46</v>
      </c>
      <c r="L246" s="23" t="n">
        <v>1.3</v>
      </c>
      <c r="M246" s="24" t="b">
        <f aca="false">FALSE()</f>
        <v>0</v>
      </c>
      <c r="N246" s="11"/>
      <c r="O246" s="11" t="str">
        <f aca="false">IF(K246&lt;=StockP33,"Low",IF(K246&lt;=StockP67,"Moderate","High"))</f>
        <v>High</v>
      </c>
      <c r="P246" s="11" t="str">
        <f aca="false">IF(H246=0,"Low",IF(H246&lt;=MarkdownP75,"Moderate","High"))</f>
        <v>High</v>
      </c>
      <c r="Q246" s="11" t="str">
        <f aca="false">IF(ISBLANK(L246),"Unknown",IF(L246&gt;=4,"Good",IF(L246&lt;=2,"Poor","Neutral")))</f>
        <v>Poor</v>
      </c>
      <c r="R246" s="11" t="str">
        <f aca="false">IF(AND(O246="Low",P246="Low",Q246="Good"),"BUY / PRIORITIZE",IF(AND(O246="High",P246="High",OR(Q246="Poor",M246=TRUE())),"HOLD / REVIEW","MONITOR"))</f>
        <v>HOLD / REVIEW</v>
      </c>
      <c r="S246" s="11" t="n">
        <f aca="false">K246+(ROW()/10000000)</f>
        <v>46.0000246</v>
      </c>
    </row>
    <row r="247" customFormat="false" ht="15" hidden="false" customHeight="false" outlineLevel="0" collapsed="false">
      <c r="A247" s="11" t="s">
        <v>414</v>
      </c>
      <c r="B247" s="11" t="s">
        <v>28</v>
      </c>
      <c r="C247" s="11" t="s">
        <v>77</v>
      </c>
      <c r="D247" s="11" t="s">
        <v>36</v>
      </c>
      <c r="E247" s="11" t="s">
        <v>78</v>
      </c>
      <c r="F247" s="11" t="s">
        <v>118</v>
      </c>
      <c r="G247" s="21" t="n">
        <v>104.27</v>
      </c>
      <c r="H247" s="19" t="n">
        <v>54.6</v>
      </c>
      <c r="I247" s="21" t="n">
        <v>47.34</v>
      </c>
      <c r="J247" s="22" t="s">
        <v>80</v>
      </c>
      <c r="K247" s="11" t="n">
        <v>42</v>
      </c>
      <c r="L247" s="23" t="n">
        <v>4.2</v>
      </c>
      <c r="M247" s="24" t="b">
        <f aca="false">FALSE()</f>
        <v>0</v>
      </c>
      <c r="N247" s="11"/>
      <c r="O247" s="11" t="str">
        <f aca="false">IF(K247&lt;=StockP33,"Low",IF(K247&lt;=StockP67,"Moderate","High"))</f>
        <v>High</v>
      </c>
      <c r="P247" s="11" t="str">
        <f aca="false">IF(H247=0,"Low",IF(H247&lt;=MarkdownP75,"Moderate","High"))</f>
        <v>High</v>
      </c>
      <c r="Q247" s="11" t="str">
        <f aca="false">IF(ISBLANK(L247),"Unknown",IF(L247&gt;=4,"Good",IF(L247&lt;=2,"Poor","Neutral")))</f>
        <v>Good</v>
      </c>
      <c r="R247" s="11" t="str">
        <f aca="false">IF(AND(O247="Low",P247="Low",Q247="Good"),"BUY / PRIORITIZE",IF(AND(O247="High",P247="High",OR(Q247="Poor",M247=TRUE())),"HOLD / REVIEW","MONITOR"))</f>
        <v>MONITOR</v>
      </c>
      <c r="S247" s="11" t="n">
        <f aca="false">K247+(ROW()/10000000)</f>
        <v>42.0000247</v>
      </c>
    </row>
    <row r="248" customFormat="false" ht="15" hidden="false" customHeight="false" outlineLevel="0" collapsed="false">
      <c r="A248" s="11" t="s">
        <v>415</v>
      </c>
      <c r="B248" s="11" t="s">
        <v>27</v>
      </c>
      <c r="C248" s="11" t="s">
        <v>130</v>
      </c>
      <c r="D248" s="11" t="s">
        <v>35</v>
      </c>
      <c r="E248" s="11" t="s">
        <v>113</v>
      </c>
      <c r="F248" s="11" t="s">
        <v>92</v>
      </c>
      <c r="G248" s="21" t="n">
        <v>80.04</v>
      </c>
      <c r="H248" s="19" t="n">
        <v>50.9</v>
      </c>
      <c r="I248" s="21" t="n">
        <v>39.3</v>
      </c>
      <c r="J248" s="22" t="s">
        <v>80</v>
      </c>
      <c r="K248" s="11" t="n">
        <v>45</v>
      </c>
      <c r="L248" s="23"/>
      <c r="M248" s="24" t="b">
        <f aca="false">FALSE()</f>
        <v>0</v>
      </c>
      <c r="N248" s="11"/>
      <c r="O248" s="11" t="str">
        <f aca="false">IF(K248&lt;=StockP33,"Low",IF(K248&lt;=StockP67,"Moderate","High"))</f>
        <v>High</v>
      </c>
      <c r="P248" s="11" t="str">
        <f aca="false">IF(H248=0,"Low",IF(H248&lt;=MarkdownP75,"Moderate","High"))</f>
        <v>High</v>
      </c>
      <c r="Q248" s="11" t="str">
        <f aca="false">IF(ISBLANK(L248),"Unknown",IF(L248&gt;=4,"Good",IF(L248&lt;=2,"Poor","Neutral")))</f>
        <v>Unknown</v>
      </c>
      <c r="R248" s="11" t="str">
        <f aca="false">IF(AND(O248="Low",P248="Low",Q248="Good"),"BUY / PRIORITIZE",IF(AND(O248="High",P248="High",OR(Q248="Poor",M248=TRUE())),"HOLD / REVIEW","MONITOR"))</f>
        <v>MONITOR</v>
      </c>
      <c r="S248" s="11" t="n">
        <f aca="false">K248+(ROW()/10000000)</f>
        <v>45.0000248</v>
      </c>
    </row>
    <row r="249" customFormat="false" ht="15" hidden="false" customHeight="false" outlineLevel="0" collapsed="false">
      <c r="A249" s="11" t="s">
        <v>416</v>
      </c>
      <c r="B249" s="11" t="s">
        <v>26</v>
      </c>
      <c r="C249" s="11" t="s">
        <v>86</v>
      </c>
      <c r="D249" s="11" t="s">
        <v>34</v>
      </c>
      <c r="E249" s="11" t="s">
        <v>113</v>
      </c>
      <c r="F249" s="11" t="s">
        <v>82</v>
      </c>
      <c r="G249" s="21" t="n">
        <v>72.07</v>
      </c>
      <c r="H249" s="19" t="n">
        <v>0</v>
      </c>
      <c r="I249" s="21" t="n">
        <v>72.07</v>
      </c>
      <c r="J249" s="22" t="s">
        <v>417</v>
      </c>
      <c r="K249" s="11" t="n">
        <v>20</v>
      </c>
      <c r="L249" s="23"/>
      <c r="M249" s="24" t="b">
        <f aca="false">TRUE()</f>
        <v>1</v>
      </c>
      <c r="N249" s="11" t="s">
        <v>89</v>
      </c>
      <c r="O249" s="11" t="str">
        <f aca="false">IF(K249&lt;=StockP33,"Low",IF(K249&lt;=StockP67,"Moderate","High"))</f>
        <v>Moderate</v>
      </c>
      <c r="P249" s="11" t="str">
        <f aca="false">IF(H249=0,"Low",IF(H249&lt;=MarkdownP75,"Moderate","High"))</f>
        <v>Low</v>
      </c>
      <c r="Q249" s="11" t="str">
        <f aca="false">IF(ISBLANK(L249),"Unknown",IF(L249&gt;=4,"Good",IF(L249&lt;=2,"Poor","Neutral")))</f>
        <v>Unknown</v>
      </c>
      <c r="R249" s="11" t="str">
        <f aca="false">IF(AND(O249="Low",P249="Low",Q249="Good"),"BUY / PRIORITIZE",IF(AND(O249="High",P249="High",OR(Q249="Poor",M249=TRUE())),"HOLD / REVIEW","MONITOR"))</f>
        <v>MONITOR</v>
      </c>
      <c r="S249" s="11" t="n">
        <f aca="false">K249+(ROW()/10000000)</f>
        <v>20.0000249</v>
      </c>
    </row>
    <row r="250" customFormat="false" ht="15" hidden="false" customHeight="false" outlineLevel="0" collapsed="false">
      <c r="A250" s="11" t="s">
        <v>418</v>
      </c>
      <c r="B250" s="11" t="s">
        <v>28</v>
      </c>
      <c r="C250" s="11" t="s">
        <v>72</v>
      </c>
      <c r="D250" s="11" t="s">
        <v>36</v>
      </c>
      <c r="E250" s="11" t="s">
        <v>113</v>
      </c>
      <c r="F250" s="11" t="s">
        <v>98</v>
      </c>
      <c r="G250" s="21" t="n">
        <v>220.99</v>
      </c>
      <c r="H250" s="19" t="n">
        <v>0</v>
      </c>
      <c r="I250" s="21" t="n">
        <v>220.99</v>
      </c>
      <c r="J250" s="22" t="s">
        <v>80</v>
      </c>
      <c r="K250" s="11" t="n">
        <v>42</v>
      </c>
      <c r="L250" s="23" t="n">
        <v>3.6</v>
      </c>
      <c r="M250" s="24" t="b">
        <f aca="false">FALSE()</f>
        <v>0</v>
      </c>
      <c r="N250" s="11"/>
      <c r="O250" s="11" t="str">
        <f aca="false">IF(K250&lt;=StockP33,"Low",IF(K250&lt;=StockP67,"Moderate","High"))</f>
        <v>High</v>
      </c>
      <c r="P250" s="11" t="str">
        <f aca="false">IF(H250=0,"Low",IF(H250&lt;=MarkdownP75,"Moderate","High"))</f>
        <v>Low</v>
      </c>
      <c r="Q250" s="11" t="str">
        <f aca="false">IF(ISBLANK(L250),"Unknown",IF(L250&gt;=4,"Good",IF(L250&lt;=2,"Poor","Neutral")))</f>
        <v>Neutral</v>
      </c>
      <c r="R250" s="11" t="str">
        <f aca="false">IF(AND(O250="Low",P250="Low",Q250="Good"),"BUY / PRIORITIZE",IF(AND(O250="High",P250="High",OR(Q250="Poor",M250=TRUE())),"HOLD / REVIEW","MONITOR"))</f>
        <v>MONITOR</v>
      </c>
      <c r="S250" s="11" t="n">
        <f aca="false">K250+(ROW()/10000000)</f>
        <v>42.000025</v>
      </c>
    </row>
    <row r="251" customFormat="false" ht="15" hidden="false" customHeight="false" outlineLevel="0" collapsed="false">
      <c r="A251" s="11" t="s">
        <v>419</v>
      </c>
      <c r="B251" s="11" t="s">
        <v>28</v>
      </c>
      <c r="C251" s="11" t="s">
        <v>77</v>
      </c>
      <c r="D251" s="11" t="s">
        <v>36</v>
      </c>
      <c r="E251" s="11" t="s">
        <v>110</v>
      </c>
      <c r="F251" s="11" t="s">
        <v>82</v>
      </c>
      <c r="G251" s="21" t="n">
        <v>117.36</v>
      </c>
      <c r="H251" s="19" t="n">
        <v>14.6</v>
      </c>
      <c r="I251" s="21" t="n">
        <v>100.23</v>
      </c>
      <c r="J251" s="22" t="s">
        <v>80</v>
      </c>
      <c r="K251" s="11" t="n">
        <v>33</v>
      </c>
      <c r="L251" s="23"/>
      <c r="M251" s="24" t="b">
        <f aca="false">TRUE()</f>
        <v>1</v>
      </c>
      <c r="N251" s="11" t="s">
        <v>128</v>
      </c>
      <c r="O251" s="11" t="str">
        <f aca="false">IF(K251&lt;=StockP33,"Low",IF(K251&lt;=StockP67,"Moderate","High"))</f>
        <v>Moderate</v>
      </c>
      <c r="P251" s="11" t="str">
        <f aca="false">IF(H251=0,"Low",IF(H251&lt;=MarkdownP75,"Moderate","High"))</f>
        <v>Moderate</v>
      </c>
      <c r="Q251" s="11" t="str">
        <f aca="false">IF(ISBLANK(L251),"Unknown",IF(L251&gt;=4,"Good",IF(L251&lt;=2,"Poor","Neutral")))</f>
        <v>Unknown</v>
      </c>
      <c r="R251" s="11" t="str">
        <f aca="false">IF(AND(O251="Low",P251="Low",Q251="Good"),"BUY / PRIORITIZE",IF(AND(O251="High",P251="High",OR(Q251="Poor",M251=TRUE())),"HOLD / REVIEW","MONITOR"))</f>
        <v>MONITOR</v>
      </c>
      <c r="S251" s="11" t="n">
        <f aca="false">K251+(ROW()/10000000)</f>
        <v>33.0000251</v>
      </c>
    </row>
    <row r="252" customFormat="false" ht="15" hidden="false" customHeight="false" outlineLevel="0" collapsed="false">
      <c r="A252" s="11" t="s">
        <v>420</v>
      </c>
      <c r="B252" s="11" t="s">
        <v>28</v>
      </c>
      <c r="C252" s="11" t="s">
        <v>86</v>
      </c>
      <c r="D252" s="11" t="s">
        <v>34</v>
      </c>
      <c r="E252" s="11" t="s">
        <v>78</v>
      </c>
      <c r="F252" s="11" t="s">
        <v>118</v>
      </c>
      <c r="G252" s="21" t="n">
        <v>198.76</v>
      </c>
      <c r="H252" s="19" t="n">
        <v>48.8</v>
      </c>
      <c r="I252" s="21" t="n">
        <v>101.77</v>
      </c>
      <c r="J252" s="22" t="s">
        <v>421</v>
      </c>
      <c r="K252" s="11" t="n">
        <v>36</v>
      </c>
      <c r="L252" s="23" t="n">
        <v>3</v>
      </c>
      <c r="M252" s="24" t="b">
        <f aca="false">FALSE()</f>
        <v>0</v>
      </c>
      <c r="N252" s="11"/>
      <c r="O252" s="11" t="str">
        <f aca="false">IF(K252&lt;=StockP33,"Low",IF(K252&lt;=StockP67,"Moderate","High"))</f>
        <v>High</v>
      </c>
      <c r="P252" s="11" t="str">
        <f aca="false">IF(H252=0,"Low",IF(H252&lt;=MarkdownP75,"Moderate","High"))</f>
        <v>High</v>
      </c>
      <c r="Q252" s="11" t="str">
        <f aca="false">IF(ISBLANK(L252),"Unknown",IF(L252&gt;=4,"Good",IF(L252&lt;=2,"Poor","Neutral")))</f>
        <v>Neutral</v>
      </c>
      <c r="R252" s="11" t="str">
        <f aca="false">IF(AND(O252="Low",P252="Low",Q252="Good"),"BUY / PRIORITIZE",IF(AND(O252="High",P252="High",OR(Q252="Poor",M252=TRUE())),"HOLD / REVIEW","MONITOR"))</f>
        <v>MONITOR</v>
      </c>
      <c r="S252" s="11" t="n">
        <f aca="false">K252+(ROW()/10000000)</f>
        <v>36.0000252</v>
      </c>
    </row>
    <row r="253" customFormat="false" ht="15" hidden="false" customHeight="false" outlineLevel="0" collapsed="false">
      <c r="A253" s="11" t="s">
        <v>422</v>
      </c>
      <c r="B253" s="11" t="s">
        <v>28</v>
      </c>
      <c r="C253" s="11" t="s">
        <v>101</v>
      </c>
      <c r="D253" s="11" t="s">
        <v>36</v>
      </c>
      <c r="E253" s="11" t="s">
        <v>78</v>
      </c>
      <c r="F253" s="11" t="s">
        <v>82</v>
      </c>
      <c r="G253" s="21" t="n">
        <v>121.03</v>
      </c>
      <c r="H253" s="19" t="n">
        <v>0</v>
      </c>
      <c r="I253" s="21" t="n">
        <v>121.03</v>
      </c>
      <c r="J253" s="22" t="s">
        <v>80</v>
      </c>
      <c r="K253" s="11" t="n">
        <v>14</v>
      </c>
      <c r="L253" s="23" t="n">
        <v>1.6</v>
      </c>
      <c r="M253" s="24" t="b">
        <f aca="false">TRUE()</f>
        <v>1</v>
      </c>
      <c r="N253" s="11" t="s">
        <v>178</v>
      </c>
      <c r="O253" s="11" t="str">
        <f aca="false">IF(K253&lt;=StockP33,"Low",IF(K253&lt;=StockP67,"Moderate","High"))</f>
        <v>Low</v>
      </c>
      <c r="P253" s="11" t="str">
        <f aca="false">IF(H253=0,"Low",IF(H253&lt;=MarkdownP75,"Moderate","High"))</f>
        <v>Low</v>
      </c>
      <c r="Q253" s="11" t="str">
        <f aca="false">IF(ISBLANK(L253),"Unknown",IF(L253&gt;=4,"Good",IF(L253&lt;=2,"Poor","Neutral")))</f>
        <v>Poor</v>
      </c>
      <c r="R253" s="11" t="str">
        <f aca="false">IF(AND(O253="Low",P253="Low",Q253="Good"),"BUY / PRIORITIZE",IF(AND(O253="High",P253="High",OR(Q253="Poor",M253=TRUE())),"HOLD / REVIEW","MONITOR"))</f>
        <v>MONITOR</v>
      </c>
      <c r="S253" s="11" t="n">
        <f aca="false">K253+(ROW()/10000000)</f>
        <v>14.0000253</v>
      </c>
    </row>
    <row r="254" customFormat="false" ht="15" hidden="false" customHeight="false" outlineLevel="0" collapsed="false">
      <c r="A254" s="11" t="s">
        <v>423</v>
      </c>
      <c r="B254" s="11" t="s">
        <v>30</v>
      </c>
      <c r="C254" s="11" t="s">
        <v>101</v>
      </c>
      <c r="D254" s="11" t="s">
        <v>36</v>
      </c>
      <c r="E254" s="11" t="s">
        <v>78</v>
      </c>
      <c r="F254" s="11" t="s">
        <v>88</v>
      </c>
      <c r="G254" s="21" t="n">
        <v>88.62</v>
      </c>
      <c r="H254" s="19" t="n">
        <v>0</v>
      </c>
      <c r="I254" s="21" t="n">
        <v>88.62</v>
      </c>
      <c r="J254" s="22" t="s">
        <v>80</v>
      </c>
      <c r="K254" s="11" t="n">
        <v>48</v>
      </c>
      <c r="L254" s="23" t="n">
        <v>2.4</v>
      </c>
      <c r="M254" s="24" t="b">
        <f aca="false">FALSE()</f>
        <v>0</v>
      </c>
      <c r="N254" s="11"/>
      <c r="O254" s="11" t="str">
        <f aca="false">IF(K254&lt;=StockP33,"Low",IF(K254&lt;=StockP67,"Moderate","High"))</f>
        <v>High</v>
      </c>
      <c r="P254" s="11" t="str">
        <f aca="false">IF(H254=0,"Low",IF(H254&lt;=MarkdownP75,"Moderate","High"))</f>
        <v>Low</v>
      </c>
      <c r="Q254" s="11" t="str">
        <f aca="false">IF(ISBLANK(L254),"Unknown",IF(L254&gt;=4,"Good",IF(L254&lt;=2,"Poor","Neutral")))</f>
        <v>Neutral</v>
      </c>
      <c r="R254" s="11" t="str">
        <f aca="false">IF(AND(O254="Low",P254="Low",Q254="Good"),"BUY / PRIORITIZE",IF(AND(O254="High",P254="High",OR(Q254="Poor",M254=TRUE())),"HOLD / REVIEW","MONITOR"))</f>
        <v>MONITOR</v>
      </c>
      <c r="S254" s="11" t="n">
        <f aca="false">K254+(ROW()/10000000)</f>
        <v>48.0000254</v>
      </c>
    </row>
    <row r="255" customFormat="false" ht="15" hidden="false" customHeight="false" outlineLevel="0" collapsed="false">
      <c r="A255" s="11" t="s">
        <v>424</v>
      </c>
      <c r="B255" s="11" t="s">
        <v>29</v>
      </c>
      <c r="C255" s="11" t="s">
        <v>101</v>
      </c>
      <c r="D255" s="11" t="s">
        <v>35</v>
      </c>
      <c r="E255" s="11" t="s">
        <v>73</v>
      </c>
      <c r="F255" s="11" t="s">
        <v>98</v>
      </c>
      <c r="G255" s="21" t="n">
        <v>88.94</v>
      </c>
      <c r="H255" s="19" t="n">
        <v>0</v>
      </c>
      <c r="I255" s="21" t="n">
        <v>88.94</v>
      </c>
      <c r="J255" s="22" t="s">
        <v>80</v>
      </c>
      <c r="K255" s="11" t="n">
        <v>29</v>
      </c>
      <c r="L255" s="23" t="n">
        <v>3.9</v>
      </c>
      <c r="M255" s="24" t="b">
        <f aca="false">FALSE()</f>
        <v>0</v>
      </c>
      <c r="N255" s="11"/>
      <c r="O255" s="11" t="str">
        <f aca="false">IF(K255&lt;=StockP33,"Low",IF(K255&lt;=StockP67,"Moderate","High"))</f>
        <v>Moderate</v>
      </c>
      <c r="P255" s="11" t="str">
        <f aca="false">IF(H255=0,"Low",IF(H255&lt;=MarkdownP75,"Moderate","High"))</f>
        <v>Low</v>
      </c>
      <c r="Q255" s="11" t="str">
        <f aca="false">IF(ISBLANK(L255),"Unknown",IF(L255&gt;=4,"Good",IF(L255&lt;=2,"Poor","Neutral")))</f>
        <v>Neutral</v>
      </c>
      <c r="R255" s="11" t="str">
        <f aca="false">IF(AND(O255="Low",P255="Low",Q255="Good"),"BUY / PRIORITIZE",IF(AND(O255="High",P255="High",OR(Q255="Poor",M255=TRUE())),"HOLD / REVIEW","MONITOR"))</f>
        <v>MONITOR</v>
      </c>
      <c r="S255" s="11" t="n">
        <f aca="false">K255+(ROW()/10000000)</f>
        <v>29.0000255</v>
      </c>
    </row>
    <row r="256" customFormat="false" ht="15" hidden="false" customHeight="false" outlineLevel="0" collapsed="false">
      <c r="A256" s="11" t="s">
        <v>425</v>
      </c>
      <c r="B256" s="11" t="s">
        <v>26</v>
      </c>
      <c r="C256" s="11" t="s">
        <v>72</v>
      </c>
      <c r="D256" s="11" t="s">
        <v>37</v>
      </c>
      <c r="E256" s="11" t="s">
        <v>91</v>
      </c>
      <c r="F256" s="11" t="s">
        <v>82</v>
      </c>
      <c r="G256" s="21" t="n">
        <v>115.7</v>
      </c>
      <c r="H256" s="19" t="n">
        <v>17.8</v>
      </c>
      <c r="I256" s="21" t="n">
        <v>95.11</v>
      </c>
      <c r="J256" s="22" t="s">
        <v>80</v>
      </c>
      <c r="K256" s="11" t="n">
        <v>32</v>
      </c>
      <c r="L256" s="23" t="n">
        <v>1.7</v>
      </c>
      <c r="M256" s="24" t="b">
        <f aca="false">FALSE()</f>
        <v>0</v>
      </c>
      <c r="N256" s="11"/>
      <c r="O256" s="11" t="str">
        <f aca="false">IF(K256&lt;=StockP33,"Low",IF(K256&lt;=StockP67,"Moderate","High"))</f>
        <v>Moderate</v>
      </c>
      <c r="P256" s="11" t="str">
        <f aca="false">IF(H256=0,"Low",IF(H256&lt;=MarkdownP75,"Moderate","High"))</f>
        <v>Moderate</v>
      </c>
      <c r="Q256" s="11" t="str">
        <f aca="false">IF(ISBLANK(L256),"Unknown",IF(L256&gt;=4,"Good",IF(L256&lt;=2,"Poor","Neutral")))</f>
        <v>Poor</v>
      </c>
      <c r="R256" s="11" t="str">
        <f aca="false">IF(AND(O256="Low",P256="Low",Q256="Good"),"BUY / PRIORITIZE",IF(AND(O256="High",P256="High",OR(Q256="Poor",M256=TRUE())),"HOLD / REVIEW","MONITOR"))</f>
        <v>MONITOR</v>
      </c>
      <c r="S256" s="11" t="n">
        <f aca="false">K256+(ROW()/10000000)</f>
        <v>32.0000256</v>
      </c>
    </row>
    <row r="257" customFormat="false" ht="15" hidden="false" customHeight="false" outlineLevel="0" collapsed="false">
      <c r="A257" s="11" t="s">
        <v>426</v>
      </c>
      <c r="B257" s="11" t="s">
        <v>26</v>
      </c>
      <c r="C257" s="11" t="s">
        <v>130</v>
      </c>
      <c r="D257" s="11" t="s">
        <v>36</v>
      </c>
      <c r="E257" s="11" t="s">
        <v>102</v>
      </c>
      <c r="F257" s="11" t="s">
        <v>82</v>
      </c>
      <c r="G257" s="21" t="n">
        <v>75.66</v>
      </c>
      <c r="H257" s="19" t="n">
        <v>0</v>
      </c>
      <c r="I257" s="21" t="n">
        <v>75.66</v>
      </c>
      <c r="J257" s="22" t="s">
        <v>80</v>
      </c>
      <c r="K257" s="11" t="n">
        <v>20</v>
      </c>
      <c r="L257" s="23" t="n">
        <v>3</v>
      </c>
      <c r="M257" s="24" t="b">
        <f aca="false">FALSE()</f>
        <v>0</v>
      </c>
      <c r="N257" s="11"/>
      <c r="O257" s="11" t="str">
        <f aca="false">IF(K257&lt;=StockP33,"Low",IF(K257&lt;=StockP67,"Moderate","High"))</f>
        <v>Moderate</v>
      </c>
      <c r="P257" s="11" t="str">
        <f aca="false">IF(H257=0,"Low",IF(H257&lt;=MarkdownP75,"Moderate","High"))</f>
        <v>Low</v>
      </c>
      <c r="Q257" s="11" t="str">
        <f aca="false">IF(ISBLANK(L257),"Unknown",IF(L257&gt;=4,"Good",IF(L257&lt;=2,"Poor","Neutral")))</f>
        <v>Neutral</v>
      </c>
      <c r="R257" s="11" t="str">
        <f aca="false">IF(AND(O257="Low",P257="Low",Q257="Good"),"BUY / PRIORITIZE",IF(AND(O257="High",P257="High",OR(Q257="Poor",M257=TRUE())),"HOLD / REVIEW","MONITOR"))</f>
        <v>MONITOR</v>
      </c>
      <c r="S257" s="11" t="n">
        <f aca="false">K257+(ROW()/10000000)</f>
        <v>20.0000257</v>
      </c>
    </row>
    <row r="258" customFormat="false" ht="15" hidden="false" customHeight="false" outlineLevel="0" collapsed="false">
      <c r="A258" s="11" t="s">
        <v>427</v>
      </c>
      <c r="B258" s="11" t="s">
        <v>8</v>
      </c>
      <c r="C258" s="11" t="s">
        <v>107</v>
      </c>
      <c r="D258" s="11" t="s">
        <v>37</v>
      </c>
      <c r="E258" s="11"/>
      <c r="F258" s="11" t="s">
        <v>98</v>
      </c>
      <c r="G258" s="21" t="n">
        <v>42.11</v>
      </c>
      <c r="H258" s="19" t="n">
        <v>0</v>
      </c>
      <c r="I258" s="21" t="n">
        <v>42.11</v>
      </c>
      <c r="J258" s="22" t="s">
        <v>80</v>
      </c>
      <c r="K258" s="11" t="n">
        <v>26</v>
      </c>
      <c r="L258" s="23" t="n">
        <v>4</v>
      </c>
      <c r="M258" s="24" t="b">
        <f aca="false">FALSE()</f>
        <v>0</v>
      </c>
      <c r="N258" s="11"/>
      <c r="O258" s="11" t="str">
        <f aca="false">IF(K258&lt;=StockP33,"Low",IF(K258&lt;=StockP67,"Moderate","High"))</f>
        <v>Moderate</v>
      </c>
      <c r="P258" s="11" t="str">
        <f aca="false">IF(H258=0,"Low",IF(H258&lt;=MarkdownP75,"Moderate","High"))</f>
        <v>Low</v>
      </c>
      <c r="Q258" s="11" t="str">
        <f aca="false">IF(ISBLANK(L258),"Unknown",IF(L258&gt;=4,"Good",IF(L258&lt;=2,"Poor","Neutral")))</f>
        <v>Good</v>
      </c>
      <c r="R258" s="11" t="str">
        <f aca="false">IF(AND(O258="Low",P258="Low",Q258="Good"),"BUY / PRIORITIZE",IF(AND(O258="High",P258="High",OR(Q258="Poor",M258=TRUE())),"HOLD / REVIEW","MONITOR"))</f>
        <v>MONITOR</v>
      </c>
      <c r="S258" s="11" t="n">
        <f aca="false">K258+(ROW()/10000000)</f>
        <v>26.0000258</v>
      </c>
    </row>
    <row r="259" customFormat="false" ht="15" hidden="false" customHeight="false" outlineLevel="0" collapsed="false">
      <c r="A259" s="11" t="s">
        <v>428</v>
      </c>
      <c r="B259" s="11" t="s">
        <v>28</v>
      </c>
      <c r="C259" s="11" t="s">
        <v>101</v>
      </c>
      <c r="D259" s="11" t="s">
        <v>34</v>
      </c>
      <c r="E259" s="11" t="s">
        <v>102</v>
      </c>
      <c r="F259" s="11" t="s">
        <v>111</v>
      </c>
      <c r="G259" s="21" t="n">
        <v>247.9</v>
      </c>
      <c r="H259" s="19" t="n">
        <v>4.3</v>
      </c>
      <c r="I259" s="21" t="n">
        <v>237.24</v>
      </c>
      <c r="J259" s="22" t="s">
        <v>429</v>
      </c>
      <c r="K259" s="11" t="n">
        <v>25</v>
      </c>
      <c r="L259" s="23" t="n">
        <v>4.6</v>
      </c>
      <c r="M259" s="24" t="b">
        <f aca="false">FALSE()</f>
        <v>0</v>
      </c>
      <c r="N259" s="11"/>
      <c r="O259" s="11" t="str">
        <f aca="false">IF(K259&lt;=StockP33,"Low",IF(K259&lt;=StockP67,"Moderate","High"))</f>
        <v>Moderate</v>
      </c>
      <c r="P259" s="11" t="str">
        <f aca="false">IF(H259=0,"Low",IF(H259&lt;=MarkdownP75,"Moderate","High"))</f>
        <v>Moderate</v>
      </c>
      <c r="Q259" s="11" t="str">
        <f aca="false">IF(ISBLANK(L259),"Unknown",IF(L259&gt;=4,"Good",IF(L259&lt;=2,"Poor","Neutral")))</f>
        <v>Good</v>
      </c>
      <c r="R259" s="11" t="str">
        <f aca="false">IF(AND(O259="Low",P259="Low",Q259="Good"),"BUY / PRIORITIZE",IF(AND(O259="High",P259="High",OR(Q259="Poor",M259=TRUE())),"HOLD / REVIEW","MONITOR"))</f>
        <v>MONITOR</v>
      </c>
      <c r="S259" s="11" t="n">
        <f aca="false">K259+(ROW()/10000000)</f>
        <v>25.0000259</v>
      </c>
    </row>
    <row r="260" customFormat="false" ht="15" hidden="false" customHeight="false" outlineLevel="0" collapsed="false">
      <c r="A260" s="11" t="s">
        <v>430</v>
      </c>
      <c r="B260" s="11" t="s">
        <v>29</v>
      </c>
      <c r="C260" s="11" t="s">
        <v>86</v>
      </c>
      <c r="D260" s="11" t="s">
        <v>34</v>
      </c>
      <c r="E260" s="11" t="s">
        <v>73</v>
      </c>
      <c r="F260" s="11" t="s">
        <v>111</v>
      </c>
      <c r="G260" s="21" t="n">
        <v>143.45</v>
      </c>
      <c r="H260" s="19" t="n">
        <v>0</v>
      </c>
      <c r="I260" s="21" t="n">
        <v>143.45</v>
      </c>
      <c r="J260" s="22" t="s">
        <v>431</v>
      </c>
      <c r="K260" s="11" t="n">
        <v>39</v>
      </c>
      <c r="L260" s="23"/>
      <c r="M260" s="24" t="b">
        <f aca="false">TRUE()</f>
        <v>1</v>
      </c>
      <c r="N260" s="11" t="s">
        <v>140</v>
      </c>
      <c r="O260" s="11" t="str">
        <f aca="false">IF(K260&lt;=StockP33,"Low",IF(K260&lt;=StockP67,"Moderate","High"))</f>
        <v>High</v>
      </c>
      <c r="P260" s="11" t="str">
        <f aca="false">IF(H260=0,"Low",IF(H260&lt;=MarkdownP75,"Moderate","High"))</f>
        <v>Low</v>
      </c>
      <c r="Q260" s="11" t="str">
        <f aca="false">IF(ISBLANK(L260),"Unknown",IF(L260&gt;=4,"Good",IF(L260&lt;=2,"Poor","Neutral")))</f>
        <v>Unknown</v>
      </c>
      <c r="R260" s="11" t="str">
        <f aca="false">IF(AND(O260="Low",P260="Low",Q260="Good"),"BUY / PRIORITIZE",IF(AND(O260="High",P260="High",OR(Q260="Poor",M260=TRUE())),"HOLD / REVIEW","MONITOR"))</f>
        <v>MONITOR</v>
      </c>
      <c r="S260" s="11" t="n">
        <f aca="false">K260+(ROW()/10000000)</f>
        <v>39.000026</v>
      </c>
    </row>
    <row r="261" customFormat="false" ht="15" hidden="false" customHeight="false" outlineLevel="0" collapsed="false">
      <c r="A261" s="11" t="s">
        <v>432</v>
      </c>
      <c r="B261" s="11" t="s">
        <v>8</v>
      </c>
      <c r="C261" s="11" t="s">
        <v>86</v>
      </c>
      <c r="D261" s="11" t="s">
        <v>37</v>
      </c>
      <c r="E261" s="11"/>
      <c r="F261" s="11" t="s">
        <v>111</v>
      </c>
      <c r="G261" s="21" t="n">
        <v>24.96</v>
      </c>
      <c r="H261" s="19" t="n">
        <v>44.7</v>
      </c>
      <c r="I261" s="21" t="n">
        <v>13.8</v>
      </c>
      <c r="J261" s="22" t="s">
        <v>80</v>
      </c>
      <c r="K261" s="11" t="n">
        <v>44</v>
      </c>
      <c r="L261" s="23"/>
      <c r="M261" s="24" t="b">
        <f aca="false">FALSE()</f>
        <v>0</v>
      </c>
      <c r="N261" s="11"/>
      <c r="O261" s="11" t="str">
        <f aca="false">IF(K261&lt;=StockP33,"Low",IF(K261&lt;=StockP67,"Moderate","High"))</f>
        <v>High</v>
      </c>
      <c r="P261" s="11" t="str">
        <f aca="false">IF(H261=0,"Low",IF(H261&lt;=MarkdownP75,"Moderate","High"))</f>
        <v>High</v>
      </c>
      <c r="Q261" s="11" t="str">
        <f aca="false">IF(ISBLANK(L261),"Unknown",IF(L261&gt;=4,"Good",IF(L261&lt;=2,"Poor","Neutral")))</f>
        <v>Unknown</v>
      </c>
      <c r="R261" s="11" t="str">
        <f aca="false">IF(AND(O261="Low",P261="Low",Q261="Good"),"BUY / PRIORITIZE",IF(AND(O261="High",P261="High",OR(Q261="Poor",M261=TRUE())),"HOLD / REVIEW","MONITOR"))</f>
        <v>MONITOR</v>
      </c>
      <c r="S261" s="11" t="n">
        <f aca="false">K261+(ROW()/10000000)</f>
        <v>44.0000261</v>
      </c>
    </row>
    <row r="262" customFormat="false" ht="15" hidden="false" customHeight="false" outlineLevel="0" collapsed="false">
      <c r="A262" s="11" t="s">
        <v>433</v>
      </c>
      <c r="B262" s="11" t="s">
        <v>28</v>
      </c>
      <c r="C262" s="11" t="s">
        <v>130</v>
      </c>
      <c r="D262" s="11" t="s">
        <v>35</v>
      </c>
      <c r="E262" s="11" t="s">
        <v>73</v>
      </c>
      <c r="F262" s="11" t="s">
        <v>118</v>
      </c>
      <c r="G262" s="21" t="n">
        <v>109.74</v>
      </c>
      <c r="H262" s="19" t="n">
        <v>0</v>
      </c>
      <c r="I262" s="21" t="n">
        <v>109.74</v>
      </c>
      <c r="J262" s="22" t="s">
        <v>80</v>
      </c>
      <c r="K262" s="11" t="n">
        <v>45</v>
      </c>
      <c r="L262" s="23" t="n">
        <v>1.9</v>
      </c>
      <c r="M262" s="24" t="b">
        <f aca="false">FALSE()</f>
        <v>0</v>
      </c>
      <c r="N262" s="11"/>
      <c r="O262" s="11" t="str">
        <f aca="false">IF(K262&lt;=StockP33,"Low",IF(K262&lt;=StockP67,"Moderate","High"))</f>
        <v>High</v>
      </c>
      <c r="P262" s="11" t="str">
        <f aca="false">IF(H262=0,"Low",IF(H262&lt;=MarkdownP75,"Moderate","High"))</f>
        <v>Low</v>
      </c>
      <c r="Q262" s="11" t="str">
        <f aca="false">IF(ISBLANK(L262),"Unknown",IF(L262&gt;=4,"Good",IF(L262&lt;=2,"Poor","Neutral")))</f>
        <v>Poor</v>
      </c>
      <c r="R262" s="11" t="str">
        <f aca="false">IF(AND(O262="Low",P262="Low",Q262="Good"),"BUY / PRIORITIZE",IF(AND(O262="High",P262="High",OR(Q262="Poor",M262=TRUE())),"HOLD / REVIEW","MONITOR"))</f>
        <v>MONITOR</v>
      </c>
      <c r="S262" s="11" t="n">
        <f aca="false">K262+(ROW()/10000000)</f>
        <v>45.0000262</v>
      </c>
    </row>
    <row r="263" customFormat="false" ht="15" hidden="false" customHeight="false" outlineLevel="0" collapsed="false">
      <c r="A263" s="11" t="s">
        <v>434</v>
      </c>
      <c r="B263" s="11" t="s">
        <v>27</v>
      </c>
      <c r="C263" s="11" t="s">
        <v>101</v>
      </c>
      <c r="D263" s="11" t="s">
        <v>35</v>
      </c>
      <c r="E263" s="11" t="s">
        <v>73</v>
      </c>
      <c r="F263" s="11" t="s">
        <v>96</v>
      </c>
      <c r="G263" s="21" t="n">
        <v>161.14</v>
      </c>
      <c r="H263" s="19" t="n">
        <v>0</v>
      </c>
      <c r="I263" s="21" t="n">
        <v>161.14</v>
      </c>
      <c r="J263" s="22" t="s">
        <v>80</v>
      </c>
      <c r="K263" s="11" t="n">
        <v>44</v>
      </c>
      <c r="L263" s="23" t="n">
        <v>1.6</v>
      </c>
      <c r="M263" s="24" t="b">
        <f aca="false">FALSE()</f>
        <v>0</v>
      </c>
      <c r="N263" s="11"/>
      <c r="O263" s="11" t="str">
        <f aca="false">IF(K263&lt;=StockP33,"Low",IF(K263&lt;=StockP67,"Moderate","High"))</f>
        <v>High</v>
      </c>
      <c r="P263" s="11" t="str">
        <f aca="false">IF(H263=0,"Low",IF(H263&lt;=MarkdownP75,"Moderate","High"))</f>
        <v>Low</v>
      </c>
      <c r="Q263" s="11" t="str">
        <f aca="false">IF(ISBLANK(L263),"Unknown",IF(L263&gt;=4,"Good",IF(L263&lt;=2,"Poor","Neutral")))</f>
        <v>Poor</v>
      </c>
      <c r="R263" s="11" t="str">
        <f aca="false">IF(AND(O263="Low",P263="Low",Q263="Good"),"BUY / PRIORITIZE",IF(AND(O263="High",P263="High",OR(Q263="Poor",M263=TRUE())),"HOLD / REVIEW","MONITOR"))</f>
        <v>MONITOR</v>
      </c>
      <c r="S263" s="11" t="n">
        <f aca="false">K263+(ROW()/10000000)</f>
        <v>44.0000263</v>
      </c>
    </row>
    <row r="264" customFormat="false" ht="15" hidden="false" customHeight="false" outlineLevel="0" collapsed="false">
      <c r="A264" s="11" t="s">
        <v>435</v>
      </c>
      <c r="B264" s="11" t="s">
        <v>28</v>
      </c>
      <c r="C264" s="11" t="s">
        <v>86</v>
      </c>
      <c r="D264" s="11" t="s">
        <v>34</v>
      </c>
      <c r="E264" s="11" t="s">
        <v>102</v>
      </c>
      <c r="F264" s="11" t="s">
        <v>124</v>
      </c>
      <c r="G264" s="21" t="n">
        <v>220.14</v>
      </c>
      <c r="H264" s="19" t="n">
        <v>9.2</v>
      </c>
      <c r="I264" s="21" t="n">
        <v>199.89</v>
      </c>
      <c r="J264" s="22" t="s">
        <v>436</v>
      </c>
      <c r="K264" s="11" t="n">
        <v>23</v>
      </c>
      <c r="L264" s="23" t="n">
        <v>4.8</v>
      </c>
      <c r="M264" s="24" t="b">
        <f aca="false">FALSE()</f>
        <v>0</v>
      </c>
      <c r="N264" s="11"/>
      <c r="O264" s="11" t="str">
        <f aca="false">IF(K264&lt;=StockP33,"Low",IF(K264&lt;=StockP67,"Moderate","High"))</f>
        <v>Moderate</v>
      </c>
      <c r="P264" s="11" t="str">
        <f aca="false">IF(H264=0,"Low",IF(H264&lt;=MarkdownP75,"Moderate","High"))</f>
        <v>Moderate</v>
      </c>
      <c r="Q264" s="11" t="str">
        <f aca="false">IF(ISBLANK(L264),"Unknown",IF(L264&gt;=4,"Good",IF(L264&lt;=2,"Poor","Neutral")))</f>
        <v>Good</v>
      </c>
      <c r="R264" s="11" t="str">
        <f aca="false">IF(AND(O264="Low",P264="Low",Q264="Good"),"BUY / PRIORITIZE",IF(AND(O264="High",P264="High",OR(Q264="Poor",M264=TRUE())),"HOLD / REVIEW","MONITOR"))</f>
        <v>MONITOR</v>
      </c>
      <c r="S264" s="11" t="n">
        <f aca="false">K264+(ROW()/10000000)</f>
        <v>23.0000264</v>
      </c>
    </row>
    <row r="265" customFormat="false" ht="15" hidden="false" customHeight="false" outlineLevel="0" collapsed="false">
      <c r="A265" s="11" t="s">
        <v>437</v>
      </c>
      <c r="B265" s="11" t="s">
        <v>27</v>
      </c>
      <c r="C265" s="11" t="s">
        <v>130</v>
      </c>
      <c r="D265" s="11" t="s">
        <v>35</v>
      </c>
      <c r="E265" s="11" t="s">
        <v>91</v>
      </c>
      <c r="F265" s="11" t="s">
        <v>79</v>
      </c>
      <c r="G265" s="21" t="n">
        <v>57.33</v>
      </c>
      <c r="H265" s="19" t="n">
        <v>0</v>
      </c>
      <c r="I265" s="21" t="n">
        <v>57.33</v>
      </c>
      <c r="J265" s="22" t="s">
        <v>80</v>
      </c>
      <c r="K265" s="11" t="n">
        <v>23</v>
      </c>
      <c r="L265" s="23" t="n">
        <v>2</v>
      </c>
      <c r="M265" s="24" t="b">
        <f aca="false">FALSE()</f>
        <v>0</v>
      </c>
      <c r="N265" s="11"/>
      <c r="O265" s="11" t="str">
        <f aca="false">IF(K265&lt;=StockP33,"Low",IF(K265&lt;=StockP67,"Moderate","High"))</f>
        <v>Moderate</v>
      </c>
      <c r="P265" s="11" t="str">
        <f aca="false">IF(H265=0,"Low",IF(H265&lt;=MarkdownP75,"Moderate","High"))</f>
        <v>Low</v>
      </c>
      <c r="Q265" s="11" t="str">
        <f aca="false">IF(ISBLANK(L265),"Unknown",IF(L265&gt;=4,"Good",IF(L265&lt;=2,"Poor","Neutral")))</f>
        <v>Poor</v>
      </c>
      <c r="R265" s="11" t="str">
        <f aca="false">IF(AND(O265="Low",P265="Low",Q265="Good"),"BUY / PRIORITIZE",IF(AND(O265="High",P265="High",OR(Q265="Poor",M265=TRUE())),"HOLD / REVIEW","MONITOR"))</f>
        <v>MONITOR</v>
      </c>
      <c r="S265" s="11" t="n">
        <f aca="false">K265+(ROW()/10000000)</f>
        <v>23.0000265</v>
      </c>
    </row>
    <row r="266" customFormat="false" ht="15" hidden="false" customHeight="false" outlineLevel="0" collapsed="false">
      <c r="A266" s="11" t="s">
        <v>438</v>
      </c>
      <c r="B266" s="11" t="s">
        <v>26</v>
      </c>
      <c r="C266" s="11" t="s">
        <v>72</v>
      </c>
      <c r="D266" s="11" t="s">
        <v>36</v>
      </c>
      <c r="E266" s="11" t="s">
        <v>102</v>
      </c>
      <c r="F266" s="11" t="s">
        <v>96</v>
      </c>
      <c r="G266" s="21" t="n">
        <v>108.24</v>
      </c>
      <c r="H266" s="19" t="n">
        <v>0</v>
      </c>
      <c r="I266" s="21" t="n">
        <v>108.24</v>
      </c>
      <c r="J266" s="22" t="s">
        <v>80</v>
      </c>
      <c r="K266" s="11" t="n">
        <v>8</v>
      </c>
      <c r="L266" s="23" t="n">
        <v>2.3</v>
      </c>
      <c r="M266" s="24" t="b">
        <f aca="false">FALSE()</f>
        <v>0</v>
      </c>
      <c r="N266" s="11"/>
      <c r="O266" s="11" t="str">
        <f aca="false">IF(K266&lt;=StockP33,"Low",IF(K266&lt;=StockP67,"Moderate","High"))</f>
        <v>Low</v>
      </c>
      <c r="P266" s="11" t="str">
        <f aca="false">IF(H266=0,"Low",IF(H266&lt;=MarkdownP75,"Moderate","High"))</f>
        <v>Low</v>
      </c>
      <c r="Q266" s="11" t="str">
        <f aca="false">IF(ISBLANK(L266),"Unknown",IF(L266&gt;=4,"Good",IF(L266&lt;=2,"Poor","Neutral")))</f>
        <v>Neutral</v>
      </c>
      <c r="R266" s="11" t="str">
        <f aca="false">IF(AND(O266="Low",P266="Low",Q266="Good"),"BUY / PRIORITIZE",IF(AND(O266="High",P266="High",OR(Q266="Poor",M266=TRUE())),"HOLD / REVIEW","MONITOR"))</f>
        <v>MONITOR</v>
      </c>
      <c r="S266" s="11" t="n">
        <f aca="false">K266+(ROW()/10000000)</f>
        <v>8.0000266</v>
      </c>
    </row>
    <row r="267" customFormat="false" ht="15" hidden="false" customHeight="false" outlineLevel="0" collapsed="false">
      <c r="A267" s="11" t="s">
        <v>439</v>
      </c>
      <c r="B267" s="11" t="s">
        <v>8</v>
      </c>
      <c r="C267" s="11" t="s">
        <v>86</v>
      </c>
      <c r="D267" s="11" t="s">
        <v>35</v>
      </c>
      <c r="E267" s="11"/>
      <c r="F267" s="11" t="s">
        <v>92</v>
      </c>
      <c r="G267" s="21" t="n">
        <v>67.93</v>
      </c>
      <c r="H267" s="19" t="n">
        <v>0</v>
      </c>
      <c r="I267" s="21" t="n">
        <v>67.93</v>
      </c>
      <c r="J267" s="22" t="s">
        <v>80</v>
      </c>
      <c r="K267" s="11" t="n">
        <v>22</v>
      </c>
      <c r="L267" s="23" t="n">
        <v>4.6</v>
      </c>
      <c r="M267" s="24" t="b">
        <f aca="false">FALSE()</f>
        <v>0</v>
      </c>
      <c r="N267" s="11"/>
      <c r="O267" s="11" t="str">
        <f aca="false">IF(K267&lt;=StockP33,"Low",IF(K267&lt;=StockP67,"Moderate","High"))</f>
        <v>Moderate</v>
      </c>
      <c r="P267" s="11" t="str">
        <f aca="false">IF(H267=0,"Low",IF(H267&lt;=MarkdownP75,"Moderate","High"))</f>
        <v>Low</v>
      </c>
      <c r="Q267" s="11" t="str">
        <f aca="false">IF(ISBLANK(L267),"Unknown",IF(L267&gt;=4,"Good",IF(L267&lt;=2,"Poor","Neutral")))</f>
        <v>Good</v>
      </c>
      <c r="R267" s="11" t="str">
        <f aca="false">IF(AND(O267="Low",P267="Low",Q267="Good"),"BUY / PRIORITIZE",IF(AND(O267="High",P267="High",OR(Q267="Poor",M267=TRUE())),"HOLD / REVIEW","MONITOR"))</f>
        <v>MONITOR</v>
      </c>
      <c r="S267" s="11" t="n">
        <f aca="false">K267+(ROW()/10000000)</f>
        <v>22.0000267</v>
      </c>
    </row>
    <row r="268" customFormat="false" ht="15" hidden="false" customHeight="false" outlineLevel="0" collapsed="false">
      <c r="A268" s="11" t="s">
        <v>440</v>
      </c>
      <c r="B268" s="11" t="s">
        <v>27</v>
      </c>
      <c r="C268" s="11" t="s">
        <v>72</v>
      </c>
      <c r="D268" s="11" t="s">
        <v>37</v>
      </c>
      <c r="E268" s="11" t="s">
        <v>110</v>
      </c>
      <c r="F268" s="11" t="s">
        <v>96</v>
      </c>
      <c r="G268" s="21" t="n">
        <v>168.96</v>
      </c>
      <c r="H268" s="19" t="n">
        <v>0</v>
      </c>
      <c r="I268" s="21" t="n">
        <v>168.96</v>
      </c>
      <c r="J268" s="22" t="s">
        <v>80</v>
      </c>
      <c r="K268" s="11" t="n">
        <v>9</v>
      </c>
      <c r="L268" s="23"/>
      <c r="M268" s="24" t="b">
        <f aca="false">FALSE()</f>
        <v>0</v>
      </c>
      <c r="N268" s="11"/>
      <c r="O268" s="11" t="str">
        <f aca="false">IF(K268&lt;=StockP33,"Low",IF(K268&lt;=StockP67,"Moderate","High"))</f>
        <v>Low</v>
      </c>
      <c r="P268" s="11" t="str">
        <f aca="false">IF(H268=0,"Low",IF(H268&lt;=MarkdownP75,"Moderate","High"))</f>
        <v>Low</v>
      </c>
      <c r="Q268" s="11" t="str">
        <f aca="false">IF(ISBLANK(L268),"Unknown",IF(L268&gt;=4,"Good",IF(L268&lt;=2,"Poor","Neutral")))</f>
        <v>Unknown</v>
      </c>
      <c r="R268" s="11" t="str">
        <f aca="false">IF(AND(O268="Low",P268="Low",Q268="Good"),"BUY / PRIORITIZE",IF(AND(O268="High",P268="High",OR(Q268="Poor",M268=TRUE())),"HOLD / REVIEW","MONITOR"))</f>
        <v>MONITOR</v>
      </c>
      <c r="S268" s="11" t="n">
        <f aca="false">K268+(ROW()/10000000)</f>
        <v>9.0000268</v>
      </c>
    </row>
    <row r="269" customFormat="false" ht="15" hidden="false" customHeight="false" outlineLevel="0" collapsed="false">
      <c r="A269" s="11" t="s">
        <v>441</v>
      </c>
      <c r="B269" s="11" t="s">
        <v>30</v>
      </c>
      <c r="C269" s="11" t="s">
        <v>107</v>
      </c>
      <c r="D269" s="11" t="s">
        <v>36</v>
      </c>
      <c r="E269" s="11" t="s">
        <v>91</v>
      </c>
      <c r="F269" s="11" t="s">
        <v>88</v>
      </c>
      <c r="G269" s="21" t="n">
        <v>90.63</v>
      </c>
      <c r="H269" s="19" t="n">
        <v>0</v>
      </c>
      <c r="I269" s="21" t="n">
        <v>90.63</v>
      </c>
      <c r="J269" s="22" t="s">
        <v>80</v>
      </c>
      <c r="K269" s="11" t="n">
        <v>33</v>
      </c>
      <c r="L269" s="23" t="n">
        <v>4.2</v>
      </c>
      <c r="M269" s="24" t="b">
        <f aca="false">FALSE()</f>
        <v>0</v>
      </c>
      <c r="N269" s="11"/>
      <c r="O269" s="11" t="str">
        <f aca="false">IF(K269&lt;=StockP33,"Low",IF(K269&lt;=StockP67,"Moderate","High"))</f>
        <v>Moderate</v>
      </c>
      <c r="P269" s="11" t="str">
        <f aca="false">IF(H269=0,"Low",IF(H269&lt;=MarkdownP75,"Moderate","High"))</f>
        <v>Low</v>
      </c>
      <c r="Q269" s="11" t="str">
        <f aca="false">IF(ISBLANK(L269),"Unknown",IF(L269&gt;=4,"Good",IF(L269&lt;=2,"Poor","Neutral")))</f>
        <v>Good</v>
      </c>
      <c r="R269" s="11" t="str">
        <f aca="false">IF(AND(O269="Low",P269="Low",Q269="Good"),"BUY / PRIORITIZE",IF(AND(O269="High",P269="High",OR(Q269="Poor",M269=TRUE())),"HOLD / REVIEW","MONITOR"))</f>
        <v>MONITOR</v>
      </c>
      <c r="S269" s="11" t="n">
        <f aca="false">K269+(ROW()/10000000)</f>
        <v>33.0000269</v>
      </c>
    </row>
    <row r="270" customFormat="false" ht="15" hidden="false" customHeight="false" outlineLevel="0" collapsed="false">
      <c r="A270" s="11" t="s">
        <v>442</v>
      </c>
      <c r="B270" s="11" t="s">
        <v>8</v>
      </c>
      <c r="C270" s="11" t="s">
        <v>95</v>
      </c>
      <c r="D270" s="11" t="s">
        <v>34</v>
      </c>
      <c r="E270" s="11"/>
      <c r="F270" s="11" t="s">
        <v>98</v>
      </c>
      <c r="G270" s="21" t="n">
        <v>72.3</v>
      </c>
      <c r="H270" s="19" t="n">
        <v>0.4</v>
      </c>
      <c r="I270" s="21" t="n">
        <v>72.01</v>
      </c>
      <c r="J270" s="22" t="s">
        <v>215</v>
      </c>
      <c r="K270" s="11" t="n">
        <v>38</v>
      </c>
      <c r="L270" s="23" t="n">
        <v>3</v>
      </c>
      <c r="M270" s="24" t="b">
        <f aca="false">TRUE()</f>
        <v>1</v>
      </c>
      <c r="N270" s="11" t="s">
        <v>89</v>
      </c>
      <c r="O270" s="11" t="str">
        <f aca="false">IF(K270&lt;=StockP33,"Low",IF(K270&lt;=StockP67,"Moderate","High"))</f>
        <v>High</v>
      </c>
      <c r="P270" s="11" t="str">
        <f aca="false">IF(H270=0,"Low",IF(H270&lt;=MarkdownP75,"Moderate","High"))</f>
        <v>Moderate</v>
      </c>
      <c r="Q270" s="11" t="str">
        <f aca="false">IF(ISBLANK(L270),"Unknown",IF(L270&gt;=4,"Good",IF(L270&lt;=2,"Poor","Neutral")))</f>
        <v>Neutral</v>
      </c>
      <c r="R270" s="11" t="str">
        <f aca="false">IF(AND(O270="Low",P270="Low",Q270="Good"),"BUY / PRIORITIZE",IF(AND(O270="High",P270="High",OR(Q270="Poor",M270=TRUE())),"HOLD / REVIEW","MONITOR"))</f>
        <v>MONITOR</v>
      </c>
      <c r="S270" s="11" t="n">
        <f aca="false">K270+(ROW()/10000000)</f>
        <v>38.000027</v>
      </c>
    </row>
    <row r="271" customFormat="false" ht="15" hidden="false" customHeight="false" outlineLevel="0" collapsed="false">
      <c r="A271" s="11" t="s">
        <v>443</v>
      </c>
      <c r="B271" s="11" t="s">
        <v>26</v>
      </c>
      <c r="C271" s="11" t="s">
        <v>101</v>
      </c>
      <c r="D271" s="11" t="s">
        <v>37</v>
      </c>
      <c r="E271" s="11" t="s">
        <v>91</v>
      </c>
      <c r="F271" s="11" t="s">
        <v>111</v>
      </c>
      <c r="G271" s="21" t="n">
        <v>27.98</v>
      </c>
      <c r="H271" s="19" t="n">
        <v>0</v>
      </c>
      <c r="I271" s="21" t="n">
        <v>27.98</v>
      </c>
      <c r="J271" s="22" t="s">
        <v>80</v>
      </c>
      <c r="K271" s="11" t="n">
        <v>0</v>
      </c>
      <c r="L271" s="23" t="n">
        <v>3</v>
      </c>
      <c r="M271" s="24" t="b">
        <f aca="false">FALSE()</f>
        <v>0</v>
      </c>
      <c r="N271" s="11"/>
      <c r="O271" s="11" t="str">
        <f aca="false">IF(K271&lt;=StockP33,"Low",IF(K271&lt;=StockP67,"Moderate","High"))</f>
        <v>Low</v>
      </c>
      <c r="P271" s="11" t="str">
        <f aca="false">IF(H271=0,"Low",IF(H271&lt;=MarkdownP75,"Moderate","High"))</f>
        <v>Low</v>
      </c>
      <c r="Q271" s="11" t="str">
        <f aca="false">IF(ISBLANK(L271),"Unknown",IF(L271&gt;=4,"Good",IF(L271&lt;=2,"Poor","Neutral")))</f>
        <v>Neutral</v>
      </c>
      <c r="R271" s="11" t="str">
        <f aca="false">IF(AND(O271="Low",P271="Low",Q271="Good"),"BUY / PRIORITIZE",IF(AND(O271="High",P271="High",OR(Q271="Poor",M271=TRUE())),"HOLD / REVIEW","MONITOR"))</f>
        <v>MONITOR</v>
      </c>
      <c r="S271" s="11" t="n">
        <f aca="false">K271+(ROW()/10000000)</f>
        <v>2.71E-005</v>
      </c>
    </row>
    <row r="272" customFormat="false" ht="15" hidden="false" customHeight="false" outlineLevel="0" collapsed="false">
      <c r="A272" s="11" t="s">
        <v>444</v>
      </c>
      <c r="B272" s="11" t="s">
        <v>27</v>
      </c>
      <c r="C272" s="11" t="s">
        <v>130</v>
      </c>
      <c r="D272" s="11" t="s">
        <v>35</v>
      </c>
      <c r="E272" s="11"/>
      <c r="F272" s="11" t="s">
        <v>118</v>
      </c>
      <c r="G272" s="21" t="n">
        <v>92.73</v>
      </c>
      <c r="H272" s="19" t="n">
        <v>0</v>
      </c>
      <c r="I272" s="21" t="n">
        <v>92.73</v>
      </c>
      <c r="J272" s="22" t="s">
        <v>80</v>
      </c>
      <c r="K272" s="11" t="n">
        <v>15</v>
      </c>
      <c r="L272" s="23" t="n">
        <v>1.4</v>
      </c>
      <c r="M272" s="24" t="b">
        <f aca="false">FALSE()</f>
        <v>0</v>
      </c>
      <c r="N272" s="11"/>
      <c r="O272" s="11" t="str">
        <f aca="false">IF(K272&lt;=StockP33,"Low",IF(K272&lt;=StockP67,"Moderate","High"))</f>
        <v>Low</v>
      </c>
      <c r="P272" s="11" t="str">
        <f aca="false">IF(H272=0,"Low",IF(H272&lt;=MarkdownP75,"Moderate","High"))</f>
        <v>Low</v>
      </c>
      <c r="Q272" s="11" t="str">
        <f aca="false">IF(ISBLANK(L272),"Unknown",IF(L272&gt;=4,"Good",IF(L272&lt;=2,"Poor","Neutral")))</f>
        <v>Poor</v>
      </c>
      <c r="R272" s="11" t="str">
        <f aca="false">IF(AND(O272="Low",P272="Low",Q272="Good"),"BUY / PRIORITIZE",IF(AND(O272="High",P272="High",OR(Q272="Poor",M272=TRUE())),"HOLD / REVIEW","MONITOR"))</f>
        <v>MONITOR</v>
      </c>
      <c r="S272" s="11" t="n">
        <f aca="false">K272+(ROW()/10000000)</f>
        <v>15.0000272</v>
      </c>
    </row>
    <row r="273" customFormat="false" ht="15" hidden="false" customHeight="false" outlineLevel="0" collapsed="false">
      <c r="A273" s="11" t="s">
        <v>445</v>
      </c>
      <c r="B273" s="11" t="s">
        <v>26</v>
      </c>
      <c r="C273" s="11" t="s">
        <v>95</v>
      </c>
      <c r="D273" s="11" t="s">
        <v>35</v>
      </c>
      <c r="E273" s="11" t="s">
        <v>102</v>
      </c>
      <c r="F273" s="11" t="s">
        <v>88</v>
      </c>
      <c r="G273" s="21" t="n">
        <v>64.28</v>
      </c>
      <c r="H273" s="19" t="n">
        <v>0</v>
      </c>
      <c r="I273" s="21" t="n">
        <v>64.28</v>
      </c>
      <c r="J273" s="22" t="s">
        <v>80</v>
      </c>
      <c r="K273" s="11" t="n">
        <v>46</v>
      </c>
      <c r="L273" s="23" t="n">
        <v>3</v>
      </c>
      <c r="M273" s="24" t="b">
        <f aca="false">FALSE()</f>
        <v>0</v>
      </c>
      <c r="N273" s="11"/>
      <c r="O273" s="11" t="str">
        <f aca="false">IF(K273&lt;=StockP33,"Low",IF(K273&lt;=StockP67,"Moderate","High"))</f>
        <v>High</v>
      </c>
      <c r="P273" s="11" t="str">
        <f aca="false">IF(H273=0,"Low",IF(H273&lt;=MarkdownP75,"Moderate","High"))</f>
        <v>Low</v>
      </c>
      <c r="Q273" s="11" t="str">
        <f aca="false">IF(ISBLANK(L273),"Unknown",IF(L273&gt;=4,"Good",IF(L273&lt;=2,"Poor","Neutral")))</f>
        <v>Neutral</v>
      </c>
      <c r="R273" s="11" t="str">
        <f aca="false">IF(AND(O273="Low",P273="Low",Q273="Good"),"BUY / PRIORITIZE",IF(AND(O273="High",P273="High",OR(Q273="Poor",M273=TRUE())),"HOLD / REVIEW","MONITOR"))</f>
        <v>MONITOR</v>
      </c>
      <c r="S273" s="11" t="n">
        <f aca="false">K273+(ROW()/10000000)</f>
        <v>46.0000273</v>
      </c>
    </row>
    <row r="274" customFormat="false" ht="15" hidden="false" customHeight="false" outlineLevel="0" collapsed="false">
      <c r="A274" s="11" t="s">
        <v>446</v>
      </c>
      <c r="B274" s="11" t="s">
        <v>27</v>
      </c>
      <c r="C274" s="11" t="s">
        <v>107</v>
      </c>
      <c r="D274" s="11" t="s">
        <v>36</v>
      </c>
      <c r="E274" s="11" t="s">
        <v>113</v>
      </c>
      <c r="F274" s="11" t="s">
        <v>82</v>
      </c>
      <c r="G274" s="21" t="n">
        <v>133.12</v>
      </c>
      <c r="H274" s="19" t="n">
        <v>0</v>
      </c>
      <c r="I274" s="21" t="n">
        <v>133.12</v>
      </c>
      <c r="J274" s="22" t="s">
        <v>80</v>
      </c>
      <c r="K274" s="11" t="n">
        <v>35</v>
      </c>
      <c r="L274" s="23" t="n">
        <v>1.9</v>
      </c>
      <c r="M274" s="24" t="b">
        <f aca="false">FALSE()</f>
        <v>0</v>
      </c>
      <c r="N274" s="11"/>
      <c r="O274" s="11" t="str">
        <f aca="false">IF(K274&lt;=StockP33,"Low",IF(K274&lt;=StockP67,"Moderate","High"))</f>
        <v>High</v>
      </c>
      <c r="P274" s="11" t="str">
        <f aca="false">IF(H274=0,"Low",IF(H274&lt;=MarkdownP75,"Moderate","High"))</f>
        <v>Low</v>
      </c>
      <c r="Q274" s="11" t="str">
        <f aca="false">IF(ISBLANK(L274),"Unknown",IF(L274&gt;=4,"Good",IF(L274&lt;=2,"Poor","Neutral")))</f>
        <v>Poor</v>
      </c>
      <c r="R274" s="11" t="str">
        <f aca="false">IF(AND(O274="Low",P274="Low",Q274="Good"),"BUY / PRIORITIZE",IF(AND(O274="High",P274="High",OR(Q274="Poor",M274=TRUE())),"HOLD / REVIEW","MONITOR"))</f>
        <v>MONITOR</v>
      </c>
      <c r="S274" s="11" t="n">
        <f aca="false">K274+(ROW()/10000000)</f>
        <v>35.0000274</v>
      </c>
    </row>
    <row r="275" customFormat="false" ht="15" hidden="false" customHeight="false" outlineLevel="0" collapsed="false">
      <c r="A275" s="11" t="s">
        <v>447</v>
      </c>
      <c r="B275" s="11" t="s">
        <v>30</v>
      </c>
      <c r="C275" s="11" t="s">
        <v>116</v>
      </c>
      <c r="D275" s="11" t="s">
        <v>37</v>
      </c>
      <c r="E275" s="11" t="s">
        <v>102</v>
      </c>
      <c r="F275" s="11" t="s">
        <v>124</v>
      </c>
      <c r="G275" s="21" t="n">
        <v>70.36</v>
      </c>
      <c r="H275" s="19" t="n">
        <v>0</v>
      </c>
      <c r="I275" s="21" t="n">
        <v>70.36</v>
      </c>
      <c r="J275" s="22" t="s">
        <v>80</v>
      </c>
      <c r="K275" s="11" t="n">
        <v>0</v>
      </c>
      <c r="L275" s="23"/>
      <c r="M275" s="24" t="b">
        <f aca="false">FALSE()</f>
        <v>0</v>
      </c>
      <c r="N275" s="11"/>
      <c r="O275" s="11" t="str">
        <f aca="false">IF(K275&lt;=StockP33,"Low",IF(K275&lt;=StockP67,"Moderate","High"))</f>
        <v>Low</v>
      </c>
      <c r="P275" s="11" t="str">
        <f aca="false">IF(H275=0,"Low",IF(H275&lt;=MarkdownP75,"Moderate","High"))</f>
        <v>Low</v>
      </c>
      <c r="Q275" s="11" t="str">
        <f aca="false">IF(ISBLANK(L275),"Unknown",IF(L275&gt;=4,"Good",IF(L275&lt;=2,"Poor","Neutral")))</f>
        <v>Unknown</v>
      </c>
      <c r="R275" s="11" t="str">
        <f aca="false">IF(AND(O275="Low",P275="Low",Q275="Good"),"BUY / PRIORITIZE",IF(AND(O275="High",P275="High",OR(Q275="Poor",M275=TRUE())),"HOLD / REVIEW","MONITOR"))</f>
        <v>MONITOR</v>
      </c>
      <c r="S275" s="11" t="n">
        <f aca="false">K275+(ROW()/10000000)</f>
        <v>2.75E-005</v>
      </c>
    </row>
    <row r="276" customFormat="false" ht="15" hidden="false" customHeight="false" outlineLevel="0" collapsed="false">
      <c r="A276" s="11" t="s">
        <v>448</v>
      </c>
      <c r="B276" s="11" t="s">
        <v>28</v>
      </c>
      <c r="C276" s="11" t="s">
        <v>77</v>
      </c>
      <c r="D276" s="11" t="s">
        <v>35</v>
      </c>
      <c r="E276" s="11" t="s">
        <v>73</v>
      </c>
      <c r="F276" s="11" t="s">
        <v>79</v>
      </c>
      <c r="G276" s="21" t="n">
        <v>199.01</v>
      </c>
      <c r="H276" s="19" t="n">
        <v>0</v>
      </c>
      <c r="I276" s="21" t="n">
        <v>199.01</v>
      </c>
      <c r="J276" s="22" t="s">
        <v>80</v>
      </c>
      <c r="K276" s="11" t="n">
        <v>8</v>
      </c>
      <c r="L276" s="23" t="n">
        <v>4.4</v>
      </c>
      <c r="M276" s="24" t="b">
        <f aca="false">FALSE()</f>
        <v>0</v>
      </c>
      <c r="N276" s="11"/>
      <c r="O276" s="11" t="str">
        <f aca="false">IF(K276&lt;=StockP33,"Low",IF(K276&lt;=StockP67,"Moderate","High"))</f>
        <v>Low</v>
      </c>
      <c r="P276" s="11" t="str">
        <f aca="false">IF(H276=0,"Low",IF(H276&lt;=MarkdownP75,"Moderate","High"))</f>
        <v>Low</v>
      </c>
      <c r="Q276" s="11" t="str">
        <f aca="false">IF(ISBLANK(L276),"Unknown",IF(L276&gt;=4,"Good",IF(L276&lt;=2,"Poor","Neutral")))</f>
        <v>Good</v>
      </c>
      <c r="R276" s="11" t="str">
        <f aca="false">IF(AND(O276="Low",P276="Low",Q276="Good"),"BUY / PRIORITIZE",IF(AND(O276="High",P276="High",OR(Q276="Poor",M276=TRUE())),"HOLD / REVIEW","MONITOR"))</f>
        <v>BUY / PRIORITIZE</v>
      </c>
      <c r="S276" s="11" t="n">
        <f aca="false">K276+(ROW()/10000000)</f>
        <v>8.0000276</v>
      </c>
    </row>
    <row r="277" customFormat="false" ht="15" hidden="false" customHeight="false" outlineLevel="0" collapsed="false">
      <c r="A277" s="11" t="s">
        <v>449</v>
      </c>
      <c r="B277" s="11" t="s">
        <v>26</v>
      </c>
      <c r="C277" s="11" t="s">
        <v>101</v>
      </c>
      <c r="D277" s="11" t="s">
        <v>35</v>
      </c>
      <c r="E277" s="11" t="s">
        <v>78</v>
      </c>
      <c r="F277" s="11" t="s">
        <v>118</v>
      </c>
      <c r="G277" s="21" t="n">
        <v>62.41</v>
      </c>
      <c r="H277" s="19" t="n">
        <v>37.1</v>
      </c>
      <c r="I277" s="21" t="n">
        <v>39.26</v>
      </c>
      <c r="J277" s="22" t="s">
        <v>80</v>
      </c>
      <c r="K277" s="11" t="n">
        <v>6</v>
      </c>
      <c r="L277" s="23" t="n">
        <v>4.1</v>
      </c>
      <c r="M277" s="24" t="b">
        <f aca="false">FALSE()</f>
        <v>0</v>
      </c>
      <c r="N277" s="11"/>
      <c r="O277" s="11" t="str">
        <f aca="false">IF(K277&lt;=StockP33,"Low",IF(K277&lt;=StockP67,"Moderate","High"))</f>
        <v>Low</v>
      </c>
      <c r="P277" s="11" t="str">
        <f aca="false">IF(H277=0,"Low",IF(H277&lt;=MarkdownP75,"Moderate","High"))</f>
        <v>High</v>
      </c>
      <c r="Q277" s="11" t="str">
        <f aca="false">IF(ISBLANK(L277),"Unknown",IF(L277&gt;=4,"Good",IF(L277&lt;=2,"Poor","Neutral")))</f>
        <v>Good</v>
      </c>
      <c r="R277" s="11" t="str">
        <f aca="false">IF(AND(O277="Low",P277="Low",Q277="Good"),"BUY / PRIORITIZE",IF(AND(O277="High",P277="High",OR(Q277="Poor",M277=TRUE())),"HOLD / REVIEW","MONITOR"))</f>
        <v>MONITOR</v>
      </c>
      <c r="S277" s="11" t="n">
        <f aca="false">K277+(ROW()/10000000)</f>
        <v>6.0000277</v>
      </c>
    </row>
    <row r="278" customFormat="false" ht="15" hidden="false" customHeight="false" outlineLevel="0" collapsed="false">
      <c r="A278" s="11" t="s">
        <v>450</v>
      </c>
      <c r="B278" s="11" t="s">
        <v>29</v>
      </c>
      <c r="C278" s="11" t="s">
        <v>77</v>
      </c>
      <c r="D278" s="11" t="s">
        <v>35</v>
      </c>
      <c r="E278" s="11" t="s">
        <v>110</v>
      </c>
      <c r="F278" s="11" t="s">
        <v>82</v>
      </c>
      <c r="G278" s="21" t="n">
        <v>71.44</v>
      </c>
      <c r="H278" s="19" t="n">
        <v>0</v>
      </c>
      <c r="I278" s="21" t="n">
        <v>71.44</v>
      </c>
      <c r="J278" s="22" t="s">
        <v>80</v>
      </c>
      <c r="K278" s="11" t="n">
        <v>45</v>
      </c>
      <c r="L278" s="23" t="n">
        <v>4</v>
      </c>
      <c r="M278" s="24" t="b">
        <f aca="false">FALSE()</f>
        <v>0</v>
      </c>
      <c r="N278" s="11"/>
      <c r="O278" s="11" t="str">
        <f aca="false">IF(K278&lt;=StockP33,"Low",IF(K278&lt;=StockP67,"Moderate","High"))</f>
        <v>High</v>
      </c>
      <c r="P278" s="11" t="str">
        <f aca="false">IF(H278=0,"Low",IF(H278&lt;=MarkdownP75,"Moderate","High"))</f>
        <v>Low</v>
      </c>
      <c r="Q278" s="11" t="str">
        <f aca="false">IF(ISBLANK(L278),"Unknown",IF(L278&gt;=4,"Good",IF(L278&lt;=2,"Poor","Neutral")))</f>
        <v>Good</v>
      </c>
      <c r="R278" s="11" t="str">
        <f aca="false">IF(AND(O278="Low",P278="Low",Q278="Good"),"BUY / PRIORITIZE",IF(AND(O278="High",P278="High",OR(Q278="Poor",M278=TRUE())),"HOLD / REVIEW","MONITOR"))</f>
        <v>MONITOR</v>
      </c>
      <c r="S278" s="11" t="n">
        <f aca="false">K278+(ROW()/10000000)</f>
        <v>45.0000278</v>
      </c>
    </row>
    <row r="279" customFormat="false" ht="15" hidden="false" customHeight="false" outlineLevel="0" collapsed="false">
      <c r="A279" s="11" t="s">
        <v>451</v>
      </c>
      <c r="B279" s="11" t="s">
        <v>27</v>
      </c>
      <c r="C279" s="11" t="s">
        <v>72</v>
      </c>
      <c r="D279" s="11" t="s">
        <v>37</v>
      </c>
      <c r="E279" s="11"/>
      <c r="F279" s="11" t="s">
        <v>96</v>
      </c>
      <c r="G279" s="21" t="n">
        <v>89.69</v>
      </c>
      <c r="H279" s="19" t="n">
        <v>0</v>
      </c>
      <c r="I279" s="21" t="n">
        <v>89.69</v>
      </c>
      <c r="J279" s="22" t="s">
        <v>80</v>
      </c>
      <c r="K279" s="11" t="n">
        <v>50</v>
      </c>
      <c r="L279" s="23" t="n">
        <v>4.3</v>
      </c>
      <c r="M279" s="24" t="b">
        <f aca="false">FALSE()</f>
        <v>0</v>
      </c>
      <c r="N279" s="11"/>
      <c r="O279" s="11" t="str">
        <f aca="false">IF(K279&lt;=StockP33,"Low",IF(K279&lt;=StockP67,"Moderate","High"))</f>
        <v>High</v>
      </c>
      <c r="P279" s="11" t="str">
        <f aca="false">IF(H279=0,"Low",IF(H279&lt;=MarkdownP75,"Moderate","High"))</f>
        <v>Low</v>
      </c>
      <c r="Q279" s="11" t="str">
        <f aca="false">IF(ISBLANK(L279),"Unknown",IF(L279&gt;=4,"Good",IF(L279&lt;=2,"Poor","Neutral")))</f>
        <v>Good</v>
      </c>
      <c r="R279" s="11" t="str">
        <f aca="false">IF(AND(O279="Low",P279="Low",Q279="Good"),"BUY / PRIORITIZE",IF(AND(O279="High",P279="High",OR(Q279="Poor",M279=TRUE())),"HOLD / REVIEW","MONITOR"))</f>
        <v>MONITOR</v>
      </c>
      <c r="S279" s="11" t="n">
        <f aca="false">K279+(ROW()/10000000)</f>
        <v>50.0000279</v>
      </c>
    </row>
    <row r="280" customFormat="false" ht="15" hidden="false" customHeight="false" outlineLevel="0" collapsed="false">
      <c r="A280" s="11" t="s">
        <v>452</v>
      </c>
      <c r="B280" s="11" t="s">
        <v>28</v>
      </c>
      <c r="C280" s="11" t="s">
        <v>95</v>
      </c>
      <c r="D280" s="11" t="s">
        <v>34</v>
      </c>
      <c r="E280" s="11" t="s">
        <v>102</v>
      </c>
      <c r="F280" s="11" t="s">
        <v>92</v>
      </c>
      <c r="G280" s="21" t="n">
        <v>161.65</v>
      </c>
      <c r="H280" s="19" t="n">
        <v>10.2</v>
      </c>
      <c r="I280" s="21" t="n">
        <v>145.16</v>
      </c>
      <c r="J280" s="22" t="s">
        <v>453</v>
      </c>
      <c r="K280" s="11" t="n">
        <v>42</v>
      </c>
      <c r="L280" s="23"/>
      <c r="M280" s="24" t="b">
        <f aca="false">FALSE()</f>
        <v>0</v>
      </c>
      <c r="N280" s="11"/>
      <c r="O280" s="11" t="str">
        <f aca="false">IF(K280&lt;=StockP33,"Low",IF(K280&lt;=StockP67,"Moderate","High"))</f>
        <v>High</v>
      </c>
      <c r="P280" s="11" t="str">
        <f aca="false">IF(H280=0,"Low",IF(H280&lt;=MarkdownP75,"Moderate","High"))</f>
        <v>Moderate</v>
      </c>
      <c r="Q280" s="11" t="str">
        <f aca="false">IF(ISBLANK(L280),"Unknown",IF(L280&gt;=4,"Good",IF(L280&lt;=2,"Poor","Neutral")))</f>
        <v>Unknown</v>
      </c>
      <c r="R280" s="11" t="str">
        <f aca="false">IF(AND(O280="Low",P280="Low",Q280="Good"),"BUY / PRIORITIZE",IF(AND(O280="High",P280="High",OR(Q280="Poor",M280=TRUE())),"HOLD / REVIEW","MONITOR"))</f>
        <v>MONITOR</v>
      </c>
      <c r="S280" s="11" t="n">
        <f aca="false">K280+(ROW()/10000000)</f>
        <v>42.000028</v>
      </c>
    </row>
    <row r="281" customFormat="false" ht="15" hidden="false" customHeight="false" outlineLevel="0" collapsed="false">
      <c r="A281" s="11" t="s">
        <v>454</v>
      </c>
      <c r="B281" s="11" t="s">
        <v>8</v>
      </c>
      <c r="C281" s="11" t="s">
        <v>77</v>
      </c>
      <c r="D281" s="11" t="s">
        <v>37</v>
      </c>
      <c r="E281" s="11"/>
      <c r="F281" s="11" t="s">
        <v>88</v>
      </c>
      <c r="G281" s="21" t="n">
        <v>46.59</v>
      </c>
      <c r="H281" s="19" t="n">
        <v>0</v>
      </c>
      <c r="I281" s="21" t="n">
        <v>46.59</v>
      </c>
      <c r="J281" s="22" t="s">
        <v>80</v>
      </c>
      <c r="K281" s="11" t="n">
        <v>29</v>
      </c>
      <c r="L281" s="23" t="n">
        <v>4.8</v>
      </c>
      <c r="M281" s="24" t="b">
        <f aca="false">FALSE()</f>
        <v>0</v>
      </c>
      <c r="N281" s="11"/>
      <c r="O281" s="11" t="str">
        <f aca="false">IF(K281&lt;=StockP33,"Low",IF(K281&lt;=StockP67,"Moderate","High"))</f>
        <v>Moderate</v>
      </c>
      <c r="P281" s="11" t="str">
        <f aca="false">IF(H281=0,"Low",IF(H281&lt;=MarkdownP75,"Moderate","High"))</f>
        <v>Low</v>
      </c>
      <c r="Q281" s="11" t="str">
        <f aca="false">IF(ISBLANK(L281),"Unknown",IF(L281&gt;=4,"Good",IF(L281&lt;=2,"Poor","Neutral")))</f>
        <v>Good</v>
      </c>
      <c r="R281" s="11" t="str">
        <f aca="false">IF(AND(O281="Low",P281="Low",Q281="Good"),"BUY / PRIORITIZE",IF(AND(O281="High",P281="High",OR(Q281="Poor",M281=TRUE())),"HOLD / REVIEW","MONITOR"))</f>
        <v>MONITOR</v>
      </c>
      <c r="S281" s="11" t="n">
        <f aca="false">K281+(ROW()/10000000)</f>
        <v>29.0000281</v>
      </c>
    </row>
    <row r="282" customFormat="false" ht="15" hidden="false" customHeight="false" outlineLevel="0" collapsed="false">
      <c r="A282" s="11" t="s">
        <v>455</v>
      </c>
      <c r="B282" s="11" t="s">
        <v>8</v>
      </c>
      <c r="C282" s="11" t="s">
        <v>72</v>
      </c>
      <c r="D282" s="11" t="s">
        <v>36</v>
      </c>
      <c r="E282" s="11"/>
      <c r="F282" s="11" t="s">
        <v>79</v>
      </c>
      <c r="G282" s="21" t="n">
        <v>74.2</v>
      </c>
      <c r="H282" s="19" t="n">
        <v>0</v>
      </c>
      <c r="I282" s="21" t="n">
        <v>74.2</v>
      </c>
      <c r="J282" s="22" t="s">
        <v>80</v>
      </c>
      <c r="K282" s="11" t="n">
        <v>22</v>
      </c>
      <c r="L282" s="23" t="n">
        <v>1.7</v>
      </c>
      <c r="M282" s="24" t="b">
        <f aca="false">FALSE()</f>
        <v>0</v>
      </c>
      <c r="N282" s="11"/>
      <c r="O282" s="11" t="str">
        <f aca="false">IF(K282&lt;=StockP33,"Low",IF(K282&lt;=StockP67,"Moderate","High"))</f>
        <v>Moderate</v>
      </c>
      <c r="P282" s="11" t="str">
        <f aca="false">IF(H282=0,"Low",IF(H282&lt;=MarkdownP75,"Moderate","High"))</f>
        <v>Low</v>
      </c>
      <c r="Q282" s="11" t="str">
        <f aca="false">IF(ISBLANK(L282),"Unknown",IF(L282&gt;=4,"Good",IF(L282&lt;=2,"Poor","Neutral")))</f>
        <v>Poor</v>
      </c>
      <c r="R282" s="11" t="str">
        <f aca="false">IF(AND(O282="Low",P282="Low",Q282="Good"),"BUY / PRIORITIZE",IF(AND(O282="High",P282="High",OR(Q282="Poor",M282=TRUE())),"HOLD / REVIEW","MONITOR"))</f>
        <v>MONITOR</v>
      </c>
      <c r="S282" s="11" t="n">
        <f aca="false">K282+(ROW()/10000000)</f>
        <v>22.0000282</v>
      </c>
    </row>
    <row r="283" customFormat="false" ht="15" hidden="false" customHeight="false" outlineLevel="0" collapsed="false">
      <c r="A283" s="11" t="s">
        <v>456</v>
      </c>
      <c r="B283" s="11" t="s">
        <v>26</v>
      </c>
      <c r="C283" s="11" t="s">
        <v>77</v>
      </c>
      <c r="D283" s="11" t="s">
        <v>36</v>
      </c>
      <c r="E283" s="11" t="s">
        <v>91</v>
      </c>
      <c r="F283" s="11" t="s">
        <v>124</v>
      </c>
      <c r="G283" s="21" t="n">
        <v>99.67</v>
      </c>
      <c r="H283" s="19" t="n">
        <v>0</v>
      </c>
      <c r="I283" s="21" t="n">
        <v>99.67</v>
      </c>
      <c r="J283" s="22" t="s">
        <v>80</v>
      </c>
      <c r="K283" s="11" t="n">
        <v>13</v>
      </c>
      <c r="L283" s="23" t="n">
        <v>5</v>
      </c>
      <c r="M283" s="24" t="b">
        <f aca="false">FALSE()</f>
        <v>0</v>
      </c>
      <c r="N283" s="11"/>
      <c r="O283" s="11" t="str">
        <f aca="false">IF(K283&lt;=StockP33,"Low",IF(K283&lt;=StockP67,"Moderate","High"))</f>
        <v>Low</v>
      </c>
      <c r="P283" s="11" t="str">
        <f aca="false">IF(H283=0,"Low",IF(H283&lt;=MarkdownP75,"Moderate","High"))</f>
        <v>Low</v>
      </c>
      <c r="Q283" s="11" t="str">
        <f aca="false">IF(ISBLANK(L283),"Unknown",IF(L283&gt;=4,"Good",IF(L283&lt;=2,"Poor","Neutral")))</f>
        <v>Good</v>
      </c>
      <c r="R283" s="11" t="str">
        <f aca="false">IF(AND(O283="Low",P283="Low",Q283="Good"),"BUY / PRIORITIZE",IF(AND(O283="High",P283="High",OR(Q283="Poor",M283=TRUE())),"HOLD / REVIEW","MONITOR"))</f>
        <v>BUY / PRIORITIZE</v>
      </c>
      <c r="S283" s="11" t="n">
        <f aca="false">K283+(ROW()/10000000)</f>
        <v>13.0000283</v>
      </c>
    </row>
    <row r="284" customFormat="false" ht="15" hidden="false" customHeight="false" outlineLevel="0" collapsed="false">
      <c r="A284" s="11" t="s">
        <v>457</v>
      </c>
      <c r="B284" s="11" t="s">
        <v>29</v>
      </c>
      <c r="C284" s="11" t="s">
        <v>130</v>
      </c>
      <c r="D284" s="11" t="s">
        <v>36</v>
      </c>
      <c r="E284" s="11" t="s">
        <v>110</v>
      </c>
      <c r="F284" s="11" t="s">
        <v>120</v>
      </c>
      <c r="G284" s="21" t="n">
        <v>112.74</v>
      </c>
      <c r="H284" s="19" t="n">
        <v>23</v>
      </c>
      <c r="I284" s="21" t="n">
        <v>86.81</v>
      </c>
      <c r="J284" s="22" t="s">
        <v>80</v>
      </c>
      <c r="K284" s="11" t="n">
        <v>37</v>
      </c>
      <c r="L284" s="23" t="n">
        <v>1</v>
      </c>
      <c r="M284" s="24" t="b">
        <f aca="false">FALSE()</f>
        <v>0</v>
      </c>
      <c r="N284" s="11"/>
      <c r="O284" s="11" t="str">
        <f aca="false">IF(K284&lt;=StockP33,"Low",IF(K284&lt;=StockP67,"Moderate","High"))</f>
        <v>High</v>
      </c>
      <c r="P284" s="11" t="str">
        <f aca="false">IF(H284=0,"Low",IF(H284&lt;=MarkdownP75,"Moderate","High"))</f>
        <v>High</v>
      </c>
      <c r="Q284" s="11" t="str">
        <f aca="false">IF(ISBLANK(L284),"Unknown",IF(L284&gt;=4,"Good",IF(L284&lt;=2,"Poor","Neutral")))</f>
        <v>Poor</v>
      </c>
      <c r="R284" s="11" t="str">
        <f aca="false">IF(AND(O284="Low",P284="Low",Q284="Good"),"BUY / PRIORITIZE",IF(AND(O284="High",P284="High",OR(Q284="Poor",M284=TRUE())),"HOLD / REVIEW","MONITOR"))</f>
        <v>HOLD / REVIEW</v>
      </c>
      <c r="S284" s="11" t="n">
        <f aca="false">K284+(ROW()/10000000)</f>
        <v>37.0000284</v>
      </c>
    </row>
    <row r="285" customFormat="false" ht="15" hidden="false" customHeight="false" outlineLevel="0" collapsed="false">
      <c r="A285" s="11" t="s">
        <v>458</v>
      </c>
      <c r="B285" s="11" t="s">
        <v>30</v>
      </c>
      <c r="C285" s="11" t="s">
        <v>86</v>
      </c>
      <c r="D285" s="11" t="s">
        <v>35</v>
      </c>
      <c r="E285" s="11" t="s">
        <v>91</v>
      </c>
      <c r="F285" s="11" t="s">
        <v>82</v>
      </c>
      <c r="G285" s="21" t="n">
        <v>95.82</v>
      </c>
      <c r="H285" s="19" t="n">
        <v>39.4</v>
      </c>
      <c r="I285" s="21" t="n">
        <v>58.07</v>
      </c>
      <c r="J285" s="22" t="s">
        <v>80</v>
      </c>
      <c r="K285" s="11" t="n">
        <v>6</v>
      </c>
      <c r="L285" s="23"/>
      <c r="M285" s="24" t="b">
        <f aca="false">TRUE()</f>
        <v>1</v>
      </c>
      <c r="N285" s="11" t="s">
        <v>134</v>
      </c>
      <c r="O285" s="11" t="str">
        <f aca="false">IF(K285&lt;=StockP33,"Low",IF(K285&lt;=StockP67,"Moderate","High"))</f>
        <v>Low</v>
      </c>
      <c r="P285" s="11" t="str">
        <f aca="false">IF(H285=0,"Low",IF(H285&lt;=MarkdownP75,"Moderate","High"))</f>
        <v>High</v>
      </c>
      <c r="Q285" s="11" t="str">
        <f aca="false">IF(ISBLANK(L285),"Unknown",IF(L285&gt;=4,"Good",IF(L285&lt;=2,"Poor","Neutral")))</f>
        <v>Unknown</v>
      </c>
      <c r="R285" s="11" t="str">
        <f aca="false">IF(AND(O285="Low",P285="Low",Q285="Good"),"BUY / PRIORITIZE",IF(AND(O285="High",P285="High",OR(Q285="Poor",M285=TRUE())),"HOLD / REVIEW","MONITOR"))</f>
        <v>MONITOR</v>
      </c>
      <c r="S285" s="11" t="n">
        <f aca="false">K285+(ROW()/10000000)</f>
        <v>6.0000285</v>
      </c>
    </row>
    <row r="286" customFormat="false" ht="15" hidden="false" customHeight="false" outlineLevel="0" collapsed="false">
      <c r="A286" s="11" t="s">
        <v>459</v>
      </c>
      <c r="B286" s="11" t="s">
        <v>29</v>
      </c>
      <c r="C286" s="11" t="s">
        <v>107</v>
      </c>
      <c r="D286" s="11" t="s">
        <v>37</v>
      </c>
      <c r="E286" s="11" t="s">
        <v>113</v>
      </c>
      <c r="F286" s="11" t="s">
        <v>98</v>
      </c>
      <c r="G286" s="21" t="n">
        <v>157.42</v>
      </c>
      <c r="H286" s="19" t="n">
        <v>0</v>
      </c>
      <c r="I286" s="21" t="n">
        <v>157.42</v>
      </c>
      <c r="J286" s="22" t="s">
        <v>80</v>
      </c>
      <c r="K286" s="11" t="n">
        <v>38</v>
      </c>
      <c r="L286" s="23" t="n">
        <v>2.4</v>
      </c>
      <c r="M286" s="24" t="b">
        <f aca="false">FALSE()</f>
        <v>0</v>
      </c>
      <c r="N286" s="11"/>
      <c r="O286" s="11" t="str">
        <f aca="false">IF(K286&lt;=StockP33,"Low",IF(K286&lt;=StockP67,"Moderate","High"))</f>
        <v>High</v>
      </c>
      <c r="P286" s="11" t="str">
        <f aca="false">IF(H286=0,"Low",IF(H286&lt;=MarkdownP75,"Moderate","High"))</f>
        <v>Low</v>
      </c>
      <c r="Q286" s="11" t="str">
        <f aca="false">IF(ISBLANK(L286),"Unknown",IF(L286&gt;=4,"Good",IF(L286&lt;=2,"Poor","Neutral")))</f>
        <v>Neutral</v>
      </c>
      <c r="R286" s="11" t="str">
        <f aca="false">IF(AND(O286="Low",P286="Low",Q286="Good"),"BUY / PRIORITIZE",IF(AND(O286="High",P286="High",OR(Q286="Poor",M286=TRUE())),"HOLD / REVIEW","MONITOR"))</f>
        <v>MONITOR</v>
      </c>
      <c r="S286" s="11" t="n">
        <f aca="false">K286+(ROW()/10000000)</f>
        <v>38.0000286</v>
      </c>
    </row>
    <row r="287" customFormat="false" ht="15" hidden="false" customHeight="false" outlineLevel="0" collapsed="false">
      <c r="A287" s="11" t="s">
        <v>460</v>
      </c>
      <c r="B287" s="11" t="s">
        <v>8</v>
      </c>
      <c r="C287" s="11" t="s">
        <v>72</v>
      </c>
      <c r="D287" s="11" t="s">
        <v>36</v>
      </c>
      <c r="E287" s="11"/>
      <c r="F287" s="11" t="s">
        <v>74</v>
      </c>
      <c r="G287" s="21" t="n">
        <v>60.17</v>
      </c>
      <c r="H287" s="19" t="n">
        <v>14.1</v>
      </c>
      <c r="I287" s="21" t="n">
        <v>51.69</v>
      </c>
      <c r="J287" s="22" t="s">
        <v>80</v>
      </c>
      <c r="K287" s="11" t="n">
        <v>38</v>
      </c>
      <c r="L287" s="23" t="n">
        <v>5</v>
      </c>
      <c r="M287" s="24" t="b">
        <f aca="false">FALSE()</f>
        <v>0</v>
      </c>
      <c r="N287" s="11"/>
      <c r="O287" s="11" t="str">
        <f aca="false">IF(K287&lt;=StockP33,"Low",IF(K287&lt;=StockP67,"Moderate","High"))</f>
        <v>High</v>
      </c>
      <c r="P287" s="11" t="str">
        <f aca="false">IF(H287=0,"Low",IF(H287&lt;=MarkdownP75,"Moderate","High"))</f>
        <v>Moderate</v>
      </c>
      <c r="Q287" s="11" t="str">
        <f aca="false">IF(ISBLANK(L287),"Unknown",IF(L287&gt;=4,"Good",IF(L287&lt;=2,"Poor","Neutral")))</f>
        <v>Good</v>
      </c>
      <c r="R287" s="11" t="str">
        <f aca="false">IF(AND(O287="Low",P287="Low",Q287="Good"),"BUY / PRIORITIZE",IF(AND(O287="High",P287="High",OR(Q287="Poor",M287=TRUE())),"HOLD / REVIEW","MONITOR"))</f>
        <v>MONITOR</v>
      </c>
      <c r="S287" s="11" t="n">
        <f aca="false">K287+(ROW()/10000000)</f>
        <v>38.0000287</v>
      </c>
    </row>
    <row r="288" customFormat="false" ht="15" hidden="false" customHeight="false" outlineLevel="0" collapsed="false">
      <c r="A288" s="11" t="s">
        <v>461</v>
      </c>
      <c r="B288" s="11" t="s">
        <v>28</v>
      </c>
      <c r="C288" s="11" t="s">
        <v>95</v>
      </c>
      <c r="D288" s="11" t="s">
        <v>37</v>
      </c>
      <c r="E288" s="11" t="s">
        <v>73</v>
      </c>
      <c r="F288" s="11" t="s">
        <v>79</v>
      </c>
      <c r="G288" s="21" t="n">
        <v>169.03</v>
      </c>
      <c r="H288" s="19" t="n">
        <v>0</v>
      </c>
      <c r="I288" s="21" t="n">
        <v>169.03</v>
      </c>
      <c r="J288" s="22" t="s">
        <v>80</v>
      </c>
      <c r="K288" s="11" t="n">
        <v>16</v>
      </c>
      <c r="L288" s="23" t="n">
        <v>1.7</v>
      </c>
      <c r="M288" s="24" t="b">
        <f aca="false">FALSE()</f>
        <v>0</v>
      </c>
      <c r="N288" s="11"/>
      <c r="O288" s="11" t="str">
        <f aca="false">IF(K288&lt;=StockP33,"Low",IF(K288&lt;=StockP67,"Moderate","High"))</f>
        <v>Low</v>
      </c>
      <c r="P288" s="11" t="str">
        <f aca="false">IF(H288=0,"Low",IF(H288&lt;=MarkdownP75,"Moderate","High"))</f>
        <v>Low</v>
      </c>
      <c r="Q288" s="11" t="str">
        <f aca="false">IF(ISBLANK(L288),"Unknown",IF(L288&gt;=4,"Good",IF(L288&lt;=2,"Poor","Neutral")))</f>
        <v>Poor</v>
      </c>
      <c r="R288" s="11" t="str">
        <f aca="false">IF(AND(O288="Low",P288="Low",Q288="Good"),"BUY / PRIORITIZE",IF(AND(O288="High",P288="High",OR(Q288="Poor",M288=TRUE())),"HOLD / REVIEW","MONITOR"))</f>
        <v>MONITOR</v>
      </c>
      <c r="S288" s="11" t="n">
        <f aca="false">K288+(ROW()/10000000)</f>
        <v>16.0000288</v>
      </c>
    </row>
    <row r="289" customFormat="false" ht="15" hidden="false" customHeight="false" outlineLevel="0" collapsed="false">
      <c r="A289" s="11" t="s">
        <v>462</v>
      </c>
      <c r="B289" s="11" t="s">
        <v>27</v>
      </c>
      <c r="C289" s="11" t="s">
        <v>77</v>
      </c>
      <c r="D289" s="11" t="s">
        <v>36</v>
      </c>
      <c r="E289" s="11" t="s">
        <v>91</v>
      </c>
      <c r="F289" s="11" t="s">
        <v>79</v>
      </c>
      <c r="G289" s="21" t="n">
        <v>175.86</v>
      </c>
      <c r="H289" s="19" t="n">
        <v>0</v>
      </c>
      <c r="I289" s="21" t="n">
        <v>175.86</v>
      </c>
      <c r="J289" s="22" t="s">
        <v>80</v>
      </c>
      <c r="K289" s="11" t="n">
        <v>0</v>
      </c>
      <c r="L289" s="23" t="n">
        <v>4.6</v>
      </c>
      <c r="M289" s="24" t="b">
        <f aca="false">FALSE()</f>
        <v>0</v>
      </c>
      <c r="N289" s="11"/>
      <c r="O289" s="11" t="str">
        <f aca="false">IF(K289&lt;=StockP33,"Low",IF(K289&lt;=StockP67,"Moderate","High"))</f>
        <v>Low</v>
      </c>
      <c r="P289" s="11" t="str">
        <f aca="false">IF(H289=0,"Low",IF(H289&lt;=MarkdownP75,"Moderate","High"))</f>
        <v>Low</v>
      </c>
      <c r="Q289" s="11" t="str">
        <f aca="false">IF(ISBLANK(L289),"Unknown",IF(L289&gt;=4,"Good",IF(L289&lt;=2,"Poor","Neutral")))</f>
        <v>Good</v>
      </c>
      <c r="R289" s="11" t="str">
        <f aca="false">IF(AND(O289="Low",P289="Low",Q289="Good"),"BUY / PRIORITIZE",IF(AND(O289="High",P289="High",OR(Q289="Poor",M289=TRUE())),"HOLD / REVIEW","MONITOR"))</f>
        <v>BUY / PRIORITIZE</v>
      </c>
      <c r="S289" s="11" t="n">
        <f aca="false">K289+(ROW()/10000000)</f>
        <v>2.89E-005</v>
      </c>
    </row>
    <row r="290" customFormat="false" ht="15" hidden="false" customHeight="false" outlineLevel="0" collapsed="false">
      <c r="A290" s="11" t="s">
        <v>463</v>
      </c>
      <c r="B290" s="11" t="s">
        <v>29</v>
      </c>
      <c r="C290" s="11" t="s">
        <v>95</v>
      </c>
      <c r="D290" s="11" t="s">
        <v>35</v>
      </c>
      <c r="E290" s="11"/>
      <c r="F290" s="11" t="s">
        <v>124</v>
      </c>
      <c r="G290" s="21" t="n">
        <v>169.75</v>
      </c>
      <c r="H290" s="19" t="n">
        <v>0</v>
      </c>
      <c r="I290" s="21" t="n">
        <v>169.75</v>
      </c>
      <c r="J290" s="22" t="s">
        <v>80</v>
      </c>
      <c r="K290" s="11" t="n">
        <v>5</v>
      </c>
      <c r="L290" s="23" t="n">
        <v>2.7</v>
      </c>
      <c r="M290" s="24" t="b">
        <f aca="false">FALSE()</f>
        <v>0</v>
      </c>
      <c r="N290" s="11"/>
      <c r="O290" s="11" t="str">
        <f aca="false">IF(K290&lt;=StockP33,"Low",IF(K290&lt;=StockP67,"Moderate","High"))</f>
        <v>Low</v>
      </c>
      <c r="P290" s="11" t="str">
        <f aca="false">IF(H290=0,"Low",IF(H290&lt;=MarkdownP75,"Moderate","High"))</f>
        <v>Low</v>
      </c>
      <c r="Q290" s="11" t="str">
        <f aca="false">IF(ISBLANK(L290),"Unknown",IF(L290&gt;=4,"Good",IF(L290&lt;=2,"Poor","Neutral")))</f>
        <v>Neutral</v>
      </c>
      <c r="R290" s="11" t="str">
        <f aca="false">IF(AND(O290="Low",P290="Low",Q290="Good"),"BUY / PRIORITIZE",IF(AND(O290="High",P290="High",OR(Q290="Poor",M290=TRUE())),"HOLD / REVIEW","MONITOR"))</f>
        <v>MONITOR</v>
      </c>
      <c r="S290" s="11" t="n">
        <f aca="false">K290+(ROW()/10000000)</f>
        <v>5.000029</v>
      </c>
    </row>
    <row r="291" customFormat="false" ht="15" hidden="false" customHeight="false" outlineLevel="0" collapsed="false">
      <c r="A291" s="11" t="s">
        <v>464</v>
      </c>
      <c r="B291" s="11" t="s">
        <v>8</v>
      </c>
      <c r="C291" s="11" t="s">
        <v>101</v>
      </c>
      <c r="D291" s="11" t="s">
        <v>35</v>
      </c>
      <c r="E291" s="11"/>
      <c r="F291" s="11" t="s">
        <v>74</v>
      </c>
      <c r="G291" s="21" t="n">
        <v>51.77</v>
      </c>
      <c r="H291" s="19" t="n">
        <v>24.3</v>
      </c>
      <c r="I291" s="21" t="n">
        <v>39.19</v>
      </c>
      <c r="J291" s="22" t="s">
        <v>80</v>
      </c>
      <c r="K291" s="11" t="n">
        <v>50</v>
      </c>
      <c r="L291" s="23" t="n">
        <v>3.7</v>
      </c>
      <c r="M291" s="24" t="b">
        <f aca="false">FALSE()</f>
        <v>0</v>
      </c>
      <c r="N291" s="11"/>
      <c r="O291" s="11" t="str">
        <f aca="false">IF(K291&lt;=StockP33,"Low",IF(K291&lt;=StockP67,"Moderate","High"))</f>
        <v>High</v>
      </c>
      <c r="P291" s="11" t="str">
        <f aca="false">IF(H291=0,"Low",IF(H291&lt;=MarkdownP75,"Moderate","High"))</f>
        <v>High</v>
      </c>
      <c r="Q291" s="11" t="str">
        <f aca="false">IF(ISBLANK(L291),"Unknown",IF(L291&gt;=4,"Good",IF(L291&lt;=2,"Poor","Neutral")))</f>
        <v>Neutral</v>
      </c>
      <c r="R291" s="11" t="str">
        <f aca="false">IF(AND(O291="Low",P291="Low",Q291="Good"),"BUY / PRIORITIZE",IF(AND(O291="High",P291="High",OR(Q291="Poor",M291=TRUE())),"HOLD / REVIEW","MONITOR"))</f>
        <v>MONITOR</v>
      </c>
      <c r="S291" s="11" t="n">
        <f aca="false">K291+(ROW()/10000000)</f>
        <v>50.0000291</v>
      </c>
    </row>
    <row r="292" customFormat="false" ht="15" hidden="false" customHeight="false" outlineLevel="0" collapsed="false">
      <c r="A292" s="11" t="s">
        <v>465</v>
      </c>
      <c r="B292" s="11" t="s">
        <v>30</v>
      </c>
      <c r="C292" s="11" t="s">
        <v>95</v>
      </c>
      <c r="D292" s="11" t="s">
        <v>36</v>
      </c>
      <c r="E292" s="11" t="s">
        <v>113</v>
      </c>
      <c r="F292" s="11" t="s">
        <v>82</v>
      </c>
      <c r="G292" s="21" t="n">
        <v>83.09</v>
      </c>
      <c r="H292" s="19" t="n">
        <v>0</v>
      </c>
      <c r="I292" s="21" t="n">
        <v>83.09</v>
      </c>
      <c r="J292" s="22" t="s">
        <v>80</v>
      </c>
      <c r="K292" s="11" t="n">
        <v>22</v>
      </c>
      <c r="L292" s="23" t="n">
        <v>2.3</v>
      </c>
      <c r="M292" s="24" t="b">
        <f aca="false">FALSE()</f>
        <v>0</v>
      </c>
      <c r="N292" s="11"/>
      <c r="O292" s="11" t="str">
        <f aca="false">IF(K292&lt;=StockP33,"Low",IF(K292&lt;=StockP67,"Moderate","High"))</f>
        <v>Moderate</v>
      </c>
      <c r="P292" s="11" t="str">
        <f aca="false">IF(H292=0,"Low",IF(H292&lt;=MarkdownP75,"Moderate","High"))</f>
        <v>Low</v>
      </c>
      <c r="Q292" s="11" t="str">
        <f aca="false">IF(ISBLANK(L292),"Unknown",IF(L292&gt;=4,"Good",IF(L292&lt;=2,"Poor","Neutral")))</f>
        <v>Neutral</v>
      </c>
      <c r="R292" s="11" t="str">
        <f aca="false">IF(AND(O292="Low",P292="Low",Q292="Good"),"BUY / PRIORITIZE",IF(AND(O292="High",P292="High",OR(Q292="Poor",M292=TRUE())),"HOLD / REVIEW","MONITOR"))</f>
        <v>MONITOR</v>
      </c>
      <c r="S292" s="11" t="n">
        <f aca="false">K292+(ROW()/10000000)</f>
        <v>22.0000292</v>
      </c>
    </row>
    <row r="293" customFormat="false" ht="15" hidden="false" customHeight="false" outlineLevel="0" collapsed="false">
      <c r="A293" s="11" t="s">
        <v>466</v>
      </c>
      <c r="B293" s="11" t="s">
        <v>28</v>
      </c>
      <c r="C293" s="11" t="s">
        <v>107</v>
      </c>
      <c r="D293" s="11" t="s">
        <v>37</v>
      </c>
      <c r="E293" s="11" t="s">
        <v>110</v>
      </c>
      <c r="F293" s="11" t="s">
        <v>120</v>
      </c>
      <c r="G293" s="21" t="n">
        <v>176.1</v>
      </c>
      <c r="H293" s="19" t="n">
        <v>0</v>
      </c>
      <c r="I293" s="21" t="n">
        <v>176.1</v>
      </c>
      <c r="J293" s="22" t="s">
        <v>80</v>
      </c>
      <c r="K293" s="11" t="n">
        <v>12</v>
      </c>
      <c r="L293" s="23" t="n">
        <v>4.6</v>
      </c>
      <c r="M293" s="24" t="b">
        <f aca="false">FALSE()</f>
        <v>0</v>
      </c>
      <c r="N293" s="11"/>
      <c r="O293" s="11" t="str">
        <f aca="false">IF(K293&lt;=StockP33,"Low",IF(K293&lt;=StockP67,"Moderate","High"))</f>
        <v>Low</v>
      </c>
      <c r="P293" s="11" t="str">
        <f aca="false">IF(H293=0,"Low",IF(H293&lt;=MarkdownP75,"Moderate","High"))</f>
        <v>Low</v>
      </c>
      <c r="Q293" s="11" t="str">
        <f aca="false">IF(ISBLANK(L293),"Unknown",IF(L293&gt;=4,"Good",IF(L293&lt;=2,"Poor","Neutral")))</f>
        <v>Good</v>
      </c>
      <c r="R293" s="11" t="str">
        <f aca="false">IF(AND(O293="Low",P293="Low",Q293="Good"),"BUY / PRIORITIZE",IF(AND(O293="High",P293="High",OR(Q293="Poor",M293=TRUE())),"HOLD / REVIEW","MONITOR"))</f>
        <v>BUY / PRIORITIZE</v>
      </c>
      <c r="S293" s="11" t="n">
        <f aca="false">K293+(ROW()/10000000)</f>
        <v>12.0000293</v>
      </c>
    </row>
    <row r="294" customFormat="false" ht="15" hidden="false" customHeight="false" outlineLevel="0" collapsed="false">
      <c r="A294" s="11" t="s">
        <v>467</v>
      </c>
      <c r="B294" s="11" t="s">
        <v>26</v>
      </c>
      <c r="C294" s="11" t="s">
        <v>95</v>
      </c>
      <c r="D294" s="11" t="s">
        <v>36</v>
      </c>
      <c r="E294" s="11" t="s">
        <v>113</v>
      </c>
      <c r="F294" s="11" t="s">
        <v>96</v>
      </c>
      <c r="G294" s="21" t="n">
        <v>69.11</v>
      </c>
      <c r="H294" s="19" t="n">
        <v>0</v>
      </c>
      <c r="I294" s="21" t="n">
        <v>69.11</v>
      </c>
      <c r="J294" s="22" t="s">
        <v>80</v>
      </c>
      <c r="K294" s="11" t="n">
        <v>18</v>
      </c>
      <c r="L294" s="23" t="n">
        <v>3.9</v>
      </c>
      <c r="M294" s="24" t="b">
        <f aca="false">FALSE()</f>
        <v>0</v>
      </c>
      <c r="N294" s="11"/>
      <c r="O294" s="11" t="str">
        <f aca="false">IF(K294&lt;=StockP33,"Low",IF(K294&lt;=StockP67,"Moderate","High"))</f>
        <v>Moderate</v>
      </c>
      <c r="P294" s="11" t="str">
        <f aca="false">IF(H294=0,"Low",IF(H294&lt;=MarkdownP75,"Moderate","High"))</f>
        <v>Low</v>
      </c>
      <c r="Q294" s="11" t="str">
        <f aca="false">IF(ISBLANK(L294),"Unknown",IF(L294&gt;=4,"Good",IF(L294&lt;=2,"Poor","Neutral")))</f>
        <v>Neutral</v>
      </c>
      <c r="R294" s="11" t="str">
        <f aca="false">IF(AND(O294="Low",P294="Low",Q294="Good"),"BUY / PRIORITIZE",IF(AND(O294="High",P294="High",OR(Q294="Poor",M294=TRUE())),"HOLD / REVIEW","MONITOR"))</f>
        <v>MONITOR</v>
      </c>
      <c r="S294" s="11" t="n">
        <f aca="false">K294+(ROW()/10000000)</f>
        <v>18.0000294</v>
      </c>
    </row>
    <row r="295" customFormat="false" ht="15" hidden="false" customHeight="false" outlineLevel="0" collapsed="false">
      <c r="A295" s="11" t="s">
        <v>468</v>
      </c>
      <c r="B295" s="11" t="s">
        <v>29</v>
      </c>
      <c r="C295" s="11" t="s">
        <v>72</v>
      </c>
      <c r="D295" s="11" t="s">
        <v>34</v>
      </c>
      <c r="E295" s="11" t="s">
        <v>91</v>
      </c>
      <c r="F295" s="11" t="s">
        <v>120</v>
      </c>
      <c r="G295" s="21" t="n">
        <v>117.85</v>
      </c>
      <c r="H295" s="19" t="n">
        <v>0</v>
      </c>
      <c r="I295" s="21" t="n">
        <v>117.85</v>
      </c>
      <c r="J295" s="22" t="s">
        <v>469</v>
      </c>
      <c r="K295" s="11" t="n">
        <v>34</v>
      </c>
      <c r="L295" s="23" t="n">
        <v>3.3</v>
      </c>
      <c r="M295" s="24" t="b">
        <f aca="false">FALSE()</f>
        <v>0</v>
      </c>
      <c r="N295" s="11"/>
      <c r="O295" s="11" t="str">
        <f aca="false">IF(K295&lt;=StockP33,"Low",IF(K295&lt;=StockP67,"Moderate","High"))</f>
        <v>High</v>
      </c>
      <c r="P295" s="11" t="str">
        <f aca="false">IF(H295=0,"Low",IF(H295&lt;=MarkdownP75,"Moderate","High"))</f>
        <v>Low</v>
      </c>
      <c r="Q295" s="11" t="str">
        <f aca="false">IF(ISBLANK(L295),"Unknown",IF(L295&gt;=4,"Good",IF(L295&lt;=2,"Poor","Neutral")))</f>
        <v>Neutral</v>
      </c>
      <c r="R295" s="11" t="str">
        <f aca="false">IF(AND(O295="Low",P295="Low",Q295="Good"),"BUY / PRIORITIZE",IF(AND(O295="High",P295="High",OR(Q295="Poor",M295=TRUE())),"HOLD / REVIEW","MONITOR"))</f>
        <v>MONITOR</v>
      </c>
      <c r="S295" s="11" t="n">
        <f aca="false">K295+(ROW()/10000000)</f>
        <v>34.0000295</v>
      </c>
    </row>
    <row r="296" customFormat="false" ht="15" hidden="false" customHeight="false" outlineLevel="0" collapsed="false">
      <c r="A296" s="11" t="s">
        <v>470</v>
      </c>
      <c r="B296" s="11" t="s">
        <v>29</v>
      </c>
      <c r="C296" s="11" t="s">
        <v>86</v>
      </c>
      <c r="D296" s="11" t="s">
        <v>36</v>
      </c>
      <c r="E296" s="11" t="s">
        <v>113</v>
      </c>
      <c r="F296" s="11" t="s">
        <v>120</v>
      </c>
      <c r="G296" s="21" t="n">
        <v>96.17</v>
      </c>
      <c r="H296" s="19" t="n">
        <v>36</v>
      </c>
      <c r="I296" s="21" t="n">
        <v>61.55</v>
      </c>
      <c r="J296" s="22" t="s">
        <v>80</v>
      </c>
      <c r="K296" s="11" t="n">
        <v>45</v>
      </c>
      <c r="L296" s="23" t="n">
        <v>3.5</v>
      </c>
      <c r="M296" s="24" t="b">
        <f aca="false">FALSE()</f>
        <v>0</v>
      </c>
      <c r="N296" s="11"/>
      <c r="O296" s="11" t="str">
        <f aca="false">IF(K296&lt;=StockP33,"Low",IF(K296&lt;=StockP67,"Moderate","High"))</f>
        <v>High</v>
      </c>
      <c r="P296" s="11" t="str">
        <f aca="false">IF(H296=0,"Low",IF(H296&lt;=MarkdownP75,"Moderate","High"))</f>
        <v>High</v>
      </c>
      <c r="Q296" s="11" t="str">
        <f aca="false">IF(ISBLANK(L296),"Unknown",IF(L296&gt;=4,"Good",IF(L296&lt;=2,"Poor","Neutral")))</f>
        <v>Neutral</v>
      </c>
      <c r="R296" s="11" t="str">
        <f aca="false">IF(AND(O296="Low",P296="Low",Q296="Good"),"BUY / PRIORITIZE",IF(AND(O296="High",P296="High",OR(Q296="Poor",M296=TRUE())),"HOLD / REVIEW","MONITOR"))</f>
        <v>MONITOR</v>
      </c>
      <c r="S296" s="11" t="n">
        <f aca="false">K296+(ROW()/10000000)</f>
        <v>45.0000296</v>
      </c>
    </row>
    <row r="297" customFormat="false" ht="15" hidden="false" customHeight="false" outlineLevel="0" collapsed="false">
      <c r="A297" s="11" t="s">
        <v>471</v>
      </c>
      <c r="B297" s="11" t="s">
        <v>29</v>
      </c>
      <c r="C297" s="11" t="s">
        <v>72</v>
      </c>
      <c r="D297" s="11" t="s">
        <v>34</v>
      </c>
      <c r="E297" s="11" t="s">
        <v>102</v>
      </c>
      <c r="F297" s="11" t="s">
        <v>74</v>
      </c>
      <c r="G297" s="21" t="n">
        <v>80.14</v>
      </c>
      <c r="H297" s="19" t="n">
        <v>0</v>
      </c>
      <c r="I297" s="21" t="n">
        <v>80.14</v>
      </c>
      <c r="J297" s="22" t="s">
        <v>472</v>
      </c>
      <c r="K297" s="11" t="n">
        <v>10</v>
      </c>
      <c r="L297" s="23" t="n">
        <v>5</v>
      </c>
      <c r="M297" s="24" t="b">
        <f aca="false">FALSE()</f>
        <v>0</v>
      </c>
      <c r="N297" s="11"/>
      <c r="O297" s="11" t="str">
        <f aca="false">IF(K297&lt;=StockP33,"Low",IF(K297&lt;=StockP67,"Moderate","High"))</f>
        <v>Low</v>
      </c>
      <c r="P297" s="11" t="str">
        <f aca="false">IF(H297=0,"Low",IF(H297&lt;=MarkdownP75,"Moderate","High"))</f>
        <v>Low</v>
      </c>
      <c r="Q297" s="11" t="str">
        <f aca="false">IF(ISBLANK(L297),"Unknown",IF(L297&gt;=4,"Good",IF(L297&lt;=2,"Poor","Neutral")))</f>
        <v>Good</v>
      </c>
      <c r="R297" s="11" t="str">
        <f aca="false">IF(AND(O297="Low",P297="Low",Q297="Good"),"BUY / PRIORITIZE",IF(AND(O297="High",P297="High",OR(Q297="Poor",M297=TRUE())),"HOLD / REVIEW","MONITOR"))</f>
        <v>BUY / PRIORITIZE</v>
      </c>
      <c r="S297" s="11" t="n">
        <f aca="false">K297+(ROW()/10000000)</f>
        <v>10.0000297</v>
      </c>
    </row>
    <row r="298" customFormat="false" ht="15" hidden="false" customHeight="false" outlineLevel="0" collapsed="false">
      <c r="A298" s="11" t="s">
        <v>473</v>
      </c>
      <c r="B298" s="11" t="s">
        <v>8</v>
      </c>
      <c r="C298" s="11" t="s">
        <v>116</v>
      </c>
      <c r="D298" s="11" t="s">
        <v>35</v>
      </c>
      <c r="E298" s="11"/>
      <c r="F298" s="11" t="s">
        <v>79</v>
      </c>
      <c r="G298" s="21" t="n">
        <v>55.08</v>
      </c>
      <c r="H298" s="19" t="n">
        <v>13</v>
      </c>
      <c r="I298" s="21" t="n">
        <v>47.92</v>
      </c>
      <c r="J298" s="22" t="s">
        <v>80</v>
      </c>
      <c r="K298" s="11" t="n">
        <v>17</v>
      </c>
      <c r="L298" s="23" t="n">
        <v>3.9</v>
      </c>
      <c r="M298" s="24" t="b">
        <f aca="false">FALSE()</f>
        <v>0</v>
      </c>
      <c r="N298" s="11"/>
      <c r="O298" s="11" t="str">
        <f aca="false">IF(K298&lt;=StockP33,"Low",IF(K298&lt;=StockP67,"Moderate","High"))</f>
        <v>Low</v>
      </c>
      <c r="P298" s="11" t="str">
        <f aca="false">IF(H298=0,"Low",IF(H298&lt;=MarkdownP75,"Moderate","High"))</f>
        <v>Moderate</v>
      </c>
      <c r="Q298" s="11" t="str">
        <f aca="false">IF(ISBLANK(L298),"Unknown",IF(L298&gt;=4,"Good",IF(L298&lt;=2,"Poor","Neutral")))</f>
        <v>Neutral</v>
      </c>
      <c r="R298" s="11" t="str">
        <f aca="false">IF(AND(O298="Low",P298="Low",Q298="Good"),"BUY / PRIORITIZE",IF(AND(O298="High",P298="High",OR(Q298="Poor",M298=TRUE())),"HOLD / REVIEW","MONITOR"))</f>
        <v>MONITOR</v>
      </c>
      <c r="S298" s="11" t="n">
        <f aca="false">K298+(ROW()/10000000)</f>
        <v>17.0000298</v>
      </c>
    </row>
    <row r="299" customFormat="false" ht="15" hidden="false" customHeight="false" outlineLevel="0" collapsed="false">
      <c r="A299" s="11" t="s">
        <v>474</v>
      </c>
      <c r="B299" s="11" t="s">
        <v>27</v>
      </c>
      <c r="C299" s="11" t="s">
        <v>95</v>
      </c>
      <c r="D299" s="11" t="s">
        <v>36</v>
      </c>
      <c r="E299" s="11" t="s">
        <v>91</v>
      </c>
      <c r="F299" s="11" t="s">
        <v>79</v>
      </c>
      <c r="G299" s="21" t="n">
        <v>165.84</v>
      </c>
      <c r="H299" s="19" t="n">
        <v>50.4</v>
      </c>
      <c r="I299" s="21" t="n">
        <v>82.26</v>
      </c>
      <c r="J299" s="22" t="s">
        <v>80</v>
      </c>
      <c r="K299" s="11" t="n">
        <v>17</v>
      </c>
      <c r="L299" s="23" t="n">
        <v>3.2</v>
      </c>
      <c r="M299" s="24" t="b">
        <f aca="false">TRUE()</f>
        <v>1</v>
      </c>
      <c r="N299" s="11" t="s">
        <v>134</v>
      </c>
      <c r="O299" s="11" t="str">
        <f aca="false">IF(K299&lt;=StockP33,"Low",IF(K299&lt;=StockP67,"Moderate","High"))</f>
        <v>Low</v>
      </c>
      <c r="P299" s="11" t="str">
        <f aca="false">IF(H299=0,"Low",IF(H299&lt;=MarkdownP75,"Moderate","High"))</f>
        <v>High</v>
      </c>
      <c r="Q299" s="11" t="str">
        <f aca="false">IF(ISBLANK(L299),"Unknown",IF(L299&gt;=4,"Good",IF(L299&lt;=2,"Poor","Neutral")))</f>
        <v>Neutral</v>
      </c>
      <c r="R299" s="11" t="str">
        <f aca="false">IF(AND(O299="Low",P299="Low",Q299="Good"),"BUY / PRIORITIZE",IF(AND(O299="High",P299="High",OR(Q299="Poor",M299=TRUE())),"HOLD / REVIEW","MONITOR"))</f>
        <v>MONITOR</v>
      </c>
      <c r="S299" s="11" t="n">
        <f aca="false">K299+(ROW()/10000000)</f>
        <v>17.0000299</v>
      </c>
    </row>
    <row r="300" customFormat="false" ht="15" hidden="false" customHeight="false" outlineLevel="0" collapsed="false">
      <c r="A300" s="11" t="s">
        <v>475</v>
      </c>
      <c r="B300" s="11" t="s">
        <v>27</v>
      </c>
      <c r="C300" s="11" t="s">
        <v>116</v>
      </c>
      <c r="D300" s="11" t="s">
        <v>35</v>
      </c>
      <c r="E300" s="11" t="s">
        <v>102</v>
      </c>
      <c r="F300" s="11" t="s">
        <v>74</v>
      </c>
      <c r="G300" s="21" t="n">
        <v>82.7</v>
      </c>
      <c r="H300" s="19" t="n">
        <v>0</v>
      </c>
      <c r="I300" s="21" t="n">
        <v>82.7</v>
      </c>
      <c r="J300" s="22" t="s">
        <v>80</v>
      </c>
      <c r="K300" s="11" t="n">
        <v>20</v>
      </c>
      <c r="L300" s="23" t="n">
        <v>4</v>
      </c>
      <c r="M300" s="24" t="b">
        <f aca="false">FALSE()</f>
        <v>0</v>
      </c>
      <c r="N300" s="11"/>
      <c r="O300" s="11" t="str">
        <f aca="false">IF(K300&lt;=StockP33,"Low",IF(K300&lt;=StockP67,"Moderate","High"))</f>
        <v>Moderate</v>
      </c>
      <c r="P300" s="11" t="str">
        <f aca="false">IF(H300=0,"Low",IF(H300&lt;=MarkdownP75,"Moderate","High"))</f>
        <v>Low</v>
      </c>
      <c r="Q300" s="11" t="str">
        <f aca="false">IF(ISBLANK(L300),"Unknown",IF(L300&gt;=4,"Good",IF(L300&lt;=2,"Poor","Neutral")))</f>
        <v>Good</v>
      </c>
      <c r="R300" s="11" t="str">
        <f aca="false">IF(AND(O300="Low",P300="Low",Q300="Good"),"BUY / PRIORITIZE",IF(AND(O300="High",P300="High",OR(Q300="Poor",M300=TRUE())),"HOLD / REVIEW","MONITOR"))</f>
        <v>MONITOR</v>
      </c>
      <c r="S300" s="11" t="n">
        <f aca="false">K300+(ROW()/10000000)</f>
        <v>20.00003</v>
      </c>
    </row>
    <row r="301" customFormat="false" ht="15" hidden="false" customHeight="false" outlineLevel="0" collapsed="false">
      <c r="A301" s="11" t="s">
        <v>476</v>
      </c>
      <c r="B301" s="11" t="s">
        <v>28</v>
      </c>
      <c r="C301" s="11" t="s">
        <v>86</v>
      </c>
      <c r="D301" s="11" t="s">
        <v>34</v>
      </c>
      <c r="E301" s="11" t="s">
        <v>91</v>
      </c>
      <c r="F301" s="11" t="s">
        <v>120</v>
      </c>
      <c r="G301" s="21" t="n">
        <v>222.86</v>
      </c>
      <c r="H301" s="19" t="n">
        <v>6.6</v>
      </c>
      <c r="I301" s="21" t="n">
        <v>208.15</v>
      </c>
      <c r="J301" s="22" t="s">
        <v>318</v>
      </c>
      <c r="K301" s="11" t="n">
        <v>29</v>
      </c>
      <c r="L301" s="23" t="n">
        <v>2.1</v>
      </c>
      <c r="M301" s="24" t="b">
        <f aca="false">FALSE()</f>
        <v>0</v>
      </c>
      <c r="N301" s="11"/>
      <c r="O301" s="11" t="str">
        <f aca="false">IF(K301&lt;=StockP33,"Low",IF(K301&lt;=StockP67,"Moderate","High"))</f>
        <v>Moderate</v>
      </c>
      <c r="P301" s="11" t="str">
        <f aca="false">IF(H301=0,"Low",IF(H301&lt;=MarkdownP75,"Moderate","High"))</f>
        <v>Moderate</v>
      </c>
      <c r="Q301" s="11" t="str">
        <f aca="false">IF(ISBLANK(L301),"Unknown",IF(L301&gt;=4,"Good",IF(L301&lt;=2,"Poor","Neutral")))</f>
        <v>Neutral</v>
      </c>
      <c r="R301" s="11" t="str">
        <f aca="false">IF(AND(O301="Low",P301="Low",Q301="Good"),"BUY / PRIORITIZE",IF(AND(O301="High",P301="High",OR(Q301="Poor",M301=TRUE())),"HOLD / REVIEW","MONITOR"))</f>
        <v>MONITOR</v>
      </c>
      <c r="S301" s="11" t="n">
        <f aca="false">K301+(ROW()/10000000)</f>
        <v>29.0000301</v>
      </c>
    </row>
    <row r="302" customFormat="false" ht="15" hidden="false" customHeight="false" outlineLevel="0" collapsed="false">
      <c r="A302" s="11" t="s">
        <v>477</v>
      </c>
      <c r="B302" s="11" t="s">
        <v>30</v>
      </c>
      <c r="C302" s="11" t="s">
        <v>95</v>
      </c>
      <c r="D302" s="11" t="s">
        <v>37</v>
      </c>
      <c r="E302" s="11" t="s">
        <v>78</v>
      </c>
      <c r="F302" s="11" t="s">
        <v>92</v>
      </c>
      <c r="G302" s="21" t="n">
        <v>107.15</v>
      </c>
      <c r="H302" s="19" t="n">
        <v>0</v>
      </c>
      <c r="I302" s="21" t="n">
        <v>107.15</v>
      </c>
      <c r="J302" s="22" t="s">
        <v>80</v>
      </c>
      <c r="K302" s="11" t="n">
        <v>33</v>
      </c>
      <c r="L302" s="23"/>
      <c r="M302" s="24" t="b">
        <f aca="false">TRUE()</f>
        <v>1</v>
      </c>
      <c r="N302" s="11" t="s">
        <v>191</v>
      </c>
      <c r="O302" s="11" t="str">
        <f aca="false">IF(K302&lt;=StockP33,"Low",IF(K302&lt;=StockP67,"Moderate","High"))</f>
        <v>Moderate</v>
      </c>
      <c r="P302" s="11" t="str">
        <f aca="false">IF(H302=0,"Low",IF(H302&lt;=MarkdownP75,"Moderate","High"))</f>
        <v>Low</v>
      </c>
      <c r="Q302" s="11" t="str">
        <f aca="false">IF(ISBLANK(L302),"Unknown",IF(L302&gt;=4,"Good",IF(L302&lt;=2,"Poor","Neutral")))</f>
        <v>Unknown</v>
      </c>
      <c r="R302" s="11" t="str">
        <f aca="false">IF(AND(O302="Low",P302="Low",Q302="Good"),"BUY / PRIORITIZE",IF(AND(O302="High",P302="High",OR(Q302="Poor",M302=TRUE())),"HOLD / REVIEW","MONITOR"))</f>
        <v>MONITOR</v>
      </c>
      <c r="S302" s="11" t="n">
        <f aca="false">K302+(ROW()/10000000)</f>
        <v>33.0000302</v>
      </c>
    </row>
    <row r="303" customFormat="false" ht="15" hidden="false" customHeight="false" outlineLevel="0" collapsed="false">
      <c r="A303" s="11" t="s">
        <v>478</v>
      </c>
      <c r="B303" s="11" t="s">
        <v>29</v>
      </c>
      <c r="C303" s="11" t="s">
        <v>101</v>
      </c>
      <c r="D303" s="11" t="s">
        <v>36</v>
      </c>
      <c r="E303" s="11" t="s">
        <v>102</v>
      </c>
      <c r="F303" s="11" t="s">
        <v>92</v>
      </c>
      <c r="G303" s="21" t="n">
        <v>85.54</v>
      </c>
      <c r="H303" s="19" t="n">
        <v>0</v>
      </c>
      <c r="I303" s="21" t="n">
        <v>85.54</v>
      </c>
      <c r="J303" s="22" t="s">
        <v>80</v>
      </c>
      <c r="K303" s="11" t="n">
        <v>30</v>
      </c>
      <c r="L303" s="23"/>
      <c r="M303" s="24" t="b">
        <f aca="false">FALSE()</f>
        <v>0</v>
      </c>
      <c r="N303" s="11"/>
      <c r="O303" s="11" t="str">
        <f aca="false">IF(K303&lt;=StockP33,"Low",IF(K303&lt;=StockP67,"Moderate","High"))</f>
        <v>Moderate</v>
      </c>
      <c r="P303" s="11" t="str">
        <f aca="false">IF(H303=0,"Low",IF(H303&lt;=MarkdownP75,"Moderate","High"))</f>
        <v>Low</v>
      </c>
      <c r="Q303" s="11" t="str">
        <f aca="false">IF(ISBLANK(L303),"Unknown",IF(L303&gt;=4,"Good",IF(L303&lt;=2,"Poor","Neutral")))</f>
        <v>Unknown</v>
      </c>
      <c r="R303" s="11" t="str">
        <f aca="false">IF(AND(O303="Low",P303="Low",Q303="Good"),"BUY / PRIORITIZE",IF(AND(O303="High",P303="High",OR(Q303="Poor",M303=TRUE())),"HOLD / REVIEW","MONITOR"))</f>
        <v>MONITOR</v>
      </c>
      <c r="S303" s="11" t="n">
        <f aca="false">K303+(ROW()/10000000)</f>
        <v>30.0000303</v>
      </c>
    </row>
    <row r="304" customFormat="false" ht="15" hidden="false" customHeight="false" outlineLevel="0" collapsed="false">
      <c r="A304" s="11" t="s">
        <v>479</v>
      </c>
      <c r="B304" s="11" t="s">
        <v>26</v>
      </c>
      <c r="C304" s="11" t="s">
        <v>95</v>
      </c>
      <c r="D304" s="11" t="s">
        <v>35</v>
      </c>
      <c r="E304" s="11" t="s">
        <v>73</v>
      </c>
      <c r="F304" s="11" t="s">
        <v>98</v>
      </c>
      <c r="G304" s="21" t="n">
        <v>34.36</v>
      </c>
      <c r="H304" s="19" t="n">
        <v>5.4</v>
      </c>
      <c r="I304" s="21" t="n">
        <v>32.5</v>
      </c>
      <c r="J304" s="22" t="s">
        <v>80</v>
      </c>
      <c r="K304" s="11" t="n">
        <v>49</v>
      </c>
      <c r="L304" s="23" t="n">
        <v>4.5</v>
      </c>
      <c r="M304" s="24" t="b">
        <f aca="false">FALSE()</f>
        <v>0</v>
      </c>
      <c r="N304" s="11"/>
      <c r="O304" s="11" t="str">
        <f aca="false">IF(K304&lt;=StockP33,"Low",IF(K304&lt;=StockP67,"Moderate","High"))</f>
        <v>High</v>
      </c>
      <c r="P304" s="11" t="str">
        <f aca="false">IF(H304=0,"Low",IF(H304&lt;=MarkdownP75,"Moderate","High"))</f>
        <v>Moderate</v>
      </c>
      <c r="Q304" s="11" t="str">
        <f aca="false">IF(ISBLANK(L304),"Unknown",IF(L304&gt;=4,"Good",IF(L304&lt;=2,"Poor","Neutral")))</f>
        <v>Good</v>
      </c>
      <c r="R304" s="11" t="str">
        <f aca="false">IF(AND(O304="Low",P304="Low",Q304="Good"),"BUY / PRIORITIZE",IF(AND(O304="High",P304="High",OR(Q304="Poor",M304=TRUE())),"HOLD / REVIEW","MONITOR"))</f>
        <v>MONITOR</v>
      </c>
      <c r="S304" s="11" t="n">
        <f aca="false">K304+(ROW()/10000000)</f>
        <v>49.0000304</v>
      </c>
    </row>
    <row r="305" customFormat="false" ht="15" hidden="false" customHeight="false" outlineLevel="0" collapsed="false">
      <c r="A305" s="11" t="s">
        <v>480</v>
      </c>
      <c r="B305" s="11" t="s">
        <v>26</v>
      </c>
      <c r="C305" s="11" t="s">
        <v>95</v>
      </c>
      <c r="D305" s="11" t="s">
        <v>37</v>
      </c>
      <c r="E305" s="11" t="s">
        <v>73</v>
      </c>
      <c r="F305" s="11" t="s">
        <v>82</v>
      </c>
      <c r="G305" s="21" t="n">
        <v>111.25</v>
      </c>
      <c r="H305" s="19" t="n">
        <v>42.2</v>
      </c>
      <c r="I305" s="21" t="n">
        <v>64.3</v>
      </c>
      <c r="J305" s="22" t="s">
        <v>80</v>
      </c>
      <c r="K305" s="11" t="n">
        <v>34</v>
      </c>
      <c r="L305" s="23" t="n">
        <v>3</v>
      </c>
      <c r="M305" s="24" t="b">
        <f aca="false">FALSE()</f>
        <v>0</v>
      </c>
      <c r="N305" s="11"/>
      <c r="O305" s="11" t="str">
        <f aca="false">IF(K305&lt;=StockP33,"Low",IF(K305&lt;=StockP67,"Moderate","High"))</f>
        <v>High</v>
      </c>
      <c r="P305" s="11" t="str">
        <f aca="false">IF(H305=0,"Low",IF(H305&lt;=MarkdownP75,"Moderate","High"))</f>
        <v>High</v>
      </c>
      <c r="Q305" s="11" t="str">
        <f aca="false">IF(ISBLANK(L305),"Unknown",IF(L305&gt;=4,"Good",IF(L305&lt;=2,"Poor","Neutral")))</f>
        <v>Neutral</v>
      </c>
      <c r="R305" s="11" t="str">
        <f aca="false">IF(AND(O305="Low",P305="Low",Q305="Good"),"BUY / PRIORITIZE",IF(AND(O305="High",P305="High",OR(Q305="Poor",M305=TRUE())),"HOLD / REVIEW","MONITOR"))</f>
        <v>MONITOR</v>
      </c>
      <c r="S305" s="11" t="n">
        <f aca="false">K305+(ROW()/10000000)</f>
        <v>34.0000305</v>
      </c>
    </row>
    <row r="306" customFormat="false" ht="15" hidden="false" customHeight="false" outlineLevel="0" collapsed="false">
      <c r="A306" s="11" t="s">
        <v>481</v>
      </c>
      <c r="B306" s="11" t="s">
        <v>30</v>
      </c>
      <c r="C306" s="11" t="s">
        <v>72</v>
      </c>
      <c r="D306" s="11" t="s">
        <v>34</v>
      </c>
      <c r="E306" s="11" t="s">
        <v>102</v>
      </c>
      <c r="F306" s="11" t="s">
        <v>79</v>
      </c>
      <c r="G306" s="21" t="n">
        <v>39.97</v>
      </c>
      <c r="H306" s="19" t="n">
        <v>35.2</v>
      </c>
      <c r="I306" s="21" t="n">
        <v>25.9</v>
      </c>
      <c r="J306" s="22" t="s">
        <v>482</v>
      </c>
      <c r="K306" s="11" t="n">
        <v>15</v>
      </c>
      <c r="L306" s="23" t="n">
        <v>2.3</v>
      </c>
      <c r="M306" s="24" t="b">
        <f aca="false">FALSE()</f>
        <v>0</v>
      </c>
      <c r="N306" s="11"/>
      <c r="O306" s="11" t="str">
        <f aca="false">IF(K306&lt;=StockP33,"Low",IF(K306&lt;=StockP67,"Moderate","High"))</f>
        <v>Low</v>
      </c>
      <c r="P306" s="11" t="str">
        <f aca="false">IF(H306=0,"Low",IF(H306&lt;=MarkdownP75,"Moderate","High"))</f>
        <v>High</v>
      </c>
      <c r="Q306" s="11" t="str">
        <f aca="false">IF(ISBLANK(L306),"Unknown",IF(L306&gt;=4,"Good",IF(L306&lt;=2,"Poor","Neutral")))</f>
        <v>Neutral</v>
      </c>
      <c r="R306" s="11" t="str">
        <f aca="false">IF(AND(O306="Low",P306="Low",Q306="Good"),"BUY / PRIORITIZE",IF(AND(O306="High",P306="High",OR(Q306="Poor",M306=TRUE())),"HOLD / REVIEW","MONITOR"))</f>
        <v>MONITOR</v>
      </c>
      <c r="S306" s="11" t="n">
        <f aca="false">K306+(ROW()/10000000)</f>
        <v>15.0000306</v>
      </c>
    </row>
    <row r="307" customFormat="false" ht="15" hidden="false" customHeight="false" outlineLevel="0" collapsed="false">
      <c r="A307" s="11" t="s">
        <v>483</v>
      </c>
      <c r="B307" s="11" t="s">
        <v>29</v>
      </c>
      <c r="C307" s="11" t="s">
        <v>130</v>
      </c>
      <c r="D307" s="11" t="s">
        <v>35</v>
      </c>
      <c r="E307" s="11" t="s">
        <v>113</v>
      </c>
      <c r="F307" s="11" t="s">
        <v>88</v>
      </c>
      <c r="G307" s="21" t="n">
        <v>60.34</v>
      </c>
      <c r="H307" s="19" t="n">
        <v>0</v>
      </c>
      <c r="I307" s="21" t="n">
        <v>60.34</v>
      </c>
      <c r="J307" s="22" t="s">
        <v>80</v>
      </c>
      <c r="K307" s="11" t="n">
        <v>4</v>
      </c>
      <c r="L307" s="23"/>
      <c r="M307" s="24" t="b">
        <f aca="false">FALSE()</f>
        <v>0</v>
      </c>
      <c r="N307" s="11"/>
      <c r="O307" s="11" t="str">
        <f aca="false">IF(K307&lt;=StockP33,"Low",IF(K307&lt;=StockP67,"Moderate","High"))</f>
        <v>Low</v>
      </c>
      <c r="P307" s="11" t="str">
        <f aca="false">IF(H307=0,"Low",IF(H307&lt;=MarkdownP75,"Moderate","High"))</f>
        <v>Low</v>
      </c>
      <c r="Q307" s="11" t="str">
        <f aca="false">IF(ISBLANK(L307),"Unknown",IF(L307&gt;=4,"Good",IF(L307&lt;=2,"Poor","Neutral")))</f>
        <v>Unknown</v>
      </c>
      <c r="R307" s="11" t="str">
        <f aca="false">IF(AND(O307="Low",P307="Low",Q307="Good"),"BUY / PRIORITIZE",IF(AND(O307="High",P307="High",OR(Q307="Poor",M307=TRUE())),"HOLD / REVIEW","MONITOR"))</f>
        <v>MONITOR</v>
      </c>
      <c r="S307" s="11" t="n">
        <f aca="false">K307+(ROW()/10000000)</f>
        <v>4.0000307</v>
      </c>
    </row>
    <row r="308" customFormat="false" ht="15" hidden="false" customHeight="false" outlineLevel="0" collapsed="false">
      <c r="A308" s="11" t="s">
        <v>484</v>
      </c>
      <c r="B308" s="11" t="s">
        <v>8</v>
      </c>
      <c r="C308" s="11" t="s">
        <v>116</v>
      </c>
      <c r="D308" s="11" t="s">
        <v>35</v>
      </c>
      <c r="E308" s="11"/>
      <c r="F308" s="11" t="s">
        <v>96</v>
      </c>
      <c r="G308" s="21" t="n">
        <v>17.7</v>
      </c>
      <c r="H308" s="19" t="n">
        <v>0</v>
      </c>
      <c r="I308" s="21" t="n">
        <v>17.7</v>
      </c>
      <c r="J308" s="22" t="s">
        <v>80</v>
      </c>
      <c r="K308" s="11" t="n">
        <v>42</v>
      </c>
      <c r="L308" s="23" t="n">
        <v>3.9</v>
      </c>
      <c r="M308" s="24" t="b">
        <f aca="false">FALSE()</f>
        <v>0</v>
      </c>
      <c r="N308" s="11"/>
      <c r="O308" s="11" t="str">
        <f aca="false">IF(K308&lt;=StockP33,"Low",IF(K308&lt;=StockP67,"Moderate","High"))</f>
        <v>High</v>
      </c>
      <c r="P308" s="11" t="str">
        <f aca="false">IF(H308=0,"Low",IF(H308&lt;=MarkdownP75,"Moderate","High"))</f>
        <v>Low</v>
      </c>
      <c r="Q308" s="11" t="str">
        <f aca="false">IF(ISBLANK(L308),"Unknown",IF(L308&gt;=4,"Good",IF(L308&lt;=2,"Poor","Neutral")))</f>
        <v>Neutral</v>
      </c>
      <c r="R308" s="11" t="str">
        <f aca="false">IF(AND(O308="Low",P308="Low",Q308="Good"),"BUY / PRIORITIZE",IF(AND(O308="High",P308="High",OR(Q308="Poor",M308=TRUE())),"HOLD / REVIEW","MONITOR"))</f>
        <v>MONITOR</v>
      </c>
      <c r="S308" s="11" t="n">
        <f aca="false">K308+(ROW()/10000000)</f>
        <v>42.0000308</v>
      </c>
    </row>
    <row r="309" customFormat="false" ht="15" hidden="false" customHeight="false" outlineLevel="0" collapsed="false">
      <c r="A309" s="11" t="s">
        <v>485</v>
      </c>
      <c r="B309" s="11" t="s">
        <v>26</v>
      </c>
      <c r="C309" s="11" t="s">
        <v>95</v>
      </c>
      <c r="D309" s="11" t="s">
        <v>35</v>
      </c>
      <c r="E309" s="11" t="s">
        <v>113</v>
      </c>
      <c r="F309" s="11" t="s">
        <v>88</v>
      </c>
      <c r="G309" s="21" t="n">
        <v>57.88</v>
      </c>
      <c r="H309" s="19" t="n">
        <v>0</v>
      </c>
      <c r="I309" s="21" t="n">
        <v>57.88</v>
      </c>
      <c r="J309" s="22" t="s">
        <v>80</v>
      </c>
      <c r="K309" s="11" t="n">
        <v>39</v>
      </c>
      <c r="L309" s="23" t="n">
        <v>3</v>
      </c>
      <c r="M309" s="24" t="b">
        <f aca="false">FALSE()</f>
        <v>0</v>
      </c>
      <c r="N309" s="11"/>
      <c r="O309" s="11" t="str">
        <f aca="false">IF(K309&lt;=StockP33,"Low",IF(K309&lt;=StockP67,"Moderate","High"))</f>
        <v>High</v>
      </c>
      <c r="P309" s="11" t="str">
        <f aca="false">IF(H309=0,"Low",IF(H309&lt;=MarkdownP75,"Moderate","High"))</f>
        <v>Low</v>
      </c>
      <c r="Q309" s="11" t="str">
        <f aca="false">IF(ISBLANK(L309),"Unknown",IF(L309&gt;=4,"Good",IF(L309&lt;=2,"Poor","Neutral")))</f>
        <v>Neutral</v>
      </c>
      <c r="R309" s="11" t="str">
        <f aca="false">IF(AND(O309="Low",P309="Low",Q309="Good"),"BUY / PRIORITIZE",IF(AND(O309="High",P309="High",OR(Q309="Poor",M309=TRUE())),"HOLD / REVIEW","MONITOR"))</f>
        <v>MONITOR</v>
      </c>
      <c r="S309" s="11" t="n">
        <f aca="false">K309+(ROW()/10000000)</f>
        <v>39.0000309</v>
      </c>
    </row>
    <row r="310" customFormat="false" ht="15" hidden="false" customHeight="false" outlineLevel="0" collapsed="false">
      <c r="A310" s="11" t="s">
        <v>486</v>
      </c>
      <c r="B310" s="11" t="s">
        <v>30</v>
      </c>
      <c r="C310" s="11" t="s">
        <v>95</v>
      </c>
      <c r="D310" s="11" t="s">
        <v>35</v>
      </c>
      <c r="E310" s="11" t="s">
        <v>91</v>
      </c>
      <c r="F310" s="11" t="s">
        <v>96</v>
      </c>
      <c r="G310" s="21" t="n">
        <v>25.15</v>
      </c>
      <c r="H310" s="19" t="n">
        <v>0</v>
      </c>
      <c r="I310" s="21" t="n">
        <v>25.15</v>
      </c>
      <c r="J310" s="22" t="s">
        <v>80</v>
      </c>
      <c r="K310" s="11" t="n">
        <v>34</v>
      </c>
      <c r="L310" s="23" t="n">
        <v>2.6</v>
      </c>
      <c r="M310" s="24" t="b">
        <f aca="false">FALSE()</f>
        <v>0</v>
      </c>
      <c r="N310" s="11"/>
      <c r="O310" s="11" t="str">
        <f aca="false">IF(K310&lt;=StockP33,"Low",IF(K310&lt;=StockP67,"Moderate","High"))</f>
        <v>High</v>
      </c>
      <c r="P310" s="11" t="str">
        <f aca="false">IF(H310=0,"Low",IF(H310&lt;=MarkdownP75,"Moderate","High"))</f>
        <v>Low</v>
      </c>
      <c r="Q310" s="11" t="str">
        <f aca="false">IF(ISBLANK(L310),"Unknown",IF(L310&gt;=4,"Good",IF(L310&lt;=2,"Poor","Neutral")))</f>
        <v>Neutral</v>
      </c>
      <c r="R310" s="11" t="str">
        <f aca="false">IF(AND(O310="Low",P310="Low",Q310="Good"),"BUY / PRIORITIZE",IF(AND(O310="High",P310="High",OR(Q310="Poor",M310=TRUE())),"HOLD / REVIEW","MONITOR"))</f>
        <v>MONITOR</v>
      </c>
      <c r="S310" s="11" t="n">
        <f aca="false">K310+(ROW()/10000000)</f>
        <v>34.000031</v>
      </c>
    </row>
    <row r="311" customFormat="false" ht="15" hidden="false" customHeight="false" outlineLevel="0" collapsed="false">
      <c r="A311" s="11" t="s">
        <v>487</v>
      </c>
      <c r="B311" s="11" t="s">
        <v>28</v>
      </c>
      <c r="C311" s="11" t="s">
        <v>95</v>
      </c>
      <c r="D311" s="11" t="s">
        <v>34</v>
      </c>
      <c r="E311" s="11" t="s">
        <v>78</v>
      </c>
      <c r="F311" s="11" t="s">
        <v>120</v>
      </c>
      <c r="G311" s="21" t="n">
        <v>157.45</v>
      </c>
      <c r="H311" s="19" t="n">
        <v>0</v>
      </c>
      <c r="I311" s="21" t="n">
        <v>157.45</v>
      </c>
      <c r="J311" s="22" t="s">
        <v>488</v>
      </c>
      <c r="K311" s="11" t="n">
        <v>7</v>
      </c>
      <c r="L311" s="23" t="n">
        <v>2.9</v>
      </c>
      <c r="M311" s="24" t="b">
        <f aca="false">FALSE()</f>
        <v>0</v>
      </c>
      <c r="N311" s="11"/>
      <c r="O311" s="11" t="str">
        <f aca="false">IF(K311&lt;=StockP33,"Low",IF(K311&lt;=StockP67,"Moderate","High"))</f>
        <v>Low</v>
      </c>
      <c r="P311" s="11" t="str">
        <f aca="false">IF(H311=0,"Low",IF(H311&lt;=MarkdownP75,"Moderate","High"))</f>
        <v>Low</v>
      </c>
      <c r="Q311" s="11" t="str">
        <f aca="false">IF(ISBLANK(L311),"Unknown",IF(L311&gt;=4,"Good",IF(L311&lt;=2,"Poor","Neutral")))</f>
        <v>Neutral</v>
      </c>
      <c r="R311" s="11" t="str">
        <f aca="false">IF(AND(O311="Low",P311="Low",Q311="Good"),"BUY / PRIORITIZE",IF(AND(O311="High",P311="High",OR(Q311="Poor",M311=TRUE())),"HOLD / REVIEW","MONITOR"))</f>
        <v>MONITOR</v>
      </c>
      <c r="S311" s="11" t="n">
        <f aca="false">K311+(ROW()/10000000)</f>
        <v>7.0000311</v>
      </c>
    </row>
    <row r="312" customFormat="false" ht="15" hidden="false" customHeight="false" outlineLevel="0" collapsed="false">
      <c r="A312" s="11" t="s">
        <v>489</v>
      </c>
      <c r="B312" s="11" t="s">
        <v>26</v>
      </c>
      <c r="C312" s="11" t="s">
        <v>101</v>
      </c>
      <c r="D312" s="11" t="s">
        <v>37</v>
      </c>
      <c r="E312" s="11" t="s">
        <v>78</v>
      </c>
      <c r="F312" s="11" t="s">
        <v>120</v>
      </c>
      <c r="G312" s="21" t="n">
        <v>65.72</v>
      </c>
      <c r="H312" s="19" t="n">
        <v>9.1</v>
      </c>
      <c r="I312" s="21" t="n">
        <v>59.74</v>
      </c>
      <c r="J312" s="22" t="s">
        <v>80</v>
      </c>
      <c r="K312" s="11" t="n">
        <v>10</v>
      </c>
      <c r="L312" s="23" t="n">
        <v>2.8</v>
      </c>
      <c r="M312" s="24" t="b">
        <f aca="false">TRUE()</f>
        <v>1</v>
      </c>
      <c r="N312" s="11" t="s">
        <v>140</v>
      </c>
      <c r="O312" s="11" t="str">
        <f aca="false">IF(K312&lt;=StockP33,"Low",IF(K312&lt;=StockP67,"Moderate","High"))</f>
        <v>Low</v>
      </c>
      <c r="P312" s="11" t="str">
        <f aca="false">IF(H312=0,"Low",IF(H312&lt;=MarkdownP75,"Moderate","High"))</f>
        <v>Moderate</v>
      </c>
      <c r="Q312" s="11" t="str">
        <f aca="false">IF(ISBLANK(L312),"Unknown",IF(L312&gt;=4,"Good",IF(L312&lt;=2,"Poor","Neutral")))</f>
        <v>Neutral</v>
      </c>
      <c r="R312" s="11" t="str">
        <f aca="false">IF(AND(O312="Low",P312="Low",Q312="Good"),"BUY / PRIORITIZE",IF(AND(O312="High",P312="High",OR(Q312="Poor",M312=TRUE())),"HOLD / REVIEW","MONITOR"))</f>
        <v>MONITOR</v>
      </c>
      <c r="S312" s="11" t="n">
        <f aca="false">K312+(ROW()/10000000)</f>
        <v>10.0000312</v>
      </c>
    </row>
    <row r="313" customFormat="false" ht="15" hidden="false" customHeight="false" outlineLevel="0" collapsed="false">
      <c r="A313" s="11" t="s">
        <v>490</v>
      </c>
      <c r="B313" s="11" t="s">
        <v>27</v>
      </c>
      <c r="C313" s="11" t="s">
        <v>130</v>
      </c>
      <c r="D313" s="11" t="s">
        <v>37</v>
      </c>
      <c r="E313" s="11" t="s">
        <v>102</v>
      </c>
      <c r="F313" s="11" t="s">
        <v>124</v>
      </c>
      <c r="G313" s="21" t="n">
        <v>92.8</v>
      </c>
      <c r="H313" s="19" t="n">
        <v>0</v>
      </c>
      <c r="I313" s="21" t="n">
        <v>92.8</v>
      </c>
      <c r="J313" s="22" t="s">
        <v>80</v>
      </c>
      <c r="K313" s="11" t="n">
        <v>25</v>
      </c>
      <c r="L313" s="23" t="n">
        <v>2.5</v>
      </c>
      <c r="M313" s="24" t="b">
        <f aca="false">FALSE()</f>
        <v>0</v>
      </c>
      <c r="N313" s="11"/>
      <c r="O313" s="11" t="str">
        <f aca="false">IF(K313&lt;=StockP33,"Low",IF(K313&lt;=StockP67,"Moderate","High"))</f>
        <v>Moderate</v>
      </c>
      <c r="P313" s="11" t="str">
        <f aca="false">IF(H313=0,"Low",IF(H313&lt;=MarkdownP75,"Moderate","High"))</f>
        <v>Low</v>
      </c>
      <c r="Q313" s="11" t="str">
        <f aca="false">IF(ISBLANK(L313),"Unknown",IF(L313&gt;=4,"Good",IF(L313&lt;=2,"Poor","Neutral")))</f>
        <v>Neutral</v>
      </c>
      <c r="R313" s="11" t="str">
        <f aca="false">IF(AND(O313="Low",P313="Low",Q313="Good"),"BUY / PRIORITIZE",IF(AND(O313="High",P313="High",OR(Q313="Poor",M313=TRUE())),"HOLD / REVIEW","MONITOR"))</f>
        <v>MONITOR</v>
      </c>
      <c r="S313" s="11" t="n">
        <f aca="false">K313+(ROW()/10000000)</f>
        <v>25.0000313</v>
      </c>
    </row>
    <row r="314" customFormat="false" ht="15" hidden="false" customHeight="false" outlineLevel="0" collapsed="false">
      <c r="A314" s="11" t="s">
        <v>491</v>
      </c>
      <c r="B314" s="11" t="s">
        <v>27</v>
      </c>
      <c r="C314" s="11" t="s">
        <v>86</v>
      </c>
      <c r="D314" s="11" t="s">
        <v>37</v>
      </c>
      <c r="E314" s="11" t="s">
        <v>73</v>
      </c>
      <c r="F314" s="11" t="s">
        <v>96</v>
      </c>
      <c r="G314" s="21" t="n">
        <v>88.65</v>
      </c>
      <c r="H314" s="19" t="n">
        <v>0</v>
      </c>
      <c r="I314" s="21" t="n">
        <v>88.65</v>
      </c>
      <c r="J314" s="22" t="s">
        <v>80</v>
      </c>
      <c r="K314" s="11" t="n">
        <v>11</v>
      </c>
      <c r="L314" s="23" t="n">
        <v>3.3</v>
      </c>
      <c r="M314" s="24" t="b">
        <f aca="false">FALSE()</f>
        <v>0</v>
      </c>
      <c r="N314" s="11"/>
      <c r="O314" s="11" t="str">
        <f aca="false">IF(K314&lt;=StockP33,"Low",IF(K314&lt;=StockP67,"Moderate","High"))</f>
        <v>Low</v>
      </c>
      <c r="P314" s="11" t="str">
        <f aca="false">IF(H314=0,"Low",IF(H314&lt;=MarkdownP75,"Moderate","High"))</f>
        <v>Low</v>
      </c>
      <c r="Q314" s="11" t="str">
        <f aca="false">IF(ISBLANK(L314),"Unknown",IF(L314&gt;=4,"Good",IF(L314&lt;=2,"Poor","Neutral")))</f>
        <v>Neutral</v>
      </c>
      <c r="R314" s="11" t="str">
        <f aca="false">IF(AND(O314="Low",P314="Low",Q314="Good"),"BUY / PRIORITIZE",IF(AND(O314="High",P314="High",OR(Q314="Poor",M314=TRUE())),"HOLD / REVIEW","MONITOR"))</f>
        <v>MONITOR</v>
      </c>
      <c r="S314" s="11" t="n">
        <f aca="false">K314+(ROW()/10000000)</f>
        <v>11.0000314</v>
      </c>
    </row>
    <row r="315" customFormat="false" ht="15" hidden="false" customHeight="false" outlineLevel="0" collapsed="false">
      <c r="A315" s="11" t="s">
        <v>492</v>
      </c>
      <c r="B315" s="11" t="s">
        <v>30</v>
      </c>
      <c r="C315" s="11" t="s">
        <v>72</v>
      </c>
      <c r="D315" s="11" t="s">
        <v>37</v>
      </c>
      <c r="E315" s="11" t="s">
        <v>102</v>
      </c>
      <c r="F315" s="11" t="s">
        <v>111</v>
      </c>
      <c r="G315" s="21" t="n">
        <v>47.07</v>
      </c>
      <c r="H315" s="19" t="n">
        <v>57.4</v>
      </c>
      <c r="I315" s="21" t="n">
        <v>20.05</v>
      </c>
      <c r="J315" s="22" t="s">
        <v>80</v>
      </c>
      <c r="K315" s="11" t="n">
        <v>24</v>
      </c>
      <c r="L315" s="23" t="n">
        <v>1.3</v>
      </c>
      <c r="M315" s="24" t="b">
        <f aca="false">TRUE()</f>
        <v>1</v>
      </c>
      <c r="N315" s="11" t="s">
        <v>128</v>
      </c>
      <c r="O315" s="11" t="str">
        <f aca="false">IF(K315&lt;=StockP33,"Low",IF(K315&lt;=StockP67,"Moderate","High"))</f>
        <v>Moderate</v>
      </c>
      <c r="P315" s="11" t="str">
        <f aca="false">IF(H315=0,"Low",IF(H315&lt;=MarkdownP75,"Moderate","High"))</f>
        <v>High</v>
      </c>
      <c r="Q315" s="11" t="str">
        <f aca="false">IF(ISBLANK(L315),"Unknown",IF(L315&gt;=4,"Good",IF(L315&lt;=2,"Poor","Neutral")))</f>
        <v>Poor</v>
      </c>
      <c r="R315" s="11" t="str">
        <f aca="false">IF(AND(O315="Low",P315="Low",Q315="Good"),"BUY / PRIORITIZE",IF(AND(O315="High",P315="High",OR(Q315="Poor",M315=TRUE())),"HOLD / REVIEW","MONITOR"))</f>
        <v>MONITOR</v>
      </c>
      <c r="S315" s="11" t="n">
        <f aca="false">K315+(ROW()/10000000)</f>
        <v>24.0000315</v>
      </c>
    </row>
    <row r="316" customFormat="false" ht="15" hidden="false" customHeight="false" outlineLevel="0" collapsed="false">
      <c r="A316" s="11" t="s">
        <v>493</v>
      </c>
      <c r="B316" s="11" t="s">
        <v>28</v>
      </c>
      <c r="C316" s="11" t="s">
        <v>107</v>
      </c>
      <c r="D316" s="11" t="s">
        <v>35</v>
      </c>
      <c r="E316" s="11" t="s">
        <v>110</v>
      </c>
      <c r="F316" s="11" t="s">
        <v>74</v>
      </c>
      <c r="G316" s="21" t="n">
        <v>101.75</v>
      </c>
      <c r="H316" s="19" t="n">
        <v>0</v>
      </c>
      <c r="I316" s="21" t="n">
        <v>101.75</v>
      </c>
      <c r="J316" s="22" t="s">
        <v>80</v>
      </c>
      <c r="K316" s="11" t="n">
        <v>7</v>
      </c>
      <c r="L316" s="23" t="n">
        <v>3.1</v>
      </c>
      <c r="M316" s="24" t="b">
        <f aca="false">FALSE()</f>
        <v>0</v>
      </c>
      <c r="N316" s="11"/>
      <c r="O316" s="11" t="str">
        <f aca="false">IF(K316&lt;=StockP33,"Low",IF(K316&lt;=StockP67,"Moderate","High"))</f>
        <v>Low</v>
      </c>
      <c r="P316" s="11" t="str">
        <f aca="false">IF(H316=0,"Low",IF(H316&lt;=MarkdownP75,"Moderate","High"))</f>
        <v>Low</v>
      </c>
      <c r="Q316" s="11" t="str">
        <f aca="false">IF(ISBLANK(L316),"Unknown",IF(L316&gt;=4,"Good",IF(L316&lt;=2,"Poor","Neutral")))</f>
        <v>Neutral</v>
      </c>
      <c r="R316" s="11" t="str">
        <f aca="false">IF(AND(O316="Low",P316="Low",Q316="Good"),"BUY / PRIORITIZE",IF(AND(O316="High",P316="High",OR(Q316="Poor",M316=TRUE())),"HOLD / REVIEW","MONITOR"))</f>
        <v>MONITOR</v>
      </c>
      <c r="S316" s="11" t="n">
        <f aca="false">K316+(ROW()/10000000)</f>
        <v>7.0000316</v>
      </c>
    </row>
    <row r="317" customFormat="false" ht="15" hidden="false" customHeight="false" outlineLevel="0" collapsed="false">
      <c r="A317" s="11" t="s">
        <v>494</v>
      </c>
      <c r="B317" s="11" t="s">
        <v>27</v>
      </c>
      <c r="C317" s="11" t="s">
        <v>95</v>
      </c>
      <c r="D317" s="11" t="s">
        <v>34</v>
      </c>
      <c r="E317" s="11" t="s">
        <v>110</v>
      </c>
      <c r="F317" s="11" t="s">
        <v>96</v>
      </c>
      <c r="G317" s="21" t="n">
        <v>131.08</v>
      </c>
      <c r="H317" s="19" t="n">
        <v>7.5</v>
      </c>
      <c r="I317" s="21" t="n">
        <v>121.25</v>
      </c>
      <c r="J317" s="22" t="s">
        <v>495</v>
      </c>
      <c r="K317" s="11" t="n">
        <v>20</v>
      </c>
      <c r="L317" s="23" t="n">
        <v>4.5</v>
      </c>
      <c r="M317" s="24" t="b">
        <f aca="false">TRUE()</f>
        <v>1</v>
      </c>
      <c r="N317" s="11" t="s">
        <v>191</v>
      </c>
      <c r="O317" s="11" t="str">
        <f aca="false">IF(K317&lt;=StockP33,"Low",IF(K317&lt;=StockP67,"Moderate","High"))</f>
        <v>Moderate</v>
      </c>
      <c r="P317" s="11" t="str">
        <f aca="false">IF(H317=0,"Low",IF(H317&lt;=MarkdownP75,"Moderate","High"))</f>
        <v>Moderate</v>
      </c>
      <c r="Q317" s="11" t="str">
        <f aca="false">IF(ISBLANK(L317),"Unknown",IF(L317&gt;=4,"Good",IF(L317&lt;=2,"Poor","Neutral")))</f>
        <v>Good</v>
      </c>
      <c r="R317" s="11" t="str">
        <f aca="false">IF(AND(O317="Low",P317="Low",Q317="Good"),"BUY / PRIORITIZE",IF(AND(O317="High",P317="High",OR(Q317="Poor",M317=TRUE())),"HOLD / REVIEW","MONITOR"))</f>
        <v>MONITOR</v>
      </c>
      <c r="S317" s="11" t="n">
        <f aca="false">K317+(ROW()/10000000)</f>
        <v>20.0000317</v>
      </c>
    </row>
    <row r="318" customFormat="false" ht="15" hidden="false" customHeight="false" outlineLevel="0" collapsed="false">
      <c r="A318" s="11" t="s">
        <v>496</v>
      </c>
      <c r="B318" s="11" t="s">
        <v>30</v>
      </c>
      <c r="C318" s="11" t="s">
        <v>72</v>
      </c>
      <c r="D318" s="11" t="s">
        <v>36</v>
      </c>
      <c r="E318" s="11" t="s">
        <v>110</v>
      </c>
      <c r="F318" s="11" t="s">
        <v>82</v>
      </c>
      <c r="G318" s="21" t="n">
        <v>82.06</v>
      </c>
      <c r="H318" s="19" t="n">
        <v>26.1</v>
      </c>
      <c r="I318" s="21" t="n">
        <v>60.64</v>
      </c>
      <c r="J318" s="22" t="s">
        <v>80</v>
      </c>
      <c r="K318" s="11" t="n">
        <v>32</v>
      </c>
      <c r="L318" s="23" t="n">
        <v>1.5</v>
      </c>
      <c r="M318" s="24" t="b">
        <f aca="false">FALSE()</f>
        <v>0</v>
      </c>
      <c r="N318" s="11"/>
      <c r="O318" s="11" t="str">
        <f aca="false">IF(K318&lt;=StockP33,"Low",IF(K318&lt;=StockP67,"Moderate","High"))</f>
        <v>Moderate</v>
      </c>
      <c r="P318" s="11" t="str">
        <f aca="false">IF(H318=0,"Low",IF(H318&lt;=MarkdownP75,"Moderate","High"))</f>
        <v>High</v>
      </c>
      <c r="Q318" s="11" t="str">
        <f aca="false">IF(ISBLANK(L318),"Unknown",IF(L318&gt;=4,"Good",IF(L318&lt;=2,"Poor","Neutral")))</f>
        <v>Poor</v>
      </c>
      <c r="R318" s="11" t="str">
        <f aca="false">IF(AND(O318="Low",P318="Low",Q318="Good"),"BUY / PRIORITIZE",IF(AND(O318="High",P318="High",OR(Q318="Poor",M318=TRUE())),"HOLD / REVIEW","MONITOR"))</f>
        <v>MONITOR</v>
      </c>
      <c r="S318" s="11" t="n">
        <f aca="false">K318+(ROW()/10000000)</f>
        <v>32.0000318</v>
      </c>
    </row>
    <row r="319" customFormat="false" ht="15" hidden="false" customHeight="false" outlineLevel="0" collapsed="false">
      <c r="A319" s="11" t="s">
        <v>497</v>
      </c>
      <c r="B319" s="11" t="s">
        <v>27</v>
      </c>
      <c r="C319" s="11" t="s">
        <v>101</v>
      </c>
      <c r="D319" s="11" t="s">
        <v>35</v>
      </c>
      <c r="E319" s="11" t="s">
        <v>78</v>
      </c>
      <c r="F319" s="11" t="s">
        <v>120</v>
      </c>
      <c r="G319" s="21" t="n">
        <v>66.31</v>
      </c>
      <c r="H319" s="19" t="n">
        <v>0</v>
      </c>
      <c r="I319" s="21" t="n">
        <v>66.31</v>
      </c>
      <c r="J319" s="22" t="s">
        <v>80</v>
      </c>
      <c r="K319" s="11" t="n">
        <v>47</v>
      </c>
      <c r="L319" s="23" t="n">
        <v>3.9</v>
      </c>
      <c r="M319" s="24" t="b">
        <f aca="false">FALSE()</f>
        <v>0</v>
      </c>
      <c r="N319" s="11"/>
      <c r="O319" s="11" t="str">
        <f aca="false">IF(K319&lt;=StockP33,"Low",IF(K319&lt;=StockP67,"Moderate","High"))</f>
        <v>High</v>
      </c>
      <c r="P319" s="11" t="str">
        <f aca="false">IF(H319=0,"Low",IF(H319&lt;=MarkdownP75,"Moderate","High"))</f>
        <v>Low</v>
      </c>
      <c r="Q319" s="11" t="str">
        <f aca="false">IF(ISBLANK(L319),"Unknown",IF(L319&gt;=4,"Good",IF(L319&lt;=2,"Poor","Neutral")))</f>
        <v>Neutral</v>
      </c>
      <c r="R319" s="11" t="str">
        <f aca="false">IF(AND(O319="Low",P319="Low",Q319="Good"),"BUY / PRIORITIZE",IF(AND(O319="High",P319="High",OR(Q319="Poor",M319=TRUE())),"HOLD / REVIEW","MONITOR"))</f>
        <v>MONITOR</v>
      </c>
      <c r="S319" s="11" t="n">
        <f aca="false">K319+(ROW()/10000000)</f>
        <v>47.0000319</v>
      </c>
    </row>
    <row r="320" customFormat="false" ht="15" hidden="false" customHeight="false" outlineLevel="0" collapsed="false">
      <c r="A320" s="11" t="s">
        <v>498</v>
      </c>
      <c r="B320" s="11" t="s">
        <v>8</v>
      </c>
      <c r="C320" s="11" t="s">
        <v>77</v>
      </c>
      <c r="D320" s="11" t="s">
        <v>36</v>
      </c>
      <c r="E320" s="11"/>
      <c r="F320" s="11" t="s">
        <v>98</v>
      </c>
      <c r="G320" s="21" t="n">
        <v>26.03</v>
      </c>
      <c r="H320" s="19" t="n">
        <v>0</v>
      </c>
      <c r="I320" s="21" t="n">
        <v>26.03</v>
      </c>
      <c r="J320" s="22" t="s">
        <v>80</v>
      </c>
      <c r="K320" s="11" t="n">
        <v>15</v>
      </c>
      <c r="L320" s="23" t="n">
        <v>3.8</v>
      </c>
      <c r="M320" s="24" t="b">
        <f aca="false">FALSE()</f>
        <v>0</v>
      </c>
      <c r="N320" s="11"/>
      <c r="O320" s="11" t="str">
        <f aca="false">IF(K320&lt;=StockP33,"Low",IF(K320&lt;=StockP67,"Moderate","High"))</f>
        <v>Low</v>
      </c>
      <c r="P320" s="11" t="str">
        <f aca="false">IF(H320=0,"Low",IF(H320&lt;=MarkdownP75,"Moderate","High"))</f>
        <v>Low</v>
      </c>
      <c r="Q320" s="11" t="str">
        <f aca="false">IF(ISBLANK(L320),"Unknown",IF(L320&gt;=4,"Good",IF(L320&lt;=2,"Poor","Neutral")))</f>
        <v>Neutral</v>
      </c>
      <c r="R320" s="11" t="str">
        <f aca="false">IF(AND(O320="Low",P320="Low",Q320="Good"),"BUY / PRIORITIZE",IF(AND(O320="High",P320="High",OR(Q320="Poor",M320=TRUE())),"HOLD / REVIEW","MONITOR"))</f>
        <v>MONITOR</v>
      </c>
      <c r="S320" s="11" t="n">
        <f aca="false">K320+(ROW()/10000000)</f>
        <v>15.000032</v>
      </c>
    </row>
    <row r="321" customFormat="false" ht="15" hidden="false" customHeight="false" outlineLevel="0" collapsed="false">
      <c r="A321" s="11" t="s">
        <v>499</v>
      </c>
      <c r="B321" s="11" t="s">
        <v>29</v>
      </c>
      <c r="C321" s="11" t="s">
        <v>77</v>
      </c>
      <c r="D321" s="11" t="s">
        <v>34</v>
      </c>
      <c r="E321" s="11" t="s">
        <v>91</v>
      </c>
      <c r="F321" s="11" t="s">
        <v>111</v>
      </c>
      <c r="G321" s="21" t="n">
        <v>152.53</v>
      </c>
      <c r="H321" s="19" t="n">
        <v>0</v>
      </c>
      <c r="I321" s="21" t="n">
        <v>152.53</v>
      </c>
      <c r="J321" s="22" t="s">
        <v>500</v>
      </c>
      <c r="K321" s="11" t="n">
        <v>24</v>
      </c>
      <c r="L321" s="23" t="n">
        <v>4.2</v>
      </c>
      <c r="M321" s="24" t="b">
        <f aca="false">FALSE()</f>
        <v>0</v>
      </c>
      <c r="N321" s="11"/>
      <c r="O321" s="11" t="str">
        <f aca="false">IF(K321&lt;=StockP33,"Low",IF(K321&lt;=StockP67,"Moderate","High"))</f>
        <v>Moderate</v>
      </c>
      <c r="P321" s="11" t="str">
        <f aca="false">IF(H321=0,"Low",IF(H321&lt;=MarkdownP75,"Moderate","High"))</f>
        <v>Low</v>
      </c>
      <c r="Q321" s="11" t="str">
        <f aca="false">IF(ISBLANK(L321),"Unknown",IF(L321&gt;=4,"Good",IF(L321&lt;=2,"Poor","Neutral")))</f>
        <v>Good</v>
      </c>
      <c r="R321" s="11" t="str">
        <f aca="false">IF(AND(O321="Low",P321="Low",Q321="Good"),"BUY / PRIORITIZE",IF(AND(O321="High",P321="High",OR(Q321="Poor",M321=TRUE())),"HOLD / REVIEW","MONITOR"))</f>
        <v>MONITOR</v>
      </c>
      <c r="S321" s="11" t="n">
        <f aca="false">K321+(ROW()/10000000)</f>
        <v>24.0000321</v>
      </c>
    </row>
    <row r="322" customFormat="false" ht="15" hidden="false" customHeight="false" outlineLevel="0" collapsed="false">
      <c r="A322" s="11" t="s">
        <v>501</v>
      </c>
      <c r="B322" s="11" t="s">
        <v>26</v>
      </c>
      <c r="C322" s="11" t="s">
        <v>95</v>
      </c>
      <c r="D322" s="11" t="s">
        <v>36</v>
      </c>
      <c r="E322" s="11" t="s">
        <v>91</v>
      </c>
      <c r="F322" s="11" t="s">
        <v>111</v>
      </c>
      <c r="G322" s="21" t="n">
        <v>26.16</v>
      </c>
      <c r="H322" s="19" t="n">
        <v>16.2</v>
      </c>
      <c r="I322" s="21" t="n">
        <v>21.92</v>
      </c>
      <c r="J322" s="22" t="s">
        <v>80</v>
      </c>
      <c r="K322" s="11" t="n">
        <v>13</v>
      </c>
      <c r="L322" s="23" t="n">
        <v>2.3</v>
      </c>
      <c r="M322" s="24" t="b">
        <f aca="false">FALSE()</f>
        <v>0</v>
      </c>
      <c r="N322" s="11"/>
      <c r="O322" s="11" t="str">
        <f aca="false">IF(K322&lt;=StockP33,"Low",IF(K322&lt;=StockP67,"Moderate","High"))</f>
        <v>Low</v>
      </c>
      <c r="P322" s="11" t="str">
        <f aca="false">IF(H322=0,"Low",IF(H322&lt;=MarkdownP75,"Moderate","High"))</f>
        <v>Moderate</v>
      </c>
      <c r="Q322" s="11" t="str">
        <f aca="false">IF(ISBLANK(L322),"Unknown",IF(L322&gt;=4,"Good",IF(L322&lt;=2,"Poor","Neutral")))</f>
        <v>Neutral</v>
      </c>
      <c r="R322" s="11" t="str">
        <f aca="false">IF(AND(O322="Low",P322="Low",Q322="Good"),"BUY / PRIORITIZE",IF(AND(O322="High",P322="High",OR(Q322="Poor",M322=TRUE())),"HOLD / REVIEW","MONITOR"))</f>
        <v>MONITOR</v>
      </c>
      <c r="S322" s="11" t="n">
        <f aca="false">K322+(ROW()/10000000)</f>
        <v>13.0000322</v>
      </c>
    </row>
    <row r="323" customFormat="false" ht="15" hidden="false" customHeight="false" outlineLevel="0" collapsed="false">
      <c r="A323" s="11" t="s">
        <v>502</v>
      </c>
      <c r="B323" s="11" t="s">
        <v>27</v>
      </c>
      <c r="C323" s="11" t="s">
        <v>77</v>
      </c>
      <c r="D323" s="11" t="s">
        <v>37</v>
      </c>
      <c r="E323" s="11" t="s">
        <v>102</v>
      </c>
      <c r="F323" s="11" t="s">
        <v>96</v>
      </c>
      <c r="G323" s="21" t="n">
        <v>89.17</v>
      </c>
      <c r="H323" s="19" t="n">
        <v>10.8</v>
      </c>
      <c r="I323" s="21" t="n">
        <v>79.54</v>
      </c>
      <c r="J323" s="22" t="s">
        <v>80</v>
      </c>
      <c r="K323" s="11" t="n">
        <v>27</v>
      </c>
      <c r="L323" s="23" t="n">
        <v>3.3</v>
      </c>
      <c r="M323" s="24" t="b">
        <f aca="false">FALSE()</f>
        <v>0</v>
      </c>
      <c r="N323" s="11"/>
      <c r="O323" s="11" t="str">
        <f aca="false">IF(K323&lt;=StockP33,"Low",IF(K323&lt;=StockP67,"Moderate","High"))</f>
        <v>Moderate</v>
      </c>
      <c r="P323" s="11" t="str">
        <f aca="false">IF(H323=0,"Low",IF(H323&lt;=MarkdownP75,"Moderate","High"))</f>
        <v>Moderate</v>
      </c>
      <c r="Q323" s="11" t="str">
        <f aca="false">IF(ISBLANK(L323),"Unknown",IF(L323&gt;=4,"Good",IF(L323&lt;=2,"Poor","Neutral")))</f>
        <v>Neutral</v>
      </c>
      <c r="R323" s="11" t="str">
        <f aca="false">IF(AND(O323="Low",P323="Low",Q323="Good"),"BUY / PRIORITIZE",IF(AND(O323="High",P323="High",OR(Q323="Poor",M323=TRUE())),"HOLD / REVIEW","MONITOR"))</f>
        <v>MONITOR</v>
      </c>
      <c r="S323" s="11" t="n">
        <f aca="false">K323+(ROW()/10000000)</f>
        <v>27.0000323</v>
      </c>
    </row>
    <row r="324" customFormat="false" ht="15" hidden="false" customHeight="false" outlineLevel="0" collapsed="false">
      <c r="A324" s="11" t="s">
        <v>503</v>
      </c>
      <c r="B324" s="11" t="s">
        <v>26</v>
      </c>
      <c r="C324" s="11" t="s">
        <v>101</v>
      </c>
      <c r="D324" s="11" t="s">
        <v>34</v>
      </c>
      <c r="E324" s="11"/>
      <c r="F324" s="11" t="s">
        <v>88</v>
      </c>
      <c r="G324" s="21" t="n">
        <v>106.37</v>
      </c>
      <c r="H324" s="19" t="n">
        <v>0</v>
      </c>
      <c r="I324" s="21" t="n">
        <v>106.37</v>
      </c>
      <c r="J324" s="22" t="s">
        <v>504</v>
      </c>
      <c r="K324" s="11" t="n">
        <v>37</v>
      </c>
      <c r="L324" s="23" t="n">
        <v>4.9</v>
      </c>
      <c r="M324" s="24" t="b">
        <f aca="false">FALSE()</f>
        <v>0</v>
      </c>
      <c r="N324" s="11"/>
      <c r="O324" s="11" t="str">
        <f aca="false">IF(K324&lt;=StockP33,"Low",IF(K324&lt;=StockP67,"Moderate","High"))</f>
        <v>High</v>
      </c>
      <c r="P324" s="11" t="str">
        <f aca="false">IF(H324=0,"Low",IF(H324&lt;=MarkdownP75,"Moderate","High"))</f>
        <v>Low</v>
      </c>
      <c r="Q324" s="11" t="str">
        <f aca="false">IF(ISBLANK(L324),"Unknown",IF(L324&gt;=4,"Good",IF(L324&lt;=2,"Poor","Neutral")))</f>
        <v>Good</v>
      </c>
      <c r="R324" s="11" t="str">
        <f aca="false">IF(AND(O324="Low",P324="Low",Q324="Good"),"BUY / PRIORITIZE",IF(AND(O324="High",P324="High",OR(Q324="Poor",M324=TRUE())),"HOLD / REVIEW","MONITOR"))</f>
        <v>MONITOR</v>
      </c>
      <c r="S324" s="11" t="n">
        <f aca="false">K324+(ROW()/10000000)</f>
        <v>37.0000324</v>
      </c>
    </row>
    <row r="325" customFormat="false" ht="15" hidden="false" customHeight="false" outlineLevel="0" collapsed="false">
      <c r="A325" s="11" t="s">
        <v>505</v>
      </c>
      <c r="B325" s="11" t="s">
        <v>27</v>
      </c>
      <c r="C325" s="11" t="s">
        <v>95</v>
      </c>
      <c r="D325" s="11" t="s">
        <v>36</v>
      </c>
      <c r="E325" s="11" t="s">
        <v>73</v>
      </c>
      <c r="F325" s="11" t="s">
        <v>88</v>
      </c>
      <c r="G325" s="21" t="n">
        <v>80.95</v>
      </c>
      <c r="H325" s="19" t="n">
        <v>36.8</v>
      </c>
      <c r="I325" s="21" t="n">
        <v>51.16</v>
      </c>
      <c r="J325" s="22" t="s">
        <v>80</v>
      </c>
      <c r="K325" s="11" t="n">
        <v>16</v>
      </c>
      <c r="L325" s="23" t="n">
        <v>2.5</v>
      </c>
      <c r="M325" s="24" t="b">
        <f aca="false">FALSE()</f>
        <v>0</v>
      </c>
      <c r="N325" s="11"/>
      <c r="O325" s="11" t="str">
        <f aca="false">IF(K325&lt;=StockP33,"Low",IF(K325&lt;=StockP67,"Moderate","High"))</f>
        <v>Low</v>
      </c>
      <c r="P325" s="11" t="str">
        <f aca="false">IF(H325=0,"Low",IF(H325&lt;=MarkdownP75,"Moderate","High"))</f>
        <v>High</v>
      </c>
      <c r="Q325" s="11" t="str">
        <f aca="false">IF(ISBLANK(L325),"Unknown",IF(L325&gt;=4,"Good",IF(L325&lt;=2,"Poor","Neutral")))</f>
        <v>Neutral</v>
      </c>
      <c r="R325" s="11" t="str">
        <f aca="false">IF(AND(O325="Low",P325="Low",Q325="Good"),"BUY / PRIORITIZE",IF(AND(O325="High",P325="High",OR(Q325="Poor",M325=TRUE())),"HOLD / REVIEW","MONITOR"))</f>
        <v>MONITOR</v>
      </c>
      <c r="S325" s="11" t="n">
        <f aca="false">K325+(ROW()/10000000)</f>
        <v>16.0000325</v>
      </c>
    </row>
    <row r="326" customFormat="false" ht="15" hidden="false" customHeight="false" outlineLevel="0" collapsed="false">
      <c r="A326" s="11" t="s">
        <v>506</v>
      </c>
      <c r="B326" s="11" t="s">
        <v>28</v>
      </c>
      <c r="C326" s="11" t="s">
        <v>86</v>
      </c>
      <c r="D326" s="11" t="s">
        <v>35</v>
      </c>
      <c r="E326" s="11" t="s">
        <v>113</v>
      </c>
      <c r="F326" s="11" t="s">
        <v>118</v>
      </c>
      <c r="G326" s="21" t="n">
        <v>169.84</v>
      </c>
      <c r="H326" s="19" t="n">
        <v>50.2</v>
      </c>
      <c r="I326" s="21" t="n">
        <v>84.58</v>
      </c>
      <c r="J326" s="22" t="s">
        <v>80</v>
      </c>
      <c r="K326" s="11" t="n">
        <v>21</v>
      </c>
      <c r="L326" s="23" t="n">
        <v>3</v>
      </c>
      <c r="M326" s="24" t="b">
        <f aca="false">TRUE()</f>
        <v>1</v>
      </c>
      <c r="N326" s="11" t="s">
        <v>140</v>
      </c>
      <c r="O326" s="11" t="str">
        <f aca="false">IF(K326&lt;=StockP33,"Low",IF(K326&lt;=StockP67,"Moderate","High"))</f>
        <v>Moderate</v>
      </c>
      <c r="P326" s="11" t="str">
        <f aca="false">IF(H326=0,"Low",IF(H326&lt;=MarkdownP75,"Moderate","High"))</f>
        <v>High</v>
      </c>
      <c r="Q326" s="11" t="str">
        <f aca="false">IF(ISBLANK(L326),"Unknown",IF(L326&gt;=4,"Good",IF(L326&lt;=2,"Poor","Neutral")))</f>
        <v>Neutral</v>
      </c>
      <c r="R326" s="11" t="str">
        <f aca="false">IF(AND(O326="Low",P326="Low",Q326="Good"),"BUY / PRIORITIZE",IF(AND(O326="High",P326="High",OR(Q326="Poor",M326=TRUE())),"HOLD / REVIEW","MONITOR"))</f>
        <v>MONITOR</v>
      </c>
      <c r="S326" s="11" t="n">
        <f aca="false">K326+(ROW()/10000000)</f>
        <v>21.0000326</v>
      </c>
    </row>
    <row r="327" customFormat="false" ht="15" hidden="false" customHeight="false" outlineLevel="0" collapsed="false">
      <c r="A327" s="11" t="s">
        <v>507</v>
      </c>
      <c r="B327" s="11" t="s">
        <v>27</v>
      </c>
      <c r="C327" s="11" t="s">
        <v>130</v>
      </c>
      <c r="D327" s="11" t="s">
        <v>36</v>
      </c>
      <c r="E327" s="11" t="s">
        <v>113</v>
      </c>
      <c r="F327" s="11" t="s">
        <v>98</v>
      </c>
      <c r="G327" s="21" t="n">
        <v>159.4</v>
      </c>
      <c r="H327" s="19" t="n">
        <v>8.8</v>
      </c>
      <c r="I327" s="21" t="n">
        <v>145.37</v>
      </c>
      <c r="J327" s="22" t="s">
        <v>80</v>
      </c>
      <c r="K327" s="11" t="n">
        <v>43</v>
      </c>
      <c r="L327" s="23" t="n">
        <v>4.5</v>
      </c>
      <c r="M327" s="24" t="b">
        <f aca="false">FALSE()</f>
        <v>0</v>
      </c>
      <c r="N327" s="11"/>
      <c r="O327" s="11" t="str">
        <f aca="false">IF(K327&lt;=StockP33,"Low",IF(K327&lt;=StockP67,"Moderate","High"))</f>
        <v>High</v>
      </c>
      <c r="P327" s="11" t="str">
        <f aca="false">IF(H327=0,"Low",IF(H327&lt;=MarkdownP75,"Moderate","High"))</f>
        <v>Moderate</v>
      </c>
      <c r="Q327" s="11" t="str">
        <f aca="false">IF(ISBLANK(L327),"Unknown",IF(L327&gt;=4,"Good",IF(L327&lt;=2,"Poor","Neutral")))</f>
        <v>Good</v>
      </c>
      <c r="R327" s="11" t="str">
        <f aca="false">IF(AND(O327="Low",P327="Low",Q327="Good"),"BUY / PRIORITIZE",IF(AND(O327="High",P327="High",OR(Q327="Poor",M327=TRUE())),"HOLD / REVIEW","MONITOR"))</f>
        <v>MONITOR</v>
      </c>
      <c r="S327" s="11" t="n">
        <f aca="false">K327+(ROW()/10000000)</f>
        <v>43.0000327</v>
      </c>
    </row>
    <row r="328" customFormat="false" ht="15" hidden="false" customHeight="false" outlineLevel="0" collapsed="false">
      <c r="A328" s="11" t="s">
        <v>508</v>
      </c>
      <c r="B328" s="11" t="s">
        <v>26</v>
      </c>
      <c r="C328" s="11" t="s">
        <v>130</v>
      </c>
      <c r="D328" s="11" t="s">
        <v>37</v>
      </c>
      <c r="E328" s="11" t="s">
        <v>91</v>
      </c>
      <c r="F328" s="11" t="s">
        <v>82</v>
      </c>
      <c r="G328" s="21" t="n">
        <v>106.53</v>
      </c>
      <c r="H328" s="19" t="n">
        <v>46.5</v>
      </c>
      <c r="I328" s="21" t="n">
        <v>56.99</v>
      </c>
      <c r="J328" s="22" t="s">
        <v>80</v>
      </c>
      <c r="K328" s="11" t="n">
        <v>17</v>
      </c>
      <c r="L328" s="23"/>
      <c r="M328" s="24" t="b">
        <f aca="false">FALSE()</f>
        <v>0</v>
      </c>
      <c r="N328" s="11"/>
      <c r="O328" s="11" t="str">
        <f aca="false">IF(K328&lt;=StockP33,"Low",IF(K328&lt;=StockP67,"Moderate","High"))</f>
        <v>Low</v>
      </c>
      <c r="P328" s="11" t="str">
        <f aca="false">IF(H328=0,"Low",IF(H328&lt;=MarkdownP75,"Moderate","High"))</f>
        <v>High</v>
      </c>
      <c r="Q328" s="11" t="str">
        <f aca="false">IF(ISBLANK(L328),"Unknown",IF(L328&gt;=4,"Good",IF(L328&lt;=2,"Poor","Neutral")))</f>
        <v>Unknown</v>
      </c>
      <c r="R328" s="11" t="str">
        <f aca="false">IF(AND(O328="Low",P328="Low",Q328="Good"),"BUY / PRIORITIZE",IF(AND(O328="High",P328="High",OR(Q328="Poor",M328=TRUE())),"HOLD / REVIEW","MONITOR"))</f>
        <v>MONITOR</v>
      </c>
      <c r="S328" s="11" t="n">
        <f aca="false">K328+(ROW()/10000000)</f>
        <v>17.0000328</v>
      </c>
    </row>
    <row r="329" customFormat="false" ht="15" hidden="false" customHeight="false" outlineLevel="0" collapsed="false">
      <c r="A329" s="11" t="s">
        <v>509</v>
      </c>
      <c r="B329" s="11" t="s">
        <v>8</v>
      </c>
      <c r="C329" s="11" t="s">
        <v>116</v>
      </c>
      <c r="D329" s="11" t="s">
        <v>34</v>
      </c>
      <c r="E329" s="11"/>
      <c r="F329" s="11" t="s">
        <v>82</v>
      </c>
      <c r="G329" s="21" t="n">
        <v>78.81</v>
      </c>
      <c r="H329" s="19" t="n">
        <v>44.7</v>
      </c>
      <c r="I329" s="21" t="n">
        <v>43.58</v>
      </c>
      <c r="J329" s="22" t="s">
        <v>200</v>
      </c>
      <c r="K329" s="11" t="n">
        <v>34</v>
      </c>
      <c r="L329" s="23" t="n">
        <v>1.4</v>
      </c>
      <c r="M329" s="24" t="b">
        <f aca="false">FALSE()</f>
        <v>0</v>
      </c>
      <c r="N329" s="11"/>
      <c r="O329" s="11" t="str">
        <f aca="false">IF(K329&lt;=StockP33,"Low",IF(K329&lt;=StockP67,"Moderate","High"))</f>
        <v>High</v>
      </c>
      <c r="P329" s="11" t="str">
        <f aca="false">IF(H329=0,"Low",IF(H329&lt;=MarkdownP75,"Moderate","High"))</f>
        <v>High</v>
      </c>
      <c r="Q329" s="11" t="str">
        <f aca="false">IF(ISBLANK(L329),"Unknown",IF(L329&gt;=4,"Good",IF(L329&lt;=2,"Poor","Neutral")))</f>
        <v>Poor</v>
      </c>
      <c r="R329" s="11" t="str">
        <f aca="false">IF(AND(O329="Low",P329="Low",Q329="Good"),"BUY / PRIORITIZE",IF(AND(O329="High",P329="High",OR(Q329="Poor",M329=TRUE())),"HOLD / REVIEW","MONITOR"))</f>
        <v>HOLD / REVIEW</v>
      </c>
      <c r="S329" s="11" t="n">
        <f aca="false">K329+(ROW()/10000000)</f>
        <v>34.0000329</v>
      </c>
    </row>
    <row r="330" customFormat="false" ht="15" hidden="false" customHeight="false" outlineLevel="0" collapsed="false">
      <c r="A330" s="11" t="s">
        <v>510</v>
      </c>
      <c r="B330" s="11" t="s">
        <v>28</v>
      </c>
      <c r="C330" s="11" t="s">
        <v>77</v>
      </c>
      <c r="D330" s="11" t="s">
        <v>35</v>
      </c>
      <c r="E330" s="11" t="s">
        <v>110</v>
      </c>
      <c r="F330" s="11" t="s">
        <v>92</v>
      </c>
      <c r="G330" s="21" t="n">
        <v>117.45</v>
      </c>
      <c r="H330" s="19" t="n">
        <v>29.5</v>
      </c>
      <c r="I330" s="21" t="n">
        <v>82.8</v>
      </c>
      <c r="J330" s="22" t="s">
        <v>80</v>
      </c>
      <c r="K330" s="11" t="n">
        <v>43</v>
      </c>
      <c r="L330" s="23" t="n">
        <v>1.2</v>
      </c>
      <c r="M330" s="24" t="b">
        <f aca="false">FALSE()</f>
        <v>0</v>
      </c>
      <c r="N330" s="11"/>
      <c r="O330" s="11" t="str">
        <f aca="false">IF(K330&lt;=StockP33,"Low",IF(K330&lt;=StockP67,"Moderate","High"))</f>
        <v>High</v>
      </c>
      <c r="P330" s="11" t="str">
        <f aca="false">IF(H330=0,"Low",IF(H330&lt;=MarkdownP75,"Moderate","High"))</f>
        <v>High</v>
      </c>
      <c r="Q330" s="11" t="str">
        <f aca="false">IF(ISBLANK(L330),"Unknown",IF(L330&gt;=4,"Good",IF(L330&lt;=2,"Poor","Neutral")))</f>
        <v>Poor</v>
      </c>
      <c r="R330" s="11" t="str">
        <f aca="false">IF(AND(O330="Low",P330="Low",Q330="Good"),"BUY / PRIORITIZE",IF(AND(O330="High",P330="High",OR(Q330="Poor",M330=TRUE())),"HOLD / REVIEW","MONITOR"))</f>
        <v>HOLD / REVIEW</v>
      </c>
      <c r="S330" s="11" t="n">
        <f aca="false">K330+(ROW()/10000000)</f>
        <v>43.000033</v>
      </c>
    </row>
    <row r="331" customFormat="false" ht="15" hidden="false" customHeight="false" outlineLevel="0" collapsed="false">
      <c r="A331" s="11" t="s">
        <v>511</v>
      </c>
      <c r="B331" s="11" t="s">
        <v>8</v>
      </c>
      <c r="C331" s="11" t="s">
        <v>116</v>
      </c>
      <c r="D331" s="11" t="s">
        <v>34</v>
      </c>
      <c r="E331" s="11"/>
      <c r="F331" s="11" t="s">
        <v>111</v>
      </c>
      <c r="G331" s="21" t="n">
        <v>76.94</v>
      </c>
      <c r="H331" s="19" t="n">
        <v>0</v>
      </c>
      <c r="I331" s="21" t="n">
        <v>76.94</v>
      </c>
      <c r="J331" s="22" t="s">
        <v>512</v>
      </c>
      <c r="K331" s="11" t="n">
        <v>21</v>
      </c>
      <c r="L331" s="23" t="n">
        <v>4.3</v>
      </c>
      <c r="M331" s="24" t="b">
        <f aca="false">FALSE()</f>
        <v>0</v>
      </c>
      <c r="N331" s="11"/>
      <c r="O331" s="11" t="str">
        <f aca="false">IF(K331&lt;=StockP33,"Low",IF(K331&lt;=StockP67,"Moderate","High"))</f>
        <v>Moderate</v>
      </c>
      <c r="P331" s="11" t="str">
        <f aca="false">IF(H331=0,"Low",IF(H331&lt;=MarkdownP75,"Moderate","High"))</f>
        <v>Low</v>
      </c>
      <c r="Q331" s="11" t="str">
        <f aca="false">IF(ISBLANK(L331),"Unknown",IF(L331&gt;=4,"Good",IF(L331&lt;=2,"Poor","Neutral")))</f>
        <v>Good</v>
      </c>
      <c r="R331" s="11" t="str">
        <f aca="false">IF(AND(O331="Low",P331="Low",Q331="Good"),"BUY / PRIORITIZE",IF(AND(O331="High",P331="High",OR(Q331="Poor",M331=TRUE())),"HOLD / REVIEW","MONITOR"))</f>
        <v>MONITOR</v>
      </c>
      <c r="S331" s="11" t="n">
        <f aca="false">K331+(ROW()/10000000)</f>
        <v>21.0000331</v>
      </c>
    </row>
    <row r="332" customFormat="false" ht="15" hidden="false" customHeight="false" outlineLevel="0" collapsed="false">
      <c r="A332" s="11" t="s">
        <v>513</v>
      </c>
      <c r="B332" s="11" t="s">
        <v>28</v>
      </c>
      <c r="C332" s="11" t="s">
        <v>116</v>
      </c>
      <c r="D332" s="11" t="s">
        <v>35</v>
      </c>
      <c r="E332" s="11" t="s">
        <v>78</v>
      </c>
      <c r="F332" s="11" t="s">
        <v>88</v>
      </c>
      <c r="G332" s="21" t="n">
        <v>232.19</v>
      </c>
      <c r="H332" s="19" t="n">
        <v>0</v>
      </c>
      <c r="I332" s="21" t="n">
        <v>232.19</v>
      </c>
      <c r="J332" s="22" t="s">
        <v>80</v>
      </c>
      <c r="K332" s="11" t="n">
        <v>31</v>
      </c>
      <c r="L332" s="23" t="n">
        <v>1.3</v>
      </c>
      <c r="M332" s="24" t="b">
        <f aca="false">TRUE()</f>
        <v>1</v>
      </c>
      <c r="N332" s="11" t="s">
        <v>178</v>
      </c>
      <c r="O332" s="11" t="str">
        <f aca="false">IF(K332&lt;=StockP33,"Low",IF(K332&lt;=StockP67,"Moderate","High"))</f>
        <v>Moderate</v>
      </c>
      <c r="P332" s="11" t="str">
        <f aca="false">IF(H332=0,"Low",IF(H332&lt;=MarkdownP75,"Moderate","High"))</f>
        <v>Low</v>
      </c>
      <c r="Q332" s="11" t="str">
        <f aca="false">IF(ISBLANK(L332),"Unknown",IF(L332&gt;=4,"Good",IF(L332&lt;=2,"Poor","Neutral")))</f>
        <v>Poor</v>
      </c>
      <c r="R332" s="11" t="str">
        <f aca="false">IF(AND(O332="Low",P332="Low",Q332="Good"),"BUY / PRIORITIZE",IF(AND(O332="High",P332="High",OR(Q332="Poor",M332=TRUE())),"HOLD / REVIEW","MONITOR"))</f>
        <v>MONITOR</v>
      </c>
      <c r="S332" s="11" t="n">
        <f aca="false">K332+(ROW()/10000000)</f>
        <v>31.0000332</v>
      </c>
    </row>
    <row r="333" customFormat="false" ht="15" hidden="false" customHeight="false" outlineLevel="0" collapsed="false">
      <c r="A333" s="11" t="s">
        <v>514</v>
      </c>
      <c r="B333" s="11" t="s">
        <v>27</v>
      </c>
      <c r="C333" s="11" t="s">
        <v>130</v>
      </c>
      <c r="D333" s="11" t="s">
        <v>36</v>
      </c>
      <c r="E333" s="11" t="s">
        <v>110</v>
      </c>
      <c r="F333" s="11" t="s">
        <v>118</v>
      </c>
      <c r="G333" s="21" t="n">
        <v>80.4</v>
      </c>
      <c r="H333" s="19" t="n">
        <v>52.1</v>
      </c>
      <c r="I333" s="21" t="n">
        <v>38.51</v>
      </c>
      <c r="J333" s="22" t="s">
        <v>80</v>
      </c>
      <c r="K333" s="11" t="n">
        <v>7</v>
      </c>
      <c r="L333" s="23" t="n">
        <v>1.2</v>
      </c>
      <c r="M333" s="24" t="b">
        <f aca="false">FALSE()</f>
        <v>0</v>
      </c>
      <c r="N333" s="11"/>
      <c r="O333" s="11" t="str">
        <f aca="false">IF(K333&lt;=StockP33,"Low",IF(K333&lt;=StockP67,"Moderate","High"))</f>
        <v>Low</v>
      </c>
      <c r="P333" s="11" t="str">
        <f aca="false">IF(H333=0,"Low",IF(H333&lt;=MarkdownP75,"Moderate","High"))</f>
        <v>High</v>
      </c>
      <c r="Q333" s="11" t="str">
        <f aca="false">IF(ISBLANK(L333),"Unknown",IF(L333&gt;=4,"Good",IF(L333&lt;=2,"Poor","Neutral")))</f>
        <v>Poor</v>
      </c>
      <c r="R333" s="11" t="str">
        <f aca="false">IF(AND(O333="Low",P333="Low",Q333="Good"),"BUY / PRIORITIZE",IF(AND(O333="High",P333="High",OR(Q333="Poor",M333=TRUE())),"HOLD / REVIEW","MONITOR"))</f>
        <v>MONITOR</v>
      </c>
      <c r="S333" s="11" t="n">
        <f aca="false">K333+(ROW()/10000000)</f>
        <v>7.0000333</v>
      </c>
    </row>
    <row r="334" customFormat="false" ht="15" hidden="false" customHeight="false" outlineLevel="0" collapsed="false">
      <c r="A334" s="11" t="s">
        <v>515</v>
      </c>
      <c r="B334" s="11" t="s">
        <v>26</v>
      </c>
      <c r="C334" s="11" t="s">
        <v>95</v>
      </c>
      <c r="D334" s="11" t="s">
        <v>35</v>
      </c>
      <c r="E334" s="11" t="s">
        <v>73</v>
      </c>
      <c r="F334" s="11" t="s">
        <v>82</v>
      </c>
      <c r="G334" s="21" t="n">
        <v>102.82</v>
      </c>
      <c r="H334" s="19" t="n">
        <v>0</v>
      </c>
      <c r="I334" s="21" t="n">
        <v>102.82</v>
      </c>
      <c r="J334" s="22" t="s">
        <v>80</v>
      </c>
      <c r="K334" s="11" t="n">
        <v>50</v>
      </c>
      <c r="L334" s="23" t="n">
        <v>3.6</v>
      </c>
      <c r="M334" s="24" t="b">
        <f aca="false">FALSE()</f>
        <v>0</v>
      </c>
      <c r="N334" s="11"/>
      <c r="O334" s="11" t="str">
        <f aca="false">IF(K334&lt;=StockP33,"Low",IF(K334&lt;=StockP67,"Moderate","High"))</f>
        <v>High</v>
      </c>
      <c r="P334" s="11" t="str">
        <f aca="false">IF(H334=0,"Low",IF(H334&lt;=MarkdownP75,"Moderate","High"))</f>
        <v>Low</v>
      </c>
      <c r="Q334" s="11" t="str">
        <f aca="false">IF(ISBLANK(L334),"Unknown",IF(L334&gt;=4,"Good",IF(L334&lt;=2,"Poor","Neutral")))</f>
        <v>Neutral</v>
      </c>
      <c r="R334" s="11" t="str">
        <f aca="false">IF(AND(O334="Low",P334="Low",Q334="Good"),"BUY / PRIORITIZE",IF(AND(O334="High",P334="High",OR(Q334="Poor",M334=TRUE())),"HOLD / REVIEW","MONITOR"))</f>
        <v>MONITOR</v>
      </c>
      <c r="S334" s="11" t="n">
        <f aca="false">K334+(ROW()/10000000)</f>
        <v>50.0000334</v>
      </c>
    </row>
    <row r="335" customFormat="false" ht="15" hidden="false" customHeight="false" outlineLevel="0" collapsed="false">
      <c r="A335" s="11" t="s">
        <v>516</v>
      </c>
      <c r="B335" s="11" t="s">
        <v>8</v>
      </c>
      <c r="C335" s="11" t="s">
        <v>72</v>
      </c>
      <c r="D335" s="11" t="s">
        <v>34</v>
      </c>
      <c r="E335" s="11"/>
      <c r="F335" s="11" t="s">
        <v>118</v>
      </c>
      <c r="G335" s="21" t="n">
        <v>48.5</v>
      </c>
      <c r="H335" s="19" t="n">
        <v>0</v>
      </c>
      <c r="I335" s="21" t="n">
        <v>48.5</v>
      </c>
      <c r="J335" s="22" t="s">
        <v>517</v>
      </c>
      <c r="K335" s="11" t="n">
        <v>46</v>
      </c>
      <c r="L335" s="23"/>
      <c r="M335" s="24" t="b">
        <f aca="false">FALSE()</f>
        <v>0</v>
      </c>
      <c r="N335" s="11"/>
      <c r="O335" s="11" t="str">
        <f aca="false">IF(K335&lt;=StockP33,"Low",IF(K335&lt;=StockP67,"Moderate","High"))</f>
        <v>High</v>
      </c>
      <c r="P335" s="11" t="str">
        <f aca="false">IF(H335=0,"Low",IF(H335&lt;=MarkdownP75,"Moderate","High"))</f>
        <v>Low</v>
      </c>
      <c r="Q335" s="11" t="str">
        <f aca="false">IF(ISBLANK(L335),"Unknown",IF(L335&gt;=4,"Good",IF(L335&lt;=2,"Poor","Neutral")))</f>
        <v>Unknown</v>
      </c>
      <c r="R335" s="11" t="str">
        <f aca="false">IF(AND(O335="Low",P335="Low",Q335="Good"),"BUY / PRIORITIZE",IF(AND(O335="High",P335="High",OR(Q335="Poor",M335=TRUE())),"HOLD / REVIEW","MONITOR"))</f>
        <v>MONITOR</v>
      </c>
      <c r="S335" s="11" t="n">
        <f aca="false">K335+(ROW()/10000000)</f>
        <v>46.0000335</v>
      </c>
    </row>
    <row r="336" customFormat="false" ht="15" hidden="false" customHeight="false" outlineLevel="0" collapsed="false">
      <c r="A336" s="11" t="s">
        <v>518</v>
      </c>
      <c r="B336" s="11" t="s">
        <v>26</v>
      </c>
      <c r="C336" s="11" t="s">
        <v>95</v>
      </c>
      <c r="D336" s="11" t="s">
        <v>36</v>
      </c>
      <c r="E336" s="11"/>
      <c r="F336" s="11" t="s">
        <v>79</v>
      </c>
      <c r="G336" s="21" t="n">
        <v>88.4</v>
      </c>
      <c r="H336" s="19" t="n">
        <v>0</v>
      </c>
      <c r="I336" s="21" t="n">
        <v>88.4</v>
      </c>
      <c r="J336" s="22" t="s">
        <v>80</v>
      </c>
      <c r="K336" s="11" t="n">
        <v>1</v>
      </c>
      <c r="L336" s="23" t="n">
        <v>1.4</v>
      </c>
      <c r="M336" s="24" t="b">
        <f aca="false">FALSE()</f>
        <v>0</v>
      </c>
      <c r="N336" s="11"/>
      <c r="O336" s="11" t="str">
        <f aca="false">IF(K336&lt;=StockP33,"Low",IF(K336&lt;=StockP67,"Moderate","High"))</f>
        <v>Low</v>
      </c>
      <c r="P336" s="11" t="str">
        <f aca="false">IF(H336=0,"Low",IF(H336&lt;=MarkdownP75,"Moderate","High"))</f>
        <v>Low</v>
      </c>
      <c r="Q336" s="11" t="str">
        <f aca="false">IF(ISBLANK(L336),"Unknown",IF(L336&gt;=4,"Good",IF(L336&lt;=2,"Poor","Neutral")))</f>
        <v>Poor</v>
      </c>
      <c r="R336" s="11" t="str">
        <f aca="false">IF(AND(O336="Low",P336="Low",Q336="Good"),"BUY / PRIORITIZE",IF(AND(O336="High",P336="High",OR(Q336="Poor",M336=TRUE())),"HOLD / REVIEW","MONITOR"))</f>
        <v>MONITOR</v>
      </c>
      <c r="S336" s="11" t="n">
        <f aca="false">K336+(ROW()/10000000)</f>
        <v>1.0000336</v>
      </c>
    </row>
    <row r="337" customFormat="false" ht="15" hidden="false" customHeight="false" outlineLevel="0" collapsed="false">
      <c r="A337" s="11" t="s">
        <v>519</v>
      </c>
      <c r="B337" s="11" t="s">
        <v>29</v>
      </c>
      <c r="C337" s="11" t="s">
        <v>95</v>
      </c>
      <c r="D337" s="11" t="s">
        <v>37</v>
      </c>
      <c r="E337" s="11" t="s">
        <v>91</v>
      </c>
      <c r="F337" s="11" t="s">
        <v>82</v>
      </c>
      <c r="G337" s="21" t="n">
        <v>112.5</v>
      </c>
      <c r="H337" s="19" t="n">
        <v>0</v>
      </c>
      <c r="I337" s="21" t="n">
        <v>112.5</v>
      </c>
      <c r="J337" s="22" t="s">
        <v>80</v>
      </c>
      <c r="K337" s="11" t="n">
        <v>11</v>
      </c>
      <c r="L337" s="23" t="n">
        <v>4.3</v>
      </c>
      <c r="M337" s="24" t="b">
        <f aca="false">FALSE()</f>
        <v>0</v>
      </c>
      <c r="N337" s="11"/>
      <c r="O337" s="11" t="str">
        <f aca="false">IF(K337&lt;=StockP33,"Low",IF(K337&lt;=StockP67,"Moderate","High"))</f>
        <v>Low</v>
      </c>
      <c r="P337" s="11" t="str">
        <f aca="false">IF(H337=0,"Low",IF(H337&lt;=MarkdownP75,"Moderate","High"))</f>
        <v>Low</v>
      </c>
      <c r="Q337" s="11" t="str">
        <f aca="false">IF(ISBLANK(L337),"Unknown",IF(L337&gt;=4,"Good",IF(L337&lt;=2,"Poor","Neutral")))</f>
        <v>Good</v>
      </c>
      <c r="R337" s="11" t="str">
        <f aca="false">IF(AND(O337="Low",P337="Low",Q337="Good"),"BUY / PRIORITIZE",IF(AND(O337="High",P337="High",OR(Q337="Poor",M337=TRUE())),"HOLD / REVIEW","MONITOR"))</f>
        <v>BUY / PRIORITIZE</v>
      </c>
      <c r="S337" s="11" t="n">
        <f aca="false">K337+(ROW()/10000000)</f>
        <v>11.0000337</v>
      </c>
    </row>
    <row r="338" customFormat="false" ht="15" hidden="false" customHeight="false" outlineLevel="0" collapsed="false">
      <c r="A338" s="11" t="s">
        <v>520</v>
      </c>
      <c r="B338" s="11" t="s">
        <v>26</v>
      </c>
      <c r="C338" s="11" t="s">
        <v>72</v>
      </c>
      <c r="D338" s="11" t="s">
        <v>36</v>
      </c>
      <c r="E338" s="11" t="s">
        <v>102</v>
      </c>
      <c r="F338" s="11" t="s">
        <v>92</v>
      </c>
      <c r="G338" s="21" t="n">
        <v>97.95</v>
      </c>
      <c r="H338" s="19" t="n">
        <v>11.1</v>
      </c>
      <c r="I338" s="21" t="n">
        <v>87.08</v>
      </c>
      <c r="J338" s="22" t="s">
        <v>80</v>
      </c>
      <c r="K338" s="11" t="n">
        <v>25</v>
      </c>
      <c r="L338" s="23" t="n">
        <v>2.4</v>
      </c>
      <c r="M338" s="24" t="b">
        <f aca="false">FALSE()</f>
        <v>0</v>
      </c>
      <c r="N338" s="11"/>
      <c r="O338" s="11" t="str">
        <f aca="false">IF(K338&lt;=StockP33,"Low",IF(K338&lt;=StockP67,"Moderate","High"))</f>
        <v>Moderate</v>
      </c>
      <c r="P338" s="11" t="str">
        <f aca="false">IF(H338=0,"Low",IF(H338&lt;=MarkdownP75,"Moderate","High"))</f>
        <v>Moderate</v>
      </c>
      <c r="Q338" s="11" t="str">
        <f aca="false">IF(ISBLANK(L338),"Unknown",IF(L338&gt;=4,"Good",IF(L338&lt;=2,"Poor","Neutral")))</f>
        <v>Neutral</v>
      </c>
      <c r="R338" s="11" t="str">
        <f aca="false">IF(AND(O338="Low",P338="Low",Q338="Good"),"BUY / PRIORITIZE",IF(AND(O338="High",P338="High",OR(Q338="Poor",M338=TRUE())),"HOLD / REVIEW","MONITOR"))</f>
        <v>MONITOR</v>
      </c>
      <c r="S338" s="11" t="n">
        <f aca="false">K338+(ROW()/10000000)</f>
        <v>25.0000338</v>
      </c>
    </row>
    <row r="339" customFormat="false" ht="15" hidden="false" customHeight="false" outlineLevel="0" collapsed="false">
      <c r="A339" s="11" t="s">
        <v>521</v>
      </c>
      <c r="B339" s="11" t="s">
        <v>28</v>
      </c>
      <c r="C339" s="11" t="s">
        <v>101</v>
      </c>
      <c r="D339" s="11" t="s">
        <v>35</v>
      </c>
      <c r="E339" s="11" t="s">
        <v>113</v>
      </c>
      <c r="F339" s="11" t="s">
        <v>79</v>
      </c>
      <c r="G339" s="21" t="n">
        <v>114.51</v>
      </c>
      <c r="H339" s="19" t="n">
        <v>36.9</v>
      </c>
      <c r="I339" s="21" t="n">
        <v>72.26</v>
      </c>
      <c r="J339" s="22" t="s">
        <v>80</v>
      </c>
      <c r="K339" s="11" t="n">
        <v>33</v>
      </c>
      <c r="L339" s="23" t="n">
        <v>1.5</v>
      </c>
      <c r="M339" s="24" t="b">
        <f aca="false">FALSE()</f>
        <v>0</v>
      </c>
      <c r="N339" s="11"/>
      <c r="O339" s="11" t="str">
        <f aca="false">IF(K339&lt;=StockP33,"Low",IF(K339&lt;=StockP67,"Moderate","High"))</f>
        <v>Moderate</v>
      </c>
      <c r="P339" s="11" t="str">
        <f aca="false">IF(H339=0,"Low",IF(H339&lt;=MarkdownP75,"Moderate","High"))</f>
        <v>High</v>
      </c>
      <c r="Q339" s="11" t="str">
        <f aca="false">IF(ISBLANK(L339),"Unknown",IF(L339&gt;=4,"Good",IF(L339&lt;=2,"Poor","Neutral")))</f>
        <v>Poor</v>
      </c>
      <c r="R339" s="11" t="str">
        <f aca="false">IF(AND(O339="Low",P339="Low",Q339="Good"),"BUY / PRIORITIZE",IF(AND(O339="High",P339="High",OR(Q339="Poor",M339=TRUE())),"HOLD / REVIEW","MONITOR"))</f>
        <v>MONITOR</v>
      </c>
      <c r="S339" s="11" t="n">
        <f aca="false">K339+(ROW()/10000000)</f>
        <v>33.0000339</v>
      </c>
    </row>
    <row r="340" customFormat="false" ht="15" hidden="false" customHeight="false" outlineLevel="0" collapsed="false">
      <c r="A340" s="11" t="s">
        <v>522</v>
      </c>
      <c r="B340" s="11" t="s">
        <v>26</v>
      </c>
      <c r="C340" s="11" t="s">
        <v>72</v>
      </c>
      <c r="D340" s="11" t="s">
        <v>37</v>
      </c>
      <c r="E340" s="11" t="s">
        <v>110</v>
      </c>
      <c r="F340" s="11" t="s">
        <v>124</v>
      </c>
      <c r="G340" s="21" t="n">
        <v>27.85</v>
      </c>
      <c r="H340" s="19" t="n">
        <v>0</v>
      </c>
      <c r="I340" s="21" t="n">
        <v>27.85</v>
      </c>
      <c r="J340" s="22" t="s">
        <v>80</v>
      </c>
      <c r="K340" s="11" t="n">
        <v>0</v>
      </c>
      <c r="L340" s="23" t="n">
        <v>1.5</v>
      </c>
      <c r="M340" s="24" t="b">
        <f aca="false">FALSE()</f>
        <v>0</v>
      </c>
      <c r="N340" s="11"/>
      <c r="O340" s="11" t="str">
        <f aca="false">IF(K340&lt;=StockP33,"Low",IF(K340&lt;=StockP67,"Moderate","High"))</f>
        <v>Low</v>
      </c>
      <c r="P340" s="11" t="str">
        <f aca="false">IF(H340=0,"Low",IF(H340&lt;=MarkdownP75,"Moderate","High"))</f>
        <v>Low</v>
      </c>
      <c r="Q340" s="11" t="str">
        <f aca="false">IF(ISBLANK(L340),"Unknown",IF(L340&gt;=4,"Good",IF(L340&lt;=2,"Poor","Neutral")))</f>
        <v>Poor</v>
      </c>
      <c r="R340" s="11" t="str">
        <f aca="false">IF(AND(O340="Low",P340="Low",Q340="Good"),"BUY / PRIORITIZE",IF(AND(O340="High",P340="High",OR(Q340="Poor",M340=TRUE())),"HOLD / REVIEW","MONITOR"))</f>
        <v>MONITOR</v>
      </c>
      <c r="S340" s="11" t="n">
        <f aca="false">K340+(ROW()/10000000)</f>
        <v>3.4E-005</v>
      </c>
    </row>
    <row r="341" customFormat="false" ht="15" hidden="false" customHeight="false" outlineLevel="0" collapsed="false">
      <c r="A341" s="11" t="s">
        <v>523</v>
      </c>
      <c r="B341" s="11" t="s">
        <v>29</v>
      </c>
      <c r="C341" s="11" t="s">
        <v>107</v>
      </c>
      <c r="D341" s="11" t="s">
        <v>34</v>
      </c>
      <c r="E341" s="11" t="s">
        <v>73</v>
      </c>
      <c r="F341" s="11" t="s">
        <v>96</v>
      </c>
      <c r="G341" s="21" t="n">
        <v>82.08</v>
      </c>
      <c r="H341" s="19" t="n">
        <v>40.6</v>
      </c>
      <c r="I341" s="21" t="n">
        <v>48.76</v>
      </c>
      <c r="J341" s="22" t="s">
        <v>370</v>
      </c>
      <c r="K341" s="11" t="n">
        <v>43</v>
      </c>
      <c r="L341" s="23" t="n">
        <v>2.5</v>
      </c>
      <c r="M341" s="24" t="b">
        <f aca="false">TRUE()</f>
        <v>1</v>
      </c>
      <c r="N341" s="11" t="s">
        <v>140</v>
      </c>
      <c r="O341" s="11" t="str">
        <f aca="false">IF(K341&lt;=StockP33,"Low",IF(K341&lt;=StockP67,"Moderate","High"))</f>
        <v>High</v>
      </c>
      <c r="P341" s="11" t="str">
        <f aca="false">IF(H341=0,"Low",IF(H341&lt;=MarkdownP75,"Moderate","High"))</f>
        <v>High</v>
      </c>
      <c r="Q341" s="11" t="str">
        <f aca="false">IF(ISBLANK(L341),"Unknown",IF(L341&gt;=4,"Good",IF(L341&lt;=2,"Poor","Neutral")))</f>
        <v>Neutral</v>
      </c>
      <c r="R341" s="11" t="str">
        <f aca="false">IF(AND(O341="Low",P341="Low",Q341="Good"),"BUY / PRIORITIZE",IF(AND(O341="High",P341="High",OR(Q341="Poor",M341=TRUE())),"HOLD / REVIEW","MONITOR"))</f>
        <v>HOLD / REVIEW</v>
      </c>
      <c r="S341" s="11" t="n">
        <f aca="false">K341+(ROW()/10000000)</f>
        <v>43.0000341</v>
      </c>
    </row>
    <row r="342" customFormat="false" ht="15" hidden="false" customHeight="false" outlineLevel="0" collapsed="false">
      <c r="A342" s="11" t="s">
        <v>524</v>
      </c>
      <c r="B342" s="11" t="s">
        <v>26</v>
      </c>
      <c r="C342" s="11" t="s">
        <v>95</v>
      </c>
      <c r="D342" s="11" t="s">
        <v>35</v>
      </c>
      <c r="E342" s="11" t="s">
        <v>91</v>
      </c>
      <c r="F342" s="11" t="s">
        <v>82</v>
      </c>
      <c r="G342" s="21" t="n">
        <v>116.41</v>
      </c>
      <c r="H342" s="19" t="n">
        <v>40.7</v>
      </c>
      <c r="I342" s="21" t="n">
        <v>69.03</v>
      </c>
      <c r="J342" s="22" t="s">
        <v>80</v>
      </c>
      <c r="K342" s="11" t="n">
        <v>23</v>
      </c>
      <c r="L342" s="23" t="n">
        <v>1.2</v>
      </c>
      <c r="M342" s="24" t="b">
        <f aca="false">FALSE()</f>
        <v>0</v>
      </c>
      <c r="N342" s="11"/>
      <c r="O342" s="11" t="str">
        <f aca="false">IF(K342&lt;=StockP33,"Low",IF(K342&lt;=StockP67,"Moderate","High"))</f>
        <v>Moderate</v>
      </c>
      <c r="P342" s="11" t="str">
        <f aca="false">IF(H342=0,"Low",IF(H342&lt;=MarkdownP75,"Moderate","High"))</f>
        <v>High</v>
      </c>
      <c r="Q342" s="11" t="str">
        <f aca="false">IF(ISBLANK(L342),"Unknown",IF(L342&gt;=4,"Good",IF(L342&lt;=2,"Poor","Neutral")))</f>
        <v>Poor</v>
      </c>
      <c r="R342" s="11" t="str">
        <f aca="false">IF(AND(O342="Low",P342="Low",Q342="Good"),"BUY / PRIORITIZE",IF(AND(O342="High",P342="High",OR(Q342="Poor",M342=TRUE())),"HOLD / REVIEW","MONITOR"))</f>
        <v>MONITOR</v>
      </c>
      <c r="S342" s="11" t="n">
        <f aca="false">K342+(ROW()/10000000)</f>
        <v>23.0000342</v>
      </c>
    </row>
    <row r="343" customFormat="false" ht="15" hidden="false" customHeight="false" outlineLevel="0" collapsed="false">
      <c r="A343" s="11" t="s">
        <v>525</v>
      </c>
      <c r="B343" s="11" t="s">
        <v>26</v>
      </c>
      <c r="C343" s="11" t="s">
        <v>107</v>
      </c>
      <c r="D343" s="11" t="s">
        <v>34</v>
      </c>
      <c r="E343" s="11" t="s">
        <v>113</v>
      </c>
      <c r="F343" s="11" t="s">
        <v>88</v>
      </c>
      <c r="G343" s="21" t="n">
        <v>95.61</v>
      </c>
      <c r="H343" s="19" t="n">
        <v>0</v>
      </c>
      <c r="I343" s="21" t="n">
        <v>95.61</v>
      </c>
      <c r="J343" s="22" t="s">
        <v>526</v>
      </c>
      <c r="K343" s="11" t="n">
        <v>47</v>
      </c>
      <c r="L343" s="23" t="n">
        <v>4.7</v>
      </c>
      <c r="M343" s="24" t="b">
        <f aca="false">TRUE()</f>
        <v>1</v>
      </c>
      <c r="N343" s="11" t="s">
        <v>140</v>
      </c>
      <c r="O343" s="11" t="str">
        <f aca="false">IF(K343&lt;=StockP33,"Low",IF(K343&lt;=StockP67,"Moderate","High"))</f>
        <v>High</v>
      </c>
      <c r="P343" s="11" t="str">
        <f aca="false">IF(H343=0,"Low",IF(H343&lt;=MarkdownP75,"Moderate","High"))</f>
        <v>Low</v>
      </c>
      <c r="Q343" s="11" t="str">
        <f aca="false">IF(ISBLANK(L343),"Unknown",IF(L343&gt;=4,"Good",IF(L343&lt;=2,"Poor","Neutral")))</f>
        <v>Good</v>
      </c>
      <c r="R343" s="11" t="str">
        <f aca="false">IF(AND(O343="Low",P343="Low",Q343="Good"),"BUY / PRIORITIZE",IF(AND(O343="High",P343="High",OR(Q343="Poor",M343=TRUE())),"HOLD / REVIEW","MONITOR"))</f>
        <v>MONITOR</v>
      </c>
      <c r="S343" s="11" t="n">
        <f aca="false">K343+(ROW()/10000000)</f>
        <v>47.0000343</v>
      </c>
    </row>
    <row r="344" customFormat="false" ht="15" hidden="false" customHeight="false" outlineLevel="0" collapsed="false">
      <c r="A344" s="11" t="s">
        <v>527</v>
      </c>
      <c r="B344" s="11" t="s">
        <v>29</v>
      </c>
      <c r="C344" s="11" t="s">
        <v>95</v>
      </c>
      <c r="D344" s="11" t="s">
        <v>36</v>
      </c>
      <c r="E344" s="11" t="s">
        <v>113</v>
      </c>
      <c r="F344" s="11" t="s">
        <v>88</v>
      </c>
      <c r="G344" s="21" t="n">
        <v>70.04</v>
      </c>
      <c r="H344" s="19" t="n">
        <v>0</v>
      </c>
      <c r="I344" s="21" t="n">
        <v>70.04</v>
      </c>
      <c r="J344" s="22" t="s">
        <v>80</v>
      </c>
      <c r="K344" s="11" t="n">
        <v>12</v>
      </c>
      <c r="L344" s="23" t="n">
        <v>2.4</v>
      </c>
      <c r="M344" s="24" t="b">
        <f aca="false">FALSE()</f>
        <v>0</v>
      </c>
      <c r="N344" s="11"/>
      <c r="O344" s="11" t="str">
        <f aca="false">IF(K344&lt;=StockP33,"Low",IF(K344&lt;=StockP67,"Moderate","High"))</f>
        <v>Low</v>
      </c>
      <c r="P344" s="11" t="str">
        <f aca="false">IF(H344=0,"Low",IF(H344&lt;=MarkdownP75,"Moderate","High"))</f>
        <v>Low</v>
      </c>
      <c r="Q344" s="11" t="str">
        <f aca="false">IF(ISBLANK(L344),"Unknown",IF(L344&gt;=4,"Good",IF(L344&lt;=2,"Poor","Neutral")))</f>
        <v>Neutral</v>
      </c>
      <c r="R344" s="11" t="str">
        <f aca="false">IF(AND(O344="Low",P344="Low",Q344="Good"),"BUY / PRIORITIZE",IF(AND(O344="High",P344="High",OR(Q344="Poor",M344=TRUE())),"HOLD / REVIEW","MONITOR"))</f>
        <v>MONITOR</v>
      </c>
      <c r="S344" s="11" t="n">
        <f aca="false">K344+(ROW()/10000000)</f>
        <v>12.0000344</v>
      </c>
    </row>
    <row r="345" customFormat="false" ht="15" hidden="false" customHeight="false" outlineLevel="0" collapsed="false">
      <c r="A345" s="11" t="s">
        <v>528</v>
      </c>
      <c r="B345" s="11" t="s">
        <v>29</v>
      </c>
      <c r="C345" s="11" t="s">
        <v>86</v>
      </c>
      <c r="D345" s="11" t="s">
        <v>37</v>
      </c>
      <c r="E345" s="11" t="s">
        <v>91</v>
      </c>
      <c r="F345" s="11" t="s">
        <v>92</v>
      </c>
      <c r="G345" s="21" t="n">
        <v>112.59</v>
      </c>
      <c r="H345" s="19" t="n">
        <v>54</v>
      </c>
      <c r="I345" s="21" t="n">
        <v>51.79</v>
      </c>
      <c r="J345" s="22" t="s">
        <v>80</v>
      </c>
      <c r="K345" s="11" t="n">
        <v>17</v>
      </c>
      <c r="L345" s="23" t="n">
        <v>4</v>
      </c>
      <c r="M345" s="24" t="b">
        <f aca="false">FALSE()</f>
        <v>0</v>
      </c>
      <c r="N345" s="11"/>
      <c r="O345" s="11" t="str">
        <f aca="false">IF(K345&lt;=StockP33,"Low",IF(K345&lt;=StockP67,"Moderate","High"))</f>
        <v>Low</v>
      </c>
      <c r="P345" s="11" t="str">
        <f aca="false">IF(H345=0,"Low",IF(H345&lt;=MarkdownP75,"Moderate","High"))</f>
        <v>High</v>
      </c>
      <c r="Q345" s="11" t="str">
        <f aca="false">IF(ISBLANK(L345),"Unknown",IF(L345&gt;=4,"Good",IF(L345&lt;=2,"Poor","Neutral")))</f>
        <v>Good</v>
      </c>
      <c r="R345" s="11" t="str">
        <f aca="false">IF(AND(O345="Low",P345="Low",Q345="Good"),"BUY / PRIORITIZE",IF(AND(O345="High",P345="High",OR(Q345="Poor",M345=TRUE())),"HOLD / REVIEW","MONITOR"))</f>
        <v>MONITOR</v>
      </c>
      <c r="S345" s="11" t="n">
        <f aca="false">K345+(ROW()/10000000)</f>
        <v>17.0000345</v>
      </c>
    </row>
    <row r="346" customFormat="false" ht="15" hidden="false" customHeight="false" outlineLevel="0" collapsed="false">
      <c r="A346" s="11" t="s">
        <v>529</v>
      </c>
      <c r="B346" s="11" t="s">
        <v>8</v>
      </c>
      <c r="C346" s="11" t="s">
        <v>72</v>
      </c>
      <c r="D346" s="11" t="s">
        <v>35</v>
      </c>
      <c r="E346" s="11"/>
      <c r="F346" s="11" t="s">
        <v>120</v>
      </c>
      <c r="G346" s="21" t="n">
        <v>26.8</v>
      </c>
      <c r="H346" s="19" t="n">
        <v>0.9</v>
      </c>
      <c r="I346" s="21" t="n">
        <v>26.56</v>
      </c>
      <c r="J346" s="22" t="s">
        <v>80</v>
      </c>
      <c r="K346" s="11" t="n">
        <v>25</v>
      </c>
      <c r="L346" s="23" t="n">
        <v>1.2</v>
      </c>
      <c r="M346" s="24" t="b">
        <f aca="false">TRUE()</f>
        <v>1</v>
      </c>
      <c r="N346" s="11" t="s">
        <v>89</v>
      </c>
      <c r="O346" s="11" t="str">
        <f aca="false">IF(K346&lt;=StockP33,"Low",IF(K346&lt;=StockP67,"Moderate","High"))</f>
        <v>Moderate</v>
      </c>
      <c r="P346" s="11" t="str">
        <f aca="false">IF(H346=0,"Low",IF(H346&lt;=MarkdownP75,"Moderate","High"))</f>
        <v>Moderate</v>
      </c>
      <c r="Q346" s="11" t="str">
        <f aca="false">IF(ISBLANK(L346),"Unknown",IF(L346&gt;=4,"Good",IF(L346&lt;=2,"Poor","Neutral")))</f>
        <v>Poor</v>
      </c>
      <c r="R346" s="11" t="str">
        <f aca="false">IF(AND(O346="Low",P346="Low",Q346="Good"),"BUY / PRIORITIZE",IF(AND(O346="High",P346="High",OR(Q346="Poor",M346=TRUE())),"HOLD / REVIEW","MONITOR"))</f>
        <v>MONITOR</v>
      </c>
      <c r="S346" s="11" t="n">
        <f aca="false">K346+(ROW()/10000000)</f>
        <v>25.0000346</v>
      </c>
    </row>
    <row r="347" customFormat="false" ht="15" hidden="false" customHeight="false" outlineLevel="0" collapsed="false">
      <c r="A347" s="11" t="s">
        <v>530</v>
      </c>
      <c r="B347" s="11" t="s">
        <v>30</v>
      </c>
      <c r="C347" s="11" t="s">
        <v>101</v>
      </c>
      <c r="D347" s="11" t="s">
        <v>35</v>
      </c>
      <c r="E347" s="11" t="s">
        <v>78</v>
      </c>
      <c r="F347" s="11" t="s">
        <v>96</v>
      </c>
      <c r="G347" s="21" t="n">
        <v>50.09</v>
      </c>
      <c r="H347" s="19" t="n">
        <v>0</v>
      </c>
      <c r="I347" s="21" t="n">
        <v>50.09</v>
      </c>
      <c r="J347" s="22" t="s">
        <v>80</v>
      </c>
      <c r="K347" s="11" t="n">
        <v>47</v>
      </c>
      <c r="L347" s="23" t="n">
        <v>4</v>
      </c>
      <c r="M347" s="24" t="b">
        <f aca="false">FALSE()</f>
        <v>0</v>
      </c>
      <c r="N347" s="11"/>
      <c r="O347" s="11" t="str">
        <f aca="false">IF(K347&lt;=StockP33,"Low",IF(K347&lt;=StockP67,"Moderate","High"))</f>
        <v>High</v>
      </c>
      <c r="P347" s="11" t="str">
        <f aca="false">IF(H347=0,"Low",IF(H347&lt;=MarkdownP75,"Moderate","High"))</f>
        <v>Low</v>
      </c>
      <c r="Q347" s="11" t="str">
        <f aca="false">IF(ISBLANK(L347),"Unknown",IF(L347&gt;=4,"Good",IF(L347&lt;=2,"Poor","Neutral")))</f>
        <v>Good</v>
      </c>
      <c r="R347" s="11" t="str">
        <f aca="false">IF(AND(O347="Low",P347="Low",Q347="Good"),"BUY / PRIORITIZE",IF(AND(O347="High",P347="High",OR(Q347="Poor",M347=TRUE())),"HOLD / REVIEW","MONITOR"))</f>
        <v>MONITOR</v>
      </c>
      <c r="S347" s="11" t="n">
        <f aca="false">K347+(ROW()/10000000)</f>
        <v>47.0000347</v>
      </c>
    </row>
    <row r="348" customFormat="false" ht="15" hidden="false" customHeight="false" outlineLevel="0" collapsed="false">
      <c r="A348" s="11" t="s">
        <v>531</v>
      </c>
      <c r="B348" s="11" t="s">
        <v>26</v>
      </c>
      <c r="C348" s="11" t="s">
        <v>95</v>
      </c>
      <c r="D348" s="11" t="s">
        <v>34</v>
      </c>
      <c r="E348" s="11" t="s">
        <v>110</v>
      </c>
      <c r="F348" s="11" t="s">
        <v>98</v>
      </c>
      <c r="G348" s="21" t="n">
        <v>92.84</v>
      </c>
      <c r="H348" s="19" t="n">
        <v>4.2</v>
      </c>
      <c r="I348" s="21" t="n">
        <v>88.94</v>
      </c>
      <c r="J348" s="22" t="s">
        <v>275</v>
      </c>
      <c r="K348" s="11" t="n">
        <v>0</v>
      </c>
      <c r="L348" s="23"/>
      <c r="M348" s="24" t="b">
        <f aca="false">TRUE()</f>
        <v>1</v>
      </c>
      <c r="N348" s="11" t="s">
        <v>128</v>
      </c>
      <c r="O348" s="11" t="str">
        <f aca="false">IF(K348&lt;=StockP33,"Low",IF(K348&lt;=StockP67,"Moderate","High"))</f>
        <v>Low</v>
      </c>
      <c r="P348" s="11" t="str">
        <f aca="false">IF(H348=0,"Low",IF(H348&lt;=MarkdownP75,"Moderate","High"))</f>
        <v>Moderate</v>
      </c>
      <c r="Q348" s="11" t="str">
        <f aca="false">IF(ISBLANK(L348),"Unknown",IF(L348&gt;=4,"Good",IF(L348&lt;=2,"Poor","Neutral")))</f>
        <v>Unknown</v>
      </c>
      <c r="R348" s="11" t="str">
        <f aca="false">IF(AND(O348="Low",P348="Low",Q348="Good"),"BUY / PRIORITIZE",IF(AND(O348="High",P348="High",OR(Q348="Poor",M348=TRUE())),"HOLD / REVIEW","MONITOR"))</f>
        <v>MONITOR</v>
      </c>
      <c r="S348" s="11" t="n">
        <f aca="false">K348+(ROW()/10000000)</f>
        <v>3.48E-005</v>
      </c>
    </row>
    <row r="349" customFormat="false" ht="15" hidden="false" customHeight="false" outlineLevel="0" collapsed="false">
      <c r="A349" s="11" t="s">
        <v>532</v>
      </c>
      <c r="B349" s="11" t="s">
        <v>30</v>
      </c>
      <c r="C349" s="11" t="s">
        <v>77</v>
      </c>
      <c r="D349" s="11" t="s">
        <v>35</v>
      </c>
      <c r="E349" s="11" t="s">
        <v>102</v>
      </c>
      <c r="F349" s="11" t="s">
        <v>92</v>
      </c>
      <c r="G349" s="21" t="n">
        <v>114.63</v>
      </c>
      <c r="H349" s="19" t="n">
        <v>0</v>
      </c>
      <c r="I349" s="21" t="n">
        <v>114.63</v>
      </c>
      <c r="J349" s="22" t="s">
        <v>80</v>
      </c>
      <c r="K349" s="11" t="n">
        <v>47</v>
      </c>
      <c r="L349" s="23" t="n">
        <v>3.8</v>
      </c>
      <c r="M349" s="24" t="b">
        <f aca="false">TRUE()</f>
        <v>1</v>
      </c>
      <c r="N349" s="11" t="s">
        <v>178</v>
      </c>
      <c r="O349" s="11" t="str">
        <f aca="false">IF(K349&lt;=StockP33,"Low",IF(K349&lt;=StockP67,"Moderate","High"))</f>
        <v>High</v>
      </c>
      <c r="P349" s="11" t="str">
        <f aca="false">IF(H349=0,"Low",IF(H349&lt;=MarkdownP75,"Moderate","High"))</f>
        <v>Low</v>
      </c>
      <c r="Q349" s="11" t="str">
        <f aca="false">IF(ISBLANK(L349),"Unknown",IF(L349&gt;=4,"Good",IF(L349&lt;=2,"Poor","Neutral")))</f>
        <v>Neutral</v>
      </c>
      <c r="R349" s="11" t="str">
        <f aca="false">IF(AND(O349="Low",P349="Low",Q349="Good"),"BUY / PRIORITIZE",IF(AND(O349="High",P349="High",OR(Q349="Poor",M349=TRUE())),"HOLD / REVIEW","MONITOR"))</f>
        <v>MONITOR</v>
      </c>
      <c r="S349" s="11" t="n">
        <f aca="false">K349+(ROW()/10000000)</f>
        <v>47.0000349</v>
      </c>
    </row>
    <row r="350" customFormat="false" ht="15" hidden="false" customHeight="false" outlineLevel="0" collapsed="false">
      <c r="A350" s="11" t="s">
        <v>533</v>
      </c>
      <c r="B350" s="11" t="s">
        <v>8</v>
      </c>
      <c r="C350" s="11" t="s">
        <v>116</v>
      </c>
      <c r="D350" s="11" t="s">
        <v>35</v>
      </c>
      <c r="E350" s="11"/>
      <c r="F350" s="11" t="s">
        <v>120</v>
      </c>
      <c r="G350" s="21" t="n">
        <v>21.9</v>
      </c>
      <c r="H350" s="19" t="n">
        <v>29.2</v>
      </c>
      <c r="I350" s="21" t="n">
        <v>15.51</v>
      </c>
      <c r="J350" s="22" t="s">
        <v>80</v>
      </c>
      <c r="K350" s="11" t="n">
        <v>35</v>
      </c>
      <c r="L350" s="23" t="n">
        <v>2</v>
      </c>
      <c r="M350" s="24" t="b">
        <f aca="false">FALSE()</f>
        <v>0</v>
      </c>
      <c r="N350" s="11"/>
      <c r="O350" s="11" t="str">
        <f aca="false">IF(K350&lt;=StockP33,"Low",IF(K350&lt;=StockP67,"Moderate","High"))</f>
        <v>High</v>
      </c>
      <c r="P350" s="11" t="str">
        <f aca="false">IF(H350=0,"Low",IF(H350&lt;=MarkdownP75,"Moderate","High"))</f>
        <v>High</v>
      </c>
      <c r="Q350" s="11" t="str">
        <f aca="false">IF(ISBLANK(L350),"Unknown",IF(L350&gt;=4,"Good",IF(L350&lt;=2,"Poor","Neutral")))</f>
        <v>Poor</v>
      </c>
      <c r="R350" s="11" t="str">
        <f aca="false">IF(AND(O350="Low",P350="Low",Q350="Good"),"BUY / PRIORITIZE",IF(AND(O350="High",P350="High",OR(Q350="Poor",M350=TRUE())),"HOLD / REVIEW","MONITOR"))</f>
        <v>HOLD / REVIEW</v>
      </c>
      <c r="S350" s="11" t="n">
        <f aca="false">K350+(ROW()/10000000)</f>
        <v>35.000035</v>
      </c>
    </row>
    <row r="351" customFormat="false" ht="15" hidden="false" customHeight="false" outlineLevel="0" collapsed="false">
      <c r="A351" s="11" t="s">
        <v>534</v>
      </c>
      <c r="B351" s="11" t="s">
        <v>27</v>
      </c>
      <c r="C351" s="11" t="s">
        <v>72</v>
      </c>
      <c r="D351" s="11" t="s">
        <v>34</v>
      </c>
      <c r="E351" s="11" t="s">
        <v>110</v>
      </c>
      <c r="F351" s="11" t="s">
        <v>118</v>
      </c>
      <c r="G351" s="21" t="n">
        <v>100.55</v>
      </c>
      <c r="H351" s="19" t="n">
        <v>46.7</v>
      </c>
      <c r="I351" s="21" t="n">
        <v>53.59</v>
      </c>
      <c r="J351" s="22" t="s">
        <v>535</v>
      </c>
      <c r="K351" s="11" t="n">
        <v>30</v>
      </c>
      <c r="L351" s="23"/>
      <c r="M351" s="24" t="b">
        <f aca="false">FALSE()</f>
        <v>0</v>
      </c>
      <c r="N351" s="11"/>
      <c r="O351" s="11" t="str">
        <f aca="false">IF(K351&lt;=StockP33,"Low",IF(K351&lt;=StockP67,"Moderate","High"))</f>
        <v>Moderate</v>
      </c>
      <c r="P351" s="11" t="str">
        <f aca="false">IF(H351=0,"Low",IF(H351&lt;=MarkdownP75,"Moderate","High"))</f>
        <v>High</v>
      </c>
      <c r="Q351" s="11" t="str">
        <f aca="false">IF(ISBLANK(L351),"Unknown",IF(L351&gt;=4,"Good",IF(L351&lt;=2,"Poor","Neutral")))</f>
        <v>Unknown</v>
      </c>
      <c r="R351" s="11" t="str">
        <f aca="false">IF(AND(O351="Low",P351="Low",Q351="Good"),"BUY / PRIORITIZE",IF(AND(O351="High",P351="High",OR(Q351="Poor",M351=TRUE())),"HOLD / REVIEW","MONITOR"))</f>
        <v>MONITOR</v>
      </c>
      <c r="S351" s="11" t="n">
        <f aca="false">K351+(ROW()/10000000)</f>
        <v>30.0000351</v>
      </c>
    </row>
    <row r="352" customFormat="false" ht="15" hidden="false" customHeight="false" outlineLevel="0" collapsed="false">
      <c r="A352" s="11" t="s">
        <v>536</v>
      </c>
      <c r="B352" s="11" t="s">
        <v>8</v>
      </c>
      <c r="C352" s="11" t="s">
        <v>130</v>
      </c>
      <c r="D352" s="11" t="s">
        <v>35</v>
      </c>
      <c r="E352" s="11"/>
      <c r="F352" s="11" t="s">
        <v>124</v>
      </c>
      <c r="G352" s="21" t="n">
        <v>47.45</v>
      </c>
      <c r="H352" s="19" t="n">
        <v>16.4</v>
      </c>
      <c r="I352" s="21" t="n">
        <v>39.67</v>
      </c>
      <c r="J352" s="22" t="s">
        <v>80</v>
      </c>
      <c r="K352" s="11" t="n">
        <v>33</v>
      </c>
      <c r="L352" s="23" t="n">
        <v>1.7</v>
      </c>
      <c r="M352" s="24" t="b">
        <f aca="false">FALSE()</f>
        <v>0</v>
      </c>
      <c r="N352" s="11"/>
      <c r="O352" s="11" t="str">
        <f aca="false">IF(K352&lt;=StockP33,"Low",IF(K352&lt;=StockP67,"Moderate","High"))</f>
        <v>Moderate</v>
      </c>
      <c r="P352" s="11" t="str">
        <f aca="false">IF(H352=0,"Low",IF(H352&lt;=MarkdownP75,"Moderate","High"))</f>
        <v>Moderate</v>
      </c>
      <c r="Q352" s="11" t="str">
        <f aca="false">IF(ISBLANK(L352),"Unknown",IF(L352&gt;=4,"Good",IF(L352&lt;=2,"Poor","Neutral")))</f>
        <v>Poor</v>
      </c>
      <c r="R352" s="11" t="str">
        <f aca="false">IF(AND(O352="Low",P352="Low",Q352="Good"),"BUY / PRIORITIZE",IF(AND(O352="High",P352="High",OR(Q352="Poor",M352=TRUE())),"HOLD / REVIEW","MONITOR"))</f>
        <v>MONITOR</v>
      </c>
      <c r="S352" s="11" t="n">
        <f aca="false">K352+(ROW()/10000000)</f>
        <v>33.0000352</v>
      </c>
    </row>
    <row r="353" customFormat="false" ht="15" hidden="false" customHeight="false" outlineLevel="0" collapsed="false">
      <c r="A353" s="11" t="s">
        <v>537</v>
      </c>
      <c r="B353" s="11" t="s">
        <v>26</v>
      </c>
      <c r="C353" s="11" t="s">
        <v>101</v>
      </c>
      <c r="D353" s="11" t="s">
        <v>35</v>
      </c>
      <c r="E353" s="11" t="s">
        <v>73</v>
      </c>
      <c r="F353" s="11" t="s">
        <v>124</v>
      </c>
      <c r="G353" s="21" t="n">
        <v>113.21</v>
      </c>
      <c r="H353" s="19" t="n">
        <v>0</v>
      </c>
      <c r="I353" s="21" t="n">
        <v>113.21</v>
      </c>
      <c r="J353" s="22" t="s">
        <v>80</v>
      </c>
      <c r="K353" s="11" t="n">
        <v>8</v>
      </c>
      <c r="L353" s="23" t="n">
        <v>2.7</v>
      </c>
      <c r="M353" s="24" t="b">
        <f aca="false">FALSE()</f>
        <v>0</v>
      </c>
      <c r="N353" s="11"/>
      <c r="O353" s="11" t="str">
        <f aca="false">IF(K353&lt;=StockP33,"Low",IF(K353&lt;=StockP67,"Moderate","High"))</f>
        <v>Low</v>
      </c>
      <c r="P353" s="11" t="str">
        <f aca="false">IF(H353=0,"Low",IF(H353&lt;=MarkdownP75,"Moderate","High"))</f>
        <v>Low</v>
      </c>
      <c r="Q353" s="11" t="str">
        <f aca="false">IF(ISBLANK(L353),"Unknown",IF(L353&gt;=4,"Good",IF(L353&lt;=2,"Poor","Neutral")))</f>
        <v>Neutral</v>
      </c>
      <c r="R353" s="11" t="str">
        <f aca="false">IF(AND(O353="Low",P353="Low",Q353="Good"),"BUY / PRIORITIZE",IF(AND(O353="High",P353="High",OR(Q353="Poor",M353=TRUE())),"HOLD / REVIEW","MONITOR"))</f>
        <v>MONITOR</v>
      </c>
      <c r="S353" s="11" t="n">
        <f aca="false">K353+(ROW()/10000000)</f>
        <v>8.0000353</v>
      </c>
    </row>
    <row r="354" customFormat="false" ht="15" hidden="false" customHeight="false" outlineLevel="0" collapsed="false">
      <c r="A354" s="11" t="s">
        <v>538</v>
      </c>
      <c r="B354" s="11" t="s">
        <v>27</v>
      </c>
      <c r="C354" s="11" t="s">
        <v>86</v>
      </c>
      <c r="D354" s="11" t="s">
        <v>34</v>
      </c>
      <c r="E354" s="11" t="s">
        <v>110</v>
      </c>
      <c r="F354" s="11" t="s">
        <v>82</v>
      </c>
      <c r="G354" s="21" t="n">
        <v>163.27</v>
      </c>
      <c r="H354" s="19" t="n">
        <v>0</v>
      </c>
      <c r="I354" s="21" t="n">
        <v>163.27</v>
      </c>
      <c r="J354" s="22" t="s">
        <v>539</v>
      </c>
      <c r="K354" s="11" t="n">
        <v>24</v>
      </c>
      <c r="L354" s="23" t="n">
        <v>2.5</v>
      </c>
      <c r="M354" s="24" t="b">
        <f aca="false">FALSE()</f>
        <v>0</v>
      </c>
      <c r="N354" s="11"/>
      <c r="O354" s="11" t="str">
        <f aca="false">IF(K354&lt;=StockP33,"Low",IF(K354&lt;=StockP67,"Moderate","High"))</f>
        <v>Moderate</v>
      </c>
      <c r="P354" s="11" t="str">
        <f aca="false">IF(H354=0,"Low",IF(H354&lt;=MarkdownP75,"Moderate","High"))</f>
        <v>Low</v>
      </c>
      <c r="Q354" s="11" t="str">
        <f aca="false">IF(ISBLANK(L354),"Unknown",IF(L354&gt;=4,"Good",IF(L354&lt;=2,"Poor","Neutral")))</f>
        <v>Neutral</v>
      </c>
      <c r="R354" s="11" t="str">
        <f aca="false">IF(AND(O354="Low",P354="Low",Q354="Good"),"BUY / PRIORITIZE",IF(AND(O354="High",P354="High",OR(Q354="Poor",M354=TRUE())),"HOLD / REVIEW","MONITOR"))</f>
        <v>MONITOR</v>
      </c>
      <c r="S354" s="11" t="n">
        <f aca="false">K354+(ROW()/10000000)</f>
        <v>24.0000354</v>
      </c>
    </row>
    <row r="355" customFormat="false" ht="15" hidden="false" customHeight="false" outlineLevel="0" collapsed="false">
      <c r="A355" s="11" t="s">
        <v>540</v>
      </c>
      <c r="B355" s="11" t="s">
        <v>8</v>
      </c>
      <c r="C355" s="11" t="s">
        <v>77</v>
      </c>
      <c r="D355" s="11" t="s">
        <v>36</v>
      </c>
      <c r="E355" s="11"/>
      <c r="F355" s="11" t="s">
        <v>82</v>
      </c>
      <c r="G355" s="21" t="n">
        <v>44.58</v>
      </c>
      <c r="H355" s="19" t="n">
        <v>0</v>
      </c>
      <c r="I355" s="21" t="n">
        <v>44.58</v>
      </c>
      <c r="J355" s="22" t="s">
        <v>80</v>
      </c>
      <c r="K355" s="11" t="n">
        <v>21</v>
      </c>
      <c r="L355" s="23"/>
      <c r="M355" s="24" t="b">
        <f aca="false">FALSE()</f>
        <v>0</v>
      </c>
      <c r="N355" s="11"/>
      <c r="O355" s="11" t="str">
        <f aca="false">IF(K355&lt;=StockP33,"Low",IF(K355&lt;=StockP67,"Moderate","High"))</f>
        <v>Moderate</v>
      </c>
      <c r="P355" s="11" t="str">
        <f aca="false">IF(H355=0,"Low",IF(H355&lt;=MarkdownP75,"Moderate","High"))</f>
        <v>Low</v>
      </c>
      <c r="Q355" s="11" t="str">
        <f aca="false">IF(ISBLANK(L355),"Unknown",IF(L355&gt;=4,"Good",IF(L355&lt;=2,"Poor","Neutral")))</f>
        <v>Unknown</v>
      </c>
      <c r="R355" s="11" t="str">
        <f aca="false">IF(AND(O355="Low",P355="Low",Q355="Good"),"BUY / PRIORITIZE",IF(AND(O355="High",P355="High",OR(Q355="Poor",M355=TRUE())),"HOLD / REVIEW","MONITOR"))</f>
        <v>MONITOR</v>
      </c>
      <c r="S355" s="11" t="n">
        <f aca="false">K355+(ROW()/10000000)</f>
        <v>21.0000355</v>
      </c>
    </row>
    <row r="356" customFormat="false" ht="15" hidden="false" customHeight="false" outlineLevel="0" collapsed="false">
      <c r="A356" s="11" t="s">
        <v>541</v>
      </c>
      <c r="B356" s="11" t="s">
        <v>27</v>
      </c>
      <c r="C356" s="11" t="s">
        <v>130</v>
      </c>
      <c r="D356" s="11" t="s">
        <v>35</v>
      </c>
      <c r="E356" s="11" t="s">
        <v>78</v>
      </c>
      <c r="F356" s="11" t="s">
        <v>74</v>
      </c>
      <c r="G356" s="21" t="n">
        <v>166.53</v>
      </c>
      <c r="H356" s="19" t="n">
        <v>0</v>
      </c>
      <c r="I356" s="21" t="n">
        <v>166.53</v>
      </c>
      <c r="J356" s="22" t="s">
        <v>80</v>
      </c>
      <c r="K356" s="11" t="n">
        <v>28</v>
      </c>
      <c r="L356" s="23" t="n">
        <v>1.7</v>
      </c>
      <c r="M356" s="24" t="b">
        <f aca="false">FALSE()</f>
        <v>0</v>
      </c>
      <c r="N356" s="11"/>
      <c r="O356" s="11" t="str">
        <f aca="false">IF(K356&lt;=StockP33,"Low",IF(K356&lt;=StockP67,"Moderate","High"))</f>
        <v>Moderate</v>
      </c>
      <c r="P356" s="11" t="str">
        <f aca="false">IF(H356=0,"Low",IF(H356&lt;=MarkdownP75,"Moderate","High"))</f>
        <v>Low</v>
      </c>
      <c r="Q356" s="11" t="str">
        <f aca="false">IF(ISBLANK(L356),"Unknown",IF(L356&gt;=4,"Good",IF(L356&lt;=2,"Poor","Neutral")))</f>
        <v>Poor</v>
      </c>
      <c r="R356" s="11" t="str">
        <f aca="false">IF(AND(O356="Low",P356="Low",Q356="Good"),"BUY / PRIORITIZE",IF(AND(O356="High",P356="High",OR(Q356="Poor",M356=TRUE())),"HOLD / REVIEW","MONITOR"))</f>
        <v>MONITOR</v>
      </c>
      <c r="S356" s="11" t="n">
        <f aca="false">K356+(ROW()/10000000)</f>
        <v>28.0000356</v>
      </c>
    </row>
    <row r="357" customFormat="false" ht="15" hidden="false" customHeight="false" outlineLevel="0" collapsed="false">
      <c r="A357" s="11" t="s">
        <v>542</v>
      </c>
      <c r="B357" s="11" t="s">
        <v>29</v>
      </c>
      <c r="C357" s="11" t="s">
        <v>86</v>
      </c>
      <c r="D357" s="11" t="s">
        <v>35</v>
      </c>
      <c r="E357" s="11" t="s">
        <v>73</v>
      </c>
      <c r="F357" s="11" t="s">
        <v>79</v>
      </c>
      <c r="G357" s="21" t="n">
        <v>144.61</v>
      </c>
      <c r="H357" s="19" t="n">
        <v>0</v>
      </c>
      <c r="I357" s="21" t="n">
        <v>144.61</v>
      </c>
      <c r="J357" s="22" t="s">
        <v>80</v>
      </c>
      <c r="K357" s="11" t="n">
        <v>21</v>
      </c>
      <c r="L357" s="23" t="n">
        <v>2.5</v>
      </c>
      <c r="M357" s="24" t="b">
        <f aca="false">FALSE()</f>
        <v>0</v>
      </c>
      <c r="N357" s="11"/>
      <c r="O357" s="11" t="str">
        <f aca="false">IF(K357&lt;=StockP33,"Low",IF(K357&lt;=StockP67,"Moderate","High"))</f>
        <v>Moderate</v>
      </c>
      <c r="P357" s="11" t="str">
        <f aca="false">IF(H357=0,"Low",IF(H357&lt;=MarkdownP75,"Moderate","High"))</f>
        <v>Low</v>
      </c>
      <c r="Q357" s="11" t="str">
        <f aca="false">IF(ISBLANK(L357),"Unknown",IF(L357&gt;=4,"Good",IF(L357&lt;=2,"Poor","Neutral")))</f>
        <v>Neutral</v>
      </c>
      <c r="R357" s="11" t="str">
        <f aca="false">IF(AND(O357="Low",P357="Low",Q357="Good"),"BUY / PRIORITIZE",IF(AND(O357="High",P357="High",OR(Q357="Poor",M357=TRUE())),"HOLD / REVIEW","MONITOR"))</f>
        <v>MONITOR</v>
      </c>
      <c r="S357" s="11" t="n">
        <f aca="false">K357+(ROW()/10000000)</f>
        <v>21.0000357</v>
      </c>
    </row>
    <row r="358" customFormat="false" ht="15" hidden="false" customHeight="false" outlineLevel="0" collapsed="false">
      <c r="A358" s="11" t="s">
        <v>543</v>
      </c>
      <c r="B358" s="11" t="s">
        <v>8</v>
      </c>
      <c r="C358" s="11" t="s">
        <v>95</v>
      </c>
      <c r="D358" s="11" t="s">
        <v>36</v>
      </c>
      <c r="E358" s="11"/>
      <c r="F358" s="11" t="s">
        <v>118</v>
      </c>
      <c r="G358" s="21" t="n">
        <v>31</v>
      </c>
      <c r="H358" s="19" t="n">
        <v>0</v>
      </c>
      <c r="I358" s="21" t="n">
        <v>31</v>
      </c>
      <c r="J358" s="22" t="s">
        <v>80</v>
      </c>
      <c r="K358" s="11" t="n">
        <v>29</v>
      </c>
      <c r="L358" s="23" t="n">
        <v>1.9</v>
      </c>
      <c r="M358" s="24" t="b">
        <f aca="false">FALSE()</f>
        <v>0</v>
      </c>
      <c r="N358" s="11"/>
      <c r="O358" s="11" t="str">
        <f aca="false">IF(K358&lt;=StockP33,"Low",IF(K358&lt;=StockP67,"Moderate","High"))</f>
        <v>Moderate</v>
      </c>
      <c r="P358" s="11" t="str">
        <f aca="false">IF(H358=0,"Low",IF(H358&lt;=MarkdownP75,"Moderate","High"))</f>
        <v>Low</v>
      </c>
      <c r="Q358" s="11" t="str">
        <f aca="false">IF(ISBLANK(L358),"Unknown",IF(L358&gt;=4,"Good",IF(L358&lt;=2,"Poor","Neutral")))</f>
        <v>Poor</v>
      </c>
      <c r="R358" s="11" t="str">
        <f aca="false">IF(AND(O358="Low",P358="Low",Q358="Good"),"BUY / PRIORITIZE",IF(AND(O358="High",P358="High",OR(Q358="Poor",M358=TRUE())),"HOLD / REVIEW","MONITOR"))</f>
        <v>MONITOR</v>
      </c>
      <c r="S358" s="11" t="n">
        <f aca="false">K358+(ROW()/10000000)</f>
        <v>29.0000358</v>
      </c>
    </row>
    <row r="359" customFormat="false" ht="15" hidden="false" customHeight="false" outlineLevel="0" collapsed="false">
      <c r="A359" s="11" t="s">
        <v>544</v>
      </c>
      <c r="B359" s="11" t="s">
        <v>8</v>
      </c>
      <c r="C359" s="11" t="s">
        <v>130</v>
      </c>
      <c r="D359" s="11" t="s">
        <v>37</v>
      </c>
      <c r="E359" s="11"/>
      <c r="F359" s="11" t="s">
        <v>79</v>
      </c>
      <c r="G359" s="21" t="n">
        <v>68.57</v>
      </c>
      <c r="H359" s="19" t="n">
        <v>29.4</v>
      </c>
      <c r="I359" s="21" t="n">
        <v>48.41</v>
      </c>
      <c r="J359" s="22" t="s">
        <v>80</v>
      </c>
      <c r="K359" s="11" t="n">
        <v>4</v>
      </c>
      <c r="L359" s="23" t="n">
        <v>3.5</v>
      </c>
      <c r="M359" s="24" t="b">
        <f aca="false">FALSE()</f>
        <v>0</v>
      </c>
      <c r="N359" s="11"/>
      <c r="O359" s="11" t="str">
        <f aca="false">IF(K359&lt;=StockP33,"Low",IF(K359&lt;=StockP67,"Moderate","High"))</f>
        <v>Low</v>
      </c>
      <c r="P359" s="11" t="str">
        <f aca="false">IF(H359=0,"Low",IF(H359&lt;=MarkdownP75,"Moderate","High"))</f>
        <v>High</v>
      </c>
      <c r="Q359" s="11" t="str">
        <f aca="false">IF(ISBLANK(L359),"Unknown",IF(L359&gt;=4,"Good",IF(L359&lt;=2,"Poor","Neutral")))</f>
        <v>Neutral</v>
      </c>
      <c r="R359" s="11" t="str">
        <f aca="false">IF(AND(O359="Low",P359="Low",Q359="Good"),"BUY / PRIORITIZE",IF(AND(O359="High",P359="High",OR(Q359="Poor",M359=TRUE())),"HOLD / REVIEW","MONITOR"))</f>
        <v>MONITOR</v>
      </c>
      <c r="S359" s="11" t="n">
        <f aca="false">K359+(ROW()/10000000)</f>
        <v>4.0000359</v>
      </c>
    </row>
    <row r="360" customFormat="false" ht="15" hidden="false" customHeight="false" outlineLevel="0" collapsed="false">
      <c r="A360" s="11" t="s">
        <v>545</v>
      </c>
      <c r="B360" s="11" t="s">
        <v>27</v>
      </c>
      <c r="C360" s="11" t="s">
        <v>130</v>
      </c>
      <c r="D360" s="11" t="s">
        <v>35</v>
      </c>
      <c r="E360" s="11" t="s">
        <v>78</v>
      </c>
      <c r="F360" s="11" t="s">
        <v>74</v>
      </c>
      <c r="G360" s="21" t="n">
        <v>73.04</v>
      </c>
      <c r="H360" s="19" t="n">
        <v>56.5</v>
      </c>
      <c r="I360" s="21" t="n">
        <v>31.77</v>
      </c>
      <c r="J360" s="22" t="s">
        <v>80</v>
      </c>
      <c r="K360" s="11" t="n">
        <v>15</v>
      </c>
      <c r="L360" s="23" t="n">
        <v>3</v>
      </c>
      <c r="M360" s="24" t="b">
        <f aca="false">TRUE()</f>
        <v>1</v>
      </c>
      <c r="N360" s="11" t="s">
        <v>178</v>
      </c>
      <c r="O360" s="11" t="str">
        <f aca="false">IF(K360&lt;=StockP33,"Low",IF(K360&lt;=StockP67,"Moderate","High"))</f>
        <v>Low</v>
      </c>
      <c r="P360" s="11" t="str">
        <f aca="false">IF(H360=0,"Low",IF(H360&lt;=MarkdownP75,"Moderate","High"))</f>
        <v>High</v>
      </c>
      <c r="Q360" s="11" t="str">
        <f aca="false">IF(ISBLANK(L360),"Unknown",IF(L360&gt;=4,"Good",IF(L360&lt;=2,"Poor","Neutral")))</f>
        <v>Neutral</v>
      </c>
      <c r="R360" s="11" t="str">
        <f aca="false">IF(AND(O360="Low",P360="Low",Q360="Good"),"BUY / PRIORITIZE",IF(AND(O360="High",P360="High",OR(Q360="Poor",M360=TRUE())),"HOLD / REVIEW","MONITOR"))</f>
        <v>MONITOR</v>
      </c>
      <c r="S360" s="11" t="n">
        <f aca="false">K360+(ROW()/10000000)</f>
        <v>15.000036</v>
      </c>
    </row>
    <row r="361" customFormat="false" ht="15" hidden="false" customHeight="false" outlineLevel="0" collapsed="false">
      <c r="A361" s="11" t="s">
        <v>546</v>
      </c>
      <c r="B361" s="11" t="s">
        <v>30</v>
      </c>
      <c r="C361" s="11" t="s">
        <v>101</v>
      </c>
      <c r="D361" s="11" t="s">
        <v>34</v>
      </c>
      <c r="E361" s="11" t="s">
        <v>78</v>
      </c>
      <c r="F361" s="11" t="s">
        <v>120</v>
      </c>
      <c r="G361" s="21" t="n">
        <v>95.19</v>
      </c>
      <c r="H361" s="19" t="n">
        <v>0</v>
      </c>
      <c r="I361" s="21" t="n">
        <v>95.19</v>
      </c>
      <c r="J361" s="22" t="s">
        <v>547</v>
      </c>
      <c r="K361" s="11" t="n">
        <v>13</v>
      </c>
      <c r="L361" s="23" t="n">
        <v>4.1</v>
      </c>
      <c r="M361" s="24" t="b">
        <f aca="false">FALSE()</f>
        <v>0</v>
      </c>
      <c r="N361" s="11"/>
      <c r="O361" s="11" t="str">
        <f aca="false">IF(K361&lt;=StockP33,"Low",IF(K361&lt;=StockP67,"Moderate","High"))</f>
        <v>Low</v>
      </c>
      <c r="P361" s="11" t="str">
        <f aca="false">IF(H361=0,"Low",IF(H361&lt;=MarkdownP75,"Moderate","High"))</f>
        <v>Low</v>
      </c>
      <c r="Q361" s="11" t="str">
        <f aca="false">IF(ISBLANK(L361),"Unknown",IF(L361&gt;=4,"Good",IF(L361&lt;=2,"Poor","Neutral")))</f>
        <v>Good</v>
      </c>
      <c r="R361" s="11" t="str">
        <f aca="false">IF(AND(O361="Low",P361="Low",Q361="Good"),"BUY / PRIORITIZE",IF(AND(O361="High",P361="High",OR(Q361="Poor",M361=TRUE())),"HOLD / REVIEW","MONITOR"))</f>
        <v>BUY / PRIORITIZE</v>
      </c>
      <c r="S361" s="11" t="n">
        <f aca="false">K361+(ROW()/10000000)</f>
        <v>13.0000361</v>
      </c>
    </row>
    <row r="362" customFormat="false" ht="15" hidden="false" customHeight="false" outlineLevel="0" collapsed="false">
      <c r="A362" s="11" t="s">
        <v>548</v>
      </c>
      <c r="B362" s="11" t="s">
        <v>30</v>
      </c>
      <c r="C362" s="11" t="s">
        <v>116</v>
      </c>
      <c r="D362" s="11" t="s">
        <v>37</v>
      </c>
      <c r="E362" s="11" t="s">
        <v>110</v>
      </c>
      <c r="F362" s="11" t="s">
        <v>120</v>
      </c>
      <c r="G362" s="21" t="n">
        <v>104.94</v>
      </c>
      <c r="H362" s="19" t="n">
        <v>0</v>
      </c>
      <c r="I362" s="21" t="n">
        <v>104.94</v>
      </c>
      <c r="J362" s="22" t="s">
        <v>80</v>
      </c>
      <c r="K362" s="11" t="n">
        <v>42</v>
      </c>
      <c r="L362" s="23" t="n">
        <v>2</v>
      </c>
      <c r="M362" s="24" t="b">
        <f aca="false">FALSE()</f>
        <v>0</v>
      </c>
      <c r="N362" s="11"/>
      <c r="O362" s="11" t="str">
        <f aca="false">IF(K362&lt;=StockP33,"Low",IF(K362&lt;=StockP67,"Moderate","High"))</f>
        <v>High</v>
      </c>
      <c r="P362" s="11" t="str">
        <f aca="false">IF(H362=0,"Low",IF(H362&lt;=MarkdownP75,"Moderate","High"))</f>
        <v>Low</v>
      </c>
      <c r="Q362" s="11" t="str">
        <f aca="false">IF(ISBLANK(L362),"Unknown",IF(L362&gt;=4,"Good",IF(L362&lt;=2,"Poor","Neutral")))</f>
        <v>Poor</v>
      </c>
      <c r="R362" s="11" t="str">
        <f aca="false">IF(AND(O362="Low",P362="Low",Q362="Good"),"BUY / PRIORITIZE",IF(AND(O362="High",P362="High",OR(Q362="Poor",M362=TRUE())),"HOLD / REVIEW","MONITOR"))</f>
        <v>MONITOR</v>
      </c>
      <c r="S362" s="11" t="n">
        <f aca="false">K362+(ROW()/10000000)</f>
        <v>42.0000362</v>
      </c>
    </row>
    <row r="363" customFormat="false" ht="15" hidden="false" customHeight="false" outlineLevel="0" collapsed="false">
      <c r="A363" s="11" t="s">
        <v>549</v>
      </c>
      <c r="B363" s="11" t="s">
        <v>26</v>
      </c>
      <c r="C363" s="11" t="s">
        <v>116</v>
      </c>
      <c r="D363" s="11" t="s">
        <v>34</v>
      </c>
      <c r="E363" s="11" t="s">
        <v>102</v>
      </c>
      <c r="F363" s="11" t="s">
        <v>111</v>
      </c>
      <c r="G363" s="21" t="n">
        <v>97.29</v>
      </c>
      <c r="H363" s="19" t="n">
        <v>0</v>
      </c>
      <c r="I363" s="21" t="n">
        <v>97.29</v>
      </c>
      <c r="J363" s="22" t="s">
        <v>550</v>
      </c>
      <c r="K363" s="11" t="n">
        <v>42</v>
      </c>
      <c r="L363" s="23" t="n">
        <v>4.5</v>
      </c>
      <c r="M363" s="24" t="b">
        <f aca="false">FALSE()</f>
        <v>0</v>
      </c>
      <c r="N363" s="11"/>
      <c r="O363" s="11" t="str">
        <f aca="false">IF(K363&lt;=StockP33,"Low",IF(K363&lt;=StockP67,"Moderate","High"))</f>
        <v>High</v>
      </c>
      <c r="P363" s="11" t="str">
        <f aca="false">IF(H363=0,"Low",IF(H363&lt;=MarkdownP75,"Moderate","High"))</f>
        <v>Low</v>
      </c>
      <c r="Q363" s="11" t="str">
        <f aca="false">IF(ISBLANK(L363),"Unknown",IF(L363&gt;=4,"Good",IF(L363&lt;=2,"Poor","Neutral")))</f>
        <v>Good</v>
      </c>
      <c r="R363" s="11" t="str">
        <f aca="false">IF(AND(O363="Low",P363="Low",Q363="Good"),"BUY / PRIORITIZE",IF(AND(O363="High",P363="High",OR(Q363="Poor",M363=TRUE())),"HOLD / REVIEW","MONITOR"))</f>
        <v>MONITOR</v>
      </c>
      <c r="S363" s="11" t="n">
        <f aca="false">K363+(ROW()/10000000)</f>
        <v>42.0000363</v>
      </c>
    </row>
    <row r="364" customFormat="false" ht="15" hidden="false" customHeight="false" outlineLevel="0" collapsed="false">
      <c r="A364" s="11" t="s">
        <v>551</v>
      </c>
      <c r="B364" s="11" t="s">
        <v>29</v>
      </c>
      <c r="C364" s="11" t="s">
        <v>95</v>
      </c>
      <c r="D364" s="11" t="s">
        <v>37</v>
      </c>
      <c r="E364" s="11" t="s">
        <v>78</v>
      </c>
      <c r="F364" s="11" t="s">
        <v>88</v>
      </c>
      <c r="G364" s="21" t="n">
        <v>83.05</v>
      </c>
      <c r="H364" s="19" t="n">
        <v>39.8</v>
      </c>
      <c r="I364" s="21" t="n">
        <v>50</v>
      </c>
      <c r="J364" s="22" t="s">
        <v>80</v>
      </c>
      <c r="K364" s="11" t="n">
        <v>5</v>
      </c>
      <c r="L364" s="23" t="n">
        <v>3.4</v>
      </c>
      <c r="M364" s="24" t="b">
        <f aca="false">FALSE()</f>
        <v>0</v>
      </c>
      <c r="N364" s="11"/>
      <c r="O364" s="11" t="str">
        <f aca="false">IF(K364&lt;=StockP33,"Low",IF(K364&lt;=StockP67,"Moderate","High"))</f>
        <v>Low</v>
      </c>
      <c r="P364" s="11" t="str">
        <f aca="false">IF(H364=0,"Low",IF(H364&lt;=MarkdownP75,"Moderate","High"))</f>
        <v>High</v>
      </c>
      <c r="Q364" s="11" t="str">
        <f aca="false">IF(ISBLANK(L364),"Unknown",IF(L364&gt;=4,"Good",IF(L364&lt;=2,"Poor","Neutral")))</f>
        <v>Neutral</v>
      </c>
      <c r="R364" s="11" t="str">
        <f aca="false">IF(AND(O364="Low",P364="Low",Q364="Good"),"BUY / PRIORITIZE",IF(AND(O364="High",P364="High",OR(Q364="Poor",M364=TRUE())),"HOLD / REVIEW","MONITOR"))</f>
        <v>MONITOR</v>
      </c>
      <c r="S364" s="11" t="n">
        <f aca="false">K364+(ROW()/10000000)</f>
        <v>5.0000364</v>
      </c>
    </row>
    <row r="365" customFormat="false" ht="15" hidden="false" customHeight="false" outlineLevel="0" collapsed="false">
      <c r="A365" s="11" t="s">
        <v>552</v>
      </c>
      <c r="B365" s="11" t="s">
        <v>28</v>
      </c>
      <c r="C365" s="11" t="s">
        <v>77</v>
      </c>
      <c r="D365" s="11" t="s">
        <v>36</v>
      </c>
      <c r="E365" s="11" t="s">
        <v>91</v>
      </c>
      <c r="F365" s="11" t="s">
        <v>111</v>
      </c>
      <c r="G365" s="21" t="n">
        <v>86.13</v>
      </c>
      <c r="H365" s="19" t="n">
        <v>0</v>
      </c>
      <c r="I365" s="21" t="n">
        <v>86.13</v>
      </c>
      <c r="J365" s="22" t="s">
        <v>80</v>
      </c>
      <c r="K365" s="11" t="n">
        <v>28</v>
      </c>
      <c r="L365" s="23" t="n">
        <v>2.7</v>
      </c>
      <c r="M365" s="24" t="b">
        <f aca="false">FALSE()</f>
        <v>0</v>
      </c>
      <c r="N365" s="11"/>
      <c r="O365" s="11" t="str">
        <f aca="false">IF(K365&lt;=StockP33,"Low",IF(K365&lt;=StockP67,"Moderate","High"))</f>
        <v>Moderate</v>
      </c>
      <c r="P365" s="11" t="str">
        <f aca="false">IF(H365=0,"Low",IF(H365&lt;=MarkdownP75,"Moderate","High"))</f>
        <v>Low</v>
      </c>
      <c r="Q365" s="11" t="str">
        <f aca="false">IF(ISBLANK(L365),"Unknown",IF(L365&gt;=4,"Good",IF(L365&lt;=2,"Poor","Neutral")))</f>
        <v>Neutral</v>
      </c>
      <c r="R365" s="11" t="str">
        <f aca="false">IF(AND(O365="Low",P365="Low",Q365="Good"),"BUY / PRIORITIZE",IF(AND(O365="High",P365="High",OR(Q365="Poor",M365=TRUE())),"HOLD / REVIEW","MONITOR"))</f>
        <v>MONITOR</v>
      </c>
      <c r="S365" s="11" t="n">
        <f aca="false">K365+(ROW()/10000000)</f>
        <v>28.0000365</v>
      </c>
    </row>
    <row r="366" customFormat="false" ht="15" hidden="false" customHeight="false" outlineLevel="0" collapsed="false">
      <c r="A366" s="11" t="s">
        <v>553</v>
      </c>
      <c r="B366" s="11" t="s">
        <v>26</v>
      </c>
      <c r="C366" s="11" t="s">
        <v>86</v>
      </c>
      <c r="D366" s="11" t="s">
        <v>35</v>
      </c>
      <c r="E366" s="11" t="s">
        <v>91</v>
      </c>
      <c r="F366" s="11" t="s">
        <v>88</v>
      </c>
      <c r="G366" s="21" t="n">
        <v>104.13</v>
      </c>
      <c r="H366" s="19" t="n">
        <v>28.7</v>
      </c>
      <c r="I366" s="21" t="n">
        <v>74.24</v>
      </c>
      <c r="J366" s="22" t="s">
        <v>80</v>
      </c>
      <c r="K366" s="11" t="n">
        <v>23</v>
      </c>
      <c r="L366" s="23" t="n">
        <v>3.1</v>
      </c>
      <c r="M366" s="24" t="b">
        <f aca="false">FALSE()</f>
        <v>0</v>
      </c>
      <c r="N366" s="11"/>
      <c r="O366" s="11" t="str">
        <f aca="false">IF(K366&lt;=StockP33,"Low",IF(K366&lt;=StockP67,"Moderate","High"))</f>
        <v>Moderate</v>
      </c>
      <c r="P366" s="11" t="str">
        <f aca="false">IF(H366=0,"Low",IF(H366&lt;=MarkdownP75,"Moderate","High"))</f>
        <v>High</v>
      </c>
      <c r="Q366" s="11" t="str">
        <f aca="false">IF(ISBLANK(L366),"Unknown",IF(L366&gt;=4,"Good",IF(L366&lt;=2,"Poor","Neutral")))</f>
        <v>Neutral</v>
      </c>
      <c r="R366" s="11" t="str">
        <f aca="false">IF(AND(O366="Low",P366="Low",Q366="Good"),"BUY / PRIORITIZE",IF(AND(O366="High",P366="High",OR(Q366="Poor",M366=TRUE())),"HOLD / REVIEW","MONITOR"))</f>
        <v>MONITOR</v>
      </c>
      <c r="S366" s="11" t="n">
        <f aca="false">K366+(ROW()/10000000)</f>
        <v>23.0000366</v>
      </c>
    </row>
    <row r="367" customFormat="false" ht="15" hidden="false" customHeight="false" outlineLevel="0" collapsed="false">
      <c r="A367" s="11" t="s">
        <v>554</v>
      </c>
      <c r="B367" s="11" t="s">
        <v>8</v>
      </c>
      <c r="C367" s="11" t="s">
        <v>77</v>
      </c>
      <c r="D367" s="11" t="s">
        <v>36</v>
      </c>
      <c r="E367" s="11"/>
      <c r="F367" s="11" t="s">
        <v>98</v>
      </c>
      <c r="G367" s="21" t="n">
        <v>41.7</v>
      </c>
      <c r="H367" s="19" t="n">
        <v>0</v>
      </c>
      <c r="I367" s="21" t="n">
        <v>41.7</v>
      </c>
      <c r="J367" s="22" t="s">
        <v>80</v>
      </c>
      <c r="K367" s="11" t="n">
        <v>18</v>
      </c>
      <c r="L367" s="23" t="n">
        <v>3.2</v>
      </c>
      <c r="M367" s="24" t="b">
        <f aca="false">FALSE()</f>
        <v>0</v>
      </c>
      <c r="N367" s="11"/>
      <c r="O367" s="11" t="str">
        <f aca="false">IF(K367&lt;=StockP33,"Low",IF(K367&lt;=StockP67,"Moderate","High"))</f>
        <v>Moderate</v>
      </c>
      <c r="P367" s="11" t="str">
        <f aca="false">IF(H367=0,"Low",IF(H367&lt;=MarkdownP75,"Moderate","High"))</f>
        <v>Low</v>
      </c>
      <c r="Q367" s="11" t="str">
        <f aca="false">IF(ISBLANK(L367),"Unknown",IF(L367&gt;=4,"Good",IF(L367&lt;=2,"Poor","Neutral")))</f>
        <v>Neutral</v>
      </c>
      <c r="R367" s="11" t="str">
        <f aca="false">IF(AND(O367="Low",P367="Low",Q367="Good"),"BUY / PRIORITIZE",IF(AND(O367="High",P367="High",OR(Q367="Poor",M367=TRUE())),"HOLD / REVIEW","MONITOR"))</f>
        <v>MONITOR</v>
      </c>
      <c r="S367" s="11" t="n">
        <f aca="false">K367+(ROW()/10000000)</f>
        <v>18.0000367</v>
      </c>
    </row>
    <row r="368" customFormat="false" ht="15" hidden="false" customHeight="false" outlineLevel="0" collapsed="false">
      <c r="A368" s="11" t="s">
        <v>555</v>
      </c>
      <c r="B368" s="11" t="s">
        <v>28</v>
      </c>
      <c r="C368" s="11" t="s">
        <v>86</v>
      </c>
      <c r="D368" s="11" t="s">
        <v>34</v>
      </c>
      <c r="E368" s="11" t="s">
        <v>78</v>
      </c>
      <c r="F368" s="11" t="s">
        <v>88</v>
      </c>
      <c r="G368" s="21" t="n">
        <v>80.11</v>
      </c>
      <c r="H368" s="19" t="n">
        <v>0</v>
      </c>
      <c r="I368" s="21" t="n">
        <v>80.11</v>
      </c>
      <c r="J368" s="22" t="s">
        <v>142</v>
      </c>
      <c r="K368" s="11" t="n">
        <v>34</v>
      </c>
      <c r="L368" s="23" t="n">
        <v>1.8</v>
      </c>
      <c r="M368" s="24" t="b">
        <f aca="false">FALSE()</f>
        <v>0</v>
      </c>
      <c r="N368" s="11"/>
      <c r="O368" s="11" t="str">
        <f aca="false">IF(K368&lt;=StockP33,"Low",IF(K368&lt;=StockP67,"Moderate","High"))</f>
        <v>High</v>
      </c>
      <c r="P368" s="11" t="str">
        <f aca="false">IF(H368=0,"Low",IF(H368&lt;=MarkdownP75,"Moderate","High"))</f>
        <v>Low</v>
      </c>
      <c r="Q368" s="11" t="str">
        <f aca="false">IF(ISBLANK(L368),"Unknown",IF(L368&gt;=4,"Good",IF(L368&lt;=2,"Poor","Neutral")))</f>
        <v>Poor</v>
      </c>
      <c r="R368" s="11" t="str">
        <f aca="false">IF(AND(O368="Low",P368="Low",Q368="Good"),"BUY / PRIORITIZE",IF(AND(O368="High",P368="High",OR(Q368="Poor",M368=TRUE())),"HOLD / REVIEW","MONITOR"))</f>
        <v>MONITOR</v>
      </c>
      <c r="S368" s="11" t="n">
        <f aca="false">K368+(ROW()/10000000)</f>
        <v>34.0000368</v>
      </c>
    </row>
    <row r="369" customFormat="false" ht="15" hidden="false" customHeight="false" outlineLevel="0" collapsed="false">
      <c r="A369" s="11" t="s">
        <v>556</v>
      </c>
      <c r="B369" s="11" t="s">
        <v>30</v>
      </c>
      <c r="C369" s="11" t="s">
        <v>107</v>
      </c>
      <c r="D369" s="11" t="s">
        <v>36</v>
      </c>
      <c r="E369" s="11" t="s">
        <v>78</v>
      </c>
      <c r="F369" s="11" t="s">
        <v>88</v>
      </c>
      <c r="G369" s="21" t="n">
        <v>97.84</v>
      </c>
      <c r="H369" s="19" t="n">
        <v>0</v>
      </c>
      <c r="I369" s="21" t="n">
        <v>97.84</v>
      </c>
      <c r="J369" s="22" t="s">
        <v>80</v>
      </c>
      <c r="K369" s="11" t="n">
        <v>16</v>
      </c>
      <c r="L369" s="23"/>
      <c r="M369" s="24" t="b">
        <f aca="false">FALSE()</f>
        <v>0</v>
      </c>
      <c r="N369" s="11"/>
      <c r="O369" s="11" t="str">
        <f aca="false">IF(K369&lt;=StockP33,"Low",IF(K369&lt;=StockP67,"Moderate","High"))</f>
        <v>Low</v>
      </c>
      <c r="P369" s="11" t="str">
        <f aca="false">IF(H369=0,"Low",IF(H369&lt;=MarkdownP75,"Moderate","High"))</f>
        <v>Low</v>
      </c>
      <c r="Q369" s="11" t="str">
        <f aca="false">IF(ISBLANK(L369),"Unknown",IF(L369&gt;=4,"Good",IF(L369&lt;=2,"Poor","Neutral")))</f>
        <v>Unknown</v>
      </c>
      <c r="R369" s="11" t="str">
        <f aca="false">IF(AND(O369="Low",P369="Low",Q369="Good"),"BUY / PRIORITIZE",IF(AND(O369="High",P369="High",OR(Q369="Poor",M369=TRUE())),"HOLD / REVIEW","MONITOR"))</f>
        <v>MONITOR</v>
      </c>
      <c r="S369" s="11" t="n">
        <f aca="false">K369+(ROW()/10000000)</f>
        <v>16.0000369</v>
      </c>
    </row>
    <row r="370" customFormat="false" ht="15" hidden="false" customHeight="false" outlineLevel="0" collapsed="false">
      <c r="A370" s="11" t="s">
        <v>557</v>
      </c>
      <c r="B370" s="11" t="s">
        <v>26</v>
      </c>
      <c r="C370" s="11" t="s">
        <v>116</v>
      </c>
      <c r="D370" s="11" t="s">
        <v>36</v>
      </c>
      <c r="E370" s="11" t="s">
        <v>73</v>
      </c>
      <c r="F370" s="11" t="s">
        <v>111</v>
      </c>
      <c r="G370" s="21" t="n">
        <v>77.37</v>
      </c>
      <c r="H370" s="19" t="n">
        <v>35.2</v>
      </c>
      <c r="I370" s="21" t="n">
        <v>50.14</v>
      </c>
      <c r="J370" s="22" t="s">
        <v>80</v>
      </c>
      <c r="K370" s="11" t="n">
        <v>14</v>
      </c>
      <c r="L370" s="23" t="n">
        <v>2.3</v>
      </c>
      <c r="M370" s="24" t="b">
        <f aca="false">FALSE()</f>
        <v>0</v>
      </c>
      <c r="N370" s="11"/>
      <c r="O370" s="11" t="str">
        <f aca="false">IF(K370&lt;=StockP33,"Low",IF(K370&lt;=StockP67,"Moderate","High"))</f>
        <v>Low</v>
      </c>
      <c r="P370" s="11" t="str">
        <f aca="false">IF(H370=0,"Low",IF(H370&lt;=MarkdownP75,"Moderate","High"))</f>
        <v>High</v>
      </c>
      <c r="Q370" s="11" t="str">
        <f aca="false">IF(ISBLANK(L370),"Unknown",IF(L370&gt;=4,"Good",IF(L370&lt;=2,"Poor","Neutral")))</f>
        <v>Neutral</v>
      </c>
      <c r="R370" s="11" t="str">
        <f aca="false">IF(AND(O370="Low",P370="Low",Q370="Good"),"BUY / PRIORITIZE",IF(AND(O370="High",P370="High",OR(Q370="Poor",M370=TRUE())),"HOLD / REVIEW","MONITOR"))</f>
        <v>MONITOR</v>
      </c>
      <c r="S370" s="11" t="n">
        <f aca="false">K370+(ROW()/10000000)</f>
        <v>14.000037</v>
      </c>
    </row>
    <row r="371" customFormat="false" ht="15" hidden="false" customHeight="false" outlineLevel="0" collapsed="false">
      <c r="A371" s="11" t="s">
        <v>558</v>
      </c>
      <c r="B371" s="11" t="s">
        <v>8</v>
      </c>
      <c r="C371" s="11" t="s">
        <v>101</v>
      </c>
      <c r="D371" s="11" t="s">
        <v>36</v>
      </c>
      <c r="E371" s="11"/>
      <c r="F371" s="11" t="s">
        <v>74</v>
      </c>
      <c r="G371" s="21" t="n">
        <v>36.35</v>
      </c>
      <c r="H371" s="19" t="n">
        <v>37.6</v>
      </c>
      <c r="I371" s="21" t="n">
        <v>22.68</v>
      </c>
      <c r="J371" s="22" t="s">
        <v>80</v>
      </c>
      <c r="K371" s="11" t="n">
        <v>49</v>
      </c>
      <c r="L371" s="23" t="n">
        <v>4</v>
      </c>
      <c r="M371" s="24" t="b">
        <f aca="false">TRUE()</f>
        <v>1</v>
      </c>
      <c r="N371" s="11" t="s">
        <v>178</v>
      </c>
      <c r="O371" s="11" t="str">
        <f aca="false">IF(K371&lt;=StockP33,"Low",IF(K371&lt;=StockP67,"Moderate","High"))</f>
        <v>High</v>
      </c>
      <c r="P371" s="11" t="str">
        <f aca="false">IF(H371=0,"Low",IF(H371&lt;=MarkdownP75,"Moderate","High"))</f>
        <v>High</v>
      </c>
      <c r="Q371" s="11" t="str">
        <f aca="false">IF(ISBLANK(L371),"Unknown",IF(L371&gt;=4,"Good",IF(L371&lt;=2,"Poor","Neutral")))</f>
        <v>Good</v>
      </c>
      <c r="R371" s="11" t="str">
        <f aca="false">IF(AND(O371="Low",P371="Low",Q371="Good"),"BUY / PRIORITIZE",IF(AND(O371="High",P371="High",OR(Q371="Poor",M371=TRUE())),"HOLD / REVIEW","MONITOR"))</f>
        <v>HOLD / REVIEW</v>
      </c>
      <c r="S371" s="11" t="n">
        <f aca="false">K371+(ROW()/10000000)</f>
        <v>49.0000371</v>
      </c>
    </row>
    <row r="372" customFormat="false" ht="15" hidden="false" customHeight="false" outlineLevel="0" collapsed="false">
      <c r="A372" s="11" t="s">
        <v>559</v>
      </c>
      <c r="B372" s="11" t="s">
        <v>28</v>
      </c>
      <c r="C372" s="11" t="s">
        <v>86</v>
      </c>
      <c r="D372" s="11" t="s">
        <v>37</v>
      </c>
      <c r="E372" s="11" t="s">
        <v>102</v>
      </c>
      <c r="F372" s="11" t="s">
        <v>98</v>
      </c>
      <c r="G372" s="21" t="n">
        <v>181.04</v>
      </c>
      <c r="H372" s="19" t="n">
        <v>20.2</v>
      </c>
      <c r="I372" s="21" t="n">
        <v>144.47</v>
      </c>
      <c r="J372" s="22" t="s">
        <v>80</v>
      </c>
      <c r="K372" s="11" t="n">
        <v>17</v>
      </c>
      <c r="L372" s="23"/>
      <c r="M372" s="24" t="b">
        <f aca="false">TRUE()</f>
        <v>1</v>
      </c>
      <c r="N372" s="11" t="s">
        <v>128</v>
      </c>
      <c r="O372" s="11" t="str">
        <f aca="false">IF(K372&lt;=StockP33,"Low",IF(K372&lt;=StockP67,"Moderate","High"))</f>
        <v>Low</v>
      </c>
      <c r="P372" s="11" t="str">
        <f aca="false">IF(H372=0,"Low",IF(H372&lt;=MarkdownP75,"Moderate","High"))</f>
        <v>Moderate</v>
      </c>
      <c r="Q372" s="11" t="str">
        <f aca="false">IF(ISBLANK(L372),"Unknown",IF(L372&gt;=4,"Good",IF(L372&lt;=2,"Poor","Neutral")))</f>
        <v>Unknown</v>
      </c>
      <c r="R372" s="11" t="str">
        <f aca="false">IF(AND(O372="Low",P372="Low",Q372="Good"),"BUY / PRIORITIZE",IF(AND(O372="High",P372="High",OR(Q372="Poor",M372=TRUE())),"HOLD / REVIEW","MONITOR"))</f>
        <v>MONITOR</v>
      </c>
      <c r="S372" s="11" t="n">
        <f aca="false">K372+(ROW()/10000000)</f>
        <v>17.0000372</v>
      </c>
    </row>
    <row r="373" customFormat="false" ht="15" hidden="false" customHeight="false" outlineLevel="0" collapsed="false">
      <c r="A373" s="11" t="s">
        <v>560</v>
      </c>
      <c r="B373" s="11" t="s">
        <v>28</v>
      </c>
      <c r="C373" s="11" t="s">
        <v>72</v>
      </c>
      <c r="D373" s="11" t="s">
        <v>34</v>
      </c>
      <c r="E373" s="11" t="s">
        <v>73</v>
      </c>
      <c r="F373" s="11" t="s">
        <v>82</v>
      </c>
      <c r="G373" s="21" t="n">
        <v>158.37</v>
      </c>
      <c r="H373" s="19" t="n">
        <v>0</v>
      </c>
      <c r="I373" s="21" t="n">
        <v>158.37</v>
      </c>
      <c r="J373" s="22" t="s">
        <v>561</v>
      </c>
      <c r="K373" s="11" t="n">
        <v>33</v>
      </c>
      <c r="L373" s="23"/>
      <c r="M373" s="24" t="b">
        <f aca="false">FALSE()</f>
        <v>0</v>
      </c>
      <c r="N373" s="11"/>
      <c r="O373" s="11" t="str">
        <f aca="false">IF(K373&lt;=StockP33,"Low",IF(K373&lt;=StockP67,"Moderate","High"))</f>
        <v>Moderate</v>
      </c>
      <c r="P373" s="11" t="str">
        <f aca="false">IF(H373=0,"Low",IF(H373&lt;=MarkdownP75,"Moderate","High"))</f>
        <v>Low</v>
      </c>
      <c r="Q373" s="11" t="str">
        <f aca="false">IF(ISBLANK(L373),"Unknown",IF(L373&gt;=4,"Good",IF(L373&lt;=2,"Poor","Neutral")))</f>
        <v>Unknown</v>
      </c>
      <c r="R373" s="11" t="str">
        <f aca="false">IF(AND(O373="Low",P373="Low",Q373="Good"),"BUY / PRIORITIZE",IF(AND(O373="High",P373="High",OR(Q373="Poor",M373=TRUE())),"HOLD / REVIEW","MONITOR"))</f>
        <v>MONITOR</v>
      </c>
      <c r="S373" s="11" t="n">
        <f aca="false">K373+(ROW()/10000000)</f>
        <v>33.0000373</v>
      </c>
    </row>
    <row r="374" customFormat="false" ht="15" hidden="false" customHeight="false" outlineLevel="0" collapsed="false">
      <c r="A374" s="11" t="s">
        <v>562</v>
      </c>
      <c r="B374" s="11" t="s">
        <v>29</v>
      </c>
      <c r="C374" s="11" t="s">
        <v>130</v>
      </c>
      <c r="D374" s="11" t="s">
        <v>35</v>
      </c>
      <c r="E374" s="11" t="s">
        <v>102</v>
      </c>
      <c r="F374" s="11" t="s">
        <v>120</v>
      </c>
      <c r="G374" s="21" t="n">
        <v>91.98</v>
      </c>
      <c r="H374" s="19" t="n">
        <v>0</v>
      </c>
      <c r="I374" s="21" t="n">
        <v>91.98</v>
      </c>
      <c r="J374" s="22" t="s">
        <v>80</v>
      </c>
      <c r="K374" s="11" t="n">
        <v>48</v>
      </c>
      <c r="L374" s="23" t="n">
        <v>3.9</v>
      </c>
      <c r="M374" s="24" t="b">
        <f aca="false">FALSE()</f>
        <v>0</v>
      </c>
      <c r="N374" s="11"/>
      <c r="O374" s="11" t="str">
        <f aca="false">IF(K374&lt;=StockP33,"Low",IF(K374&lt;=StockP67,"Moderate","High"))</f>
        <v>High</v>
      </c>
      <c r="P374" s="11" t="str">
        <f aca="false">IF(H374=0,"Low",IF(H374&lt;=MarkdownP75,"Moderate","High"))</f>
        <v>Low</v>
      </c>
      <c r="Q374" s="11" t="str">
        <f aca="false">IF(ISBLANK(L374),"Unknown",IF(L374&gt;=4,"Good",IF(L374&lt;=2,"Poor","Neutral")))</f>
        <v>Neutral</v>
      </c>
      <c r="R374" s="11" t="str">
        <f aca="false">IF(AND(O374="Low",P374="Low",Q374="Good"),"BUY / PRIORITIZE",IF(AND(O374="High",P374="High",OR(Q374="Poor",M374=TRUE())),"HOLD / REVIEW","MONITOR"))</f>
        <v>MONITOR</v>
      </c>
      <c r="S374" s="11" t="n">
        <f aca="false">K374+(ROW()/10000000)</f>
        <v>48.0000374</v>
      </c>
    </row>
    <row r="375" customFormat="false" ht="15" hidden="false" customHeight="false" outlineLevel="0" collapsed="false">
      <c r="A375" s="11" t="s">
        <v>563</v>
      </c>
      <c r="B375" s="11" t="s">
        <v>29</v>
      </c>
      <c r="C375" s="11" t="s">
        <v>72</v>
      </c>
      <c r="D375" s="11" t="s">
        <v>37</v>
      </c>
      <c r="E375" s="11" t="s">
        <v>91</v>
      </c>
      <c r="F375" s="11" t="s">
        <v>124</v>
      </c>
      <c r="G375" s="21" t="n">
        <v>140.29</v>
      </c>
      <c r="H375" s="19" t="n">
        <v>55.3</v>
      </c>
      <c r="I375" s="21" t="n">
        <v>62.71</v>
      </c>
      <c r="J375" s="22" t="s">
        <v>80</v>
      </c>
      <c r="K375" s="11" t="n">
        <v>5</v>
      </c>
      <c r="L375" s="23" t="n">
        <v>4.4</v>
      </c>
      <c r="M375" s="24" t="b">
        <f aca="false">FALSE()</f>
        <v>0</v>
      </c>
      <c r="N375" s="11"/>
      <c r="O375" s="11" t="str">
        <f aca="false">IF(K375&lt;=StockP33,"Low",IF(K375&lt;=StockP67,"Moderate","High"))</f>
        <v>Low</v>
      </c>
      <c r="P375" s="11" t="str">
        <f aca="false">IF(H375=0,"Low",IF(H375&lt;=MarkdownP75,"Moderate","High"))</f>
        <v>High</v>
      </c>
      <c r="Q375" s="11" t="str">
        <f aca="false">IF(ISBLANK(L375),"Unknown",IF(L375&gt;=4,"Good",IF(L375&lt;=2,"Poor","Neutral")))</f>
        <v>Good</v>
      </c>
      <c r="R375" s="11" t="str">
        <f aca="false">IF(AND(O375="Low",P375="Low",Q375="Good"),"BUY / PRIORITIZE",IF(AND(O375="High",P375="High",OR(Q375="Poor",M375=TRUE())),"HOLD / REVIEW","MONITOR"))</f>
        <v>MONITOR</v>
      </c>
      <c r="S375" s="11" t="n">
        <f aca="false">K375+(ROW()/10000000)</f>
        <v>5.0000375</v>
      </c>
    </row>
    <row r="376" customFormat="false" ht="15" hidden="false" customHeight="false" outlineLevel="0" collapsed="false">
      <c r="A376" s="11" t="s">
        <v>564</v>
      </c>
      <c r="B376" s="11" t="s">
        <v>30</v>
      </c>
      <c r="C376" s="11" t="s">
        <v>77</v>
      </c>
      <c r="D376" s="11" t="s">
        <v>34</v>
      </c>
      <c r="E376" s="11" t="s">
        <v>73</v>
      </c>
      <c r="F376" s="11" t="s">
        <v>74</v>
      </c>
      <c r="G376" s="21" t="n">
        <v>26.01</v>
      </c>
      <c r="H376" s="19" t="n">
        <v>0</v>
      </c>
      <c r="I376" s="21" t="n">
        <v>26.01</v>
      </c>
      <c r="J376" s="22" t="s">
        <v>565</v>
      </c>
      <c r="K376" s="11" t="n">
        <v>9</v>
      </c>
      <c r="L376" s="23" t="n">
        <v>4</v>
      </c>
      <c r="M376" s="24" t="b">
        <f aca="false">FALSE()</f>
        <v>0</v>
      </c>
      <c r="N376" s="11"/>
      <c r="O376" s="11" t="str">
        <f aca="false">IF(K376&lt;=StockP33,"Low",IF(K376&lt;=StockP67,"Moderate","High"))</f>
        <v>Low</v>
      </c>
      <c r="P376" s="11" t="str">
        <f aca="false">IF(H376=0,"Low",IF(H376&lt;=MarkdownP75,"Moderate","High"))</f>
        <v>Low</v>
      </c>
      <c r="Q376" s="11" t="str">
        <f aca="false">IF(ISBLANK(L376),"Unknown",IF(L376&gt;=4,"Good",IF(L376&lt;=2,"Poor","Neutral")))</f>
        <v>Good</v>
      </c>
      <c r="R376" s="11" t="str">
        <f aca="false">IF(AND(O376="Low",P376="Low",Q376="Good"),"BUY / PRIORITIZE",IF(AND(O376="High",P376="High",OR(Q376="Poor",M376=TRUE())),"HOLD / REVIEW","MONITOR"))</f>
        <v>BUY / PRIORITIZE</v>
      </c>
      <c r="S376" s="11" t="n">
        <f aca="false">K376+(ROW()/10000000)</f>
        <v>9.0000376</v>
      </c>
    </row>
    <row r="377" customFormat="false" ht="15" hidden="false" customHeight="false" outlineLevel="0" collapsed="false">
      <c r="A377" s="11" t="s">
        <v>566</v>
      </c>
      <c r="B377" s="11" t="s">
        <v>30</v>
      </c>
      <c r="C377" s="11" t="s">
        <v>130</v>
      </c>
      <c r="D377" s="11" t="s">
        <v>37</v>
      </c>
      <c r="E377" s="11" t="s">
        <v>73</v>
      </c>
      <c r="F377" s="11" t="s">
        <v>96</v>
      </c>
      <c r="G377" s="21" t="n">
        <v>51.06</v>
      </c>
      <c r="H377" s="19" t="n">
        <v>9.5</v>
      </c>
      <c r="I377" s="21" t="n">
        <v>46.21</v>
      </c>
      <c r="J377" s="22" t="s">
        <v>80</v>
      </c>
      <c r="K377" s="11" t="n">
        <v>34</v>
      </c>
      <c r="L377" s="23" t="n">
        <v>1.1</v>
      </c>
      <c r="M377" s="24" t="b">
        <f aca="false">FALSE()</f>
        <v>0</v>
      </c>
      <c r="N377" s="11"/>
      <c r="O377" s="11" t="str">
        <f aca="false">IF(K377&lt;=StockP33,"Low",IF(K377&lt;=StockP67,"Moderate","High"))</f>
        <v>High</v>
      </c>
      <c r="P377" s="11" t="str">
        <f aca="false">IF(H377=0,"Low",IF(H377&lt;=MarkdownP75,"Moderate","High"))</f>
        <v>Moderate</v>
      </c>
      <c r="Q377" s="11" t="str">
        <f aca="false">IF(ISBLANK(L377),"Unknown",IF(L377&gt;=4,"Good",IF(L377&lt;=2,"Poor","Neutral")))</f>
        <v>Poor</v>
      </c>
      <c r="R377" s="11" t="str">
        <f aca="false">IF(AND(O377="Low",P377="Low",Q377="Good"),"BUY / PRIORITIZE",IF(AND(O377="High",P377="High",OR(Q377="Poor",M377=TRUE())),"HOLD / REVIEW","MONITOR"))</f>
        <v>MONITOR</v>
      </c>
      <c r="S377" s="11" t="n">
        <f aca="false">K377+(ROW()/10000000)</f>
        <v>34.0000377</v>
      </c>
    </row>
    <row r="378" customFormat="false" ht="15" hidden="false" customHeight="false" outlineLevel="0" collapsed="false">
      <c r="A378" s="11" t="s">
        <v>567</v>
      </c>
      <c r="B378" s="11" t="s">
        <v>28</v>
      </c>
      <c r="C378" s="11" t="s">
        <v>116</v>
      </c>
      <c r="D378" s="11" t="s">
        <v>36</v>
      </c>
      <c r="E378" s="11" t="s">
        <v>110</v>
      </c>
      <c r="F378" s="11" t="s">
        <v>74</v>
      </c>
      <c r="G378" s="21" t="n">
        <v>132.92</v>
      </c>
      <c r="H378" s="19" t="n">
        <v>0</v>
      </c>
      <c r="I378" s="21" t="n">
        <v>132.92</v>
      </c>
      <c r="J378" s="22" t="s">
        <v>80</v>
      </c>
      <c r="K378" s="11" t="n">
        <v>36</v>
      </c>
      <c r="L378" s="23" t="n">
        <v>1.2</v>
      </c>
      <c r="M378" s="24" t="b">
        <f aca="false">FALSE()</f>
        <v>0</v>
      </c>
      <c r="N378" s="11"/>
      <c r="O378" s="11" t="str">
        <f aca="false">IF(K378&lt;=StockP33,"Low",IF(K378&lt;=StockP67,"Moderate","High"))</f>
        <v>High</v>
      </c>
      <c r="P378" s="11" t="str">
        <f aca="false">IF(H378=0,"Low",IF(H378&lt;=MarkdownP75,"Moderate","High"))</f>
        <v>Low</v>
      </c>
      <c r="Q378" s="11" t="str">
        <f aca="false">IF(ISBLANK(L378),"Unknown",IF(L378&gt;=4,"Good",IF(L378&lt;=2,"Poor","Neutral")))</f>
        <v>Poor</v>
      </c>
      <c r="R378" s="11" t="str">
        <f aca="false">IF(AND(O378="Low",P378="Low",Q378="Good"),"BUY / PRIORITIZE",IF(AND(O378="High",P378="High",OR(Q378="Poor",M378=TRUE())),"HOLD / REVIEW","MONITOR"))</f>
        <v>MONITOR</v>
      </c>
      <c r="S378" s="11" t="n">
        <f aca="false">K378+(ROW()/10000000)</f>
        <v>36.0000378</v>
      </c>
    </row>
    <row r="379" customFormat="false" ht="15" hidden="false" customHeight="false" outlineLevel="0" collapsed="false">
      <c r="A379" s="11" t="s">
        <v>568</v>
      </c>
      <c r="B379" s="11" t="s">
        <v>8</v>
      </c>
      <c r="C379" s="11" t="s">
        <v>116</v>
      </c>
      <c r="D379" s="11" t="s">
        <v>36</v>
      </c>
      <c r="E379" s="11"/>
      <c r="F379" s="11" t="s">
        <v>120</v>
      </c>
      <c r="G379" s="21" t="n">
        <v>16.57</v>
      </c>
      <c r="H379" s="19" t="n">
        <v>0</v>
      </c>
      <c r="I379" s="21" t="n">
        <v>16.57</v>
      </c>
      <c r="J379" s="22" t="s">
        <v>80</v>
      </c>
      <c r="K379" s="11" t="n">
        <v>17</v>
      </c>
      <c r="L379" s="23"/>
      <c r="M379" s="24" t="b">
        <f aca="false">FALSE()</f>
        <v>0</v>
      </c>
      <c r="N379" s="11"/>
      <c r="O379" s="11" t="str">
        <f aca="false">IF(K379&lt;=StockP33,"Low",IF(K379&lt;=StockP67,"Moderate","High"))</f>
        <v>Low</v>
      </c>
      <c r="P379" s="11" t="str">
        <f aca="false">IF(H379=0,"Low",IF(H379&lt;=MarkdownP75,"Moderate","High"))</f>
        <v>Low</v>
      </c>
      <c r="Q379" s="11" t="str">
        <f aca="false">IF(ISBLANK(L379),"Unknown",IF(L379&gt;=4,"Good",IF(L379&lt;=2,"Poor","Neutral")))</f>
        <v>Unknown</v>
      </c>
      <c r="R379" s="11" t="str">
        <f aca="false">IF(AND(O379="Low",P379="Low",Q379="Good"),"BUY / PRIORITIZE",IF(AND(O379="High",P379="High",OR(Q379="Poor",M379=TRUE())),"HOLD / REVIEW","MONITOR"))</f>
        <v>MONITOR</v>
      </c>
      <c r="S379" s="11" t="n">
        <f aca="false">K379+(ROW()/10000000)</f>
        <v>17.0000379</v>
      </c>
    </row>
    <row r="380" customFormat="false" ht="15" hidden="false" customHeight="false" outlineLevel="0" collapsed="false">
      <c r="A380" s="11" t="s">
        <v>569</v>
      </c>
      <c r="B380" s="11" t="s">
        <v>26</v>
      </c>
      <c r="C380" s="11" t="s">
        <v>130</v>
      </c>
      <c r="D380" s="11" t="s">
        <v>37</v>
      </c>
      <c r="E380" s="11" t="s">
        <v>110</v>
      </c>
      <c r="F380" s="11" t="s">
        <v>82</v>
      </c>
      <c r="G380" s="21" t="n">
        <v>78.6</v>
      </c>
      <c r="H380" s="19" t="n">
        <v>45.8</v>
      </c>
      <c r="I380" s="21" t="n">
        <v>42.6</v>
      </c>
      <c r="J380" s="22" t="s">
        <v>80</v>
      </c>
      <c r="K380" s="11" t="n">
        <v>6</v>
      </c>
      <c r="L380" s="23" t="n">
        <v>2.7</v>
      </c>
      <c r="M380" s="24" t="b">
        <f aca="false">FALSE()</f>
        <v>0</v>
      </c>
      <c r="N380" s="11"/>
      <c r="O380" s="11" t="str">
        <f aca="false">IF(K380&lt;=StockP33,"Low",IF(K380&lt;=StockP67,"Moderate","High"))</f>
        <v>Low</v>
      </c>
      <c r="P380" s="11" t="str">
        <f aca="false">IF(H380=0,"Low",IF(H380&lt;=MarkdownP75,"Moderate","High"))</f>
        <v>High</v>
      </c>
      <c r="Q380" s="11" t="str">
        <f aca="false">IF(ISBLANK(L380),"Unknown",IF(L380&gt;=4,"Good",IF(L380&lt;=2,"Poor","Neutral")))</f>
        <v>Neutral</v>
      </c>
      <c r="R380" s="11" t="str">
        <f aca="false">IF(AND(O380="Low",P380="Low",Q380="Good"),"BUY / PRIORITIZE",IF(AND(O380="High",P380="High",OR(Q380="Poor",M380=TRUE())),"HOLD / REVIEW","MONITOR"))</f>
        <v>MONITOR</v>
      </c>
      <c r="S380" s="11" t="n">
        <f aca="false">K380+(ROW()/10000000)</f>
        <v>6.000038</v>
      </c>
    </row>
    <row r="381" customFormat="false" ht="15" hidden="false" customHeight="false" outlineLevel="0" collapsed="false">
      <c r="A381" s="11" t="s">
        <v>570</v>
      </c>
      <c r="B381" s="11" t="s">
        <v>8</v>
      </c>
      <c r="C381" s="11" t="s">
        <v>95</v>
      </c>
      <c r="D381" s="11" t="s">
        <v>35</v>
      </c>
      <c r="E381" s="11"/>
      <c r="F381" s="11" t="s">
        <v>124</v>
      </c>
      <c r="G381" s="21" t="n">
        <v>69.38</v>
      </c>
      <c r="H381" s="19" t="n">
        <v>0</v>
      </c>
      <c r="I381" s="21" t="n">
        <v>69.38</v>
      </c>
      <c r="J381" s="22" t="s">
        <v>80</v>
      </c>
      <c r="K381" s="11" t="n">
        <v>43</v>
      </c>
      <c r="L381" s="23" t="n">
        <v>2.4</v>
      </c>
      <c r="M381" s="24" t="b">
        <f aca="false">FALSE()</f>
        <v>0</v>
      </c>
      <c r="N381" s="11"/>
      <c r="O381" s="11" t="str">
        <f aca="false">IF(K381&lt;=StockP33,"Low",IF(K381&lt;=StockP67,"Moderate","High"))</f>
        <v>High</v>
      </c>
      <c r="P381" s="11" t="str">
        <f aca="false">IF(H381=0,"Low",IF(H381&lt;=MarkdownP75,"Moderate","High"))</f>
        <v>Low</v>
      </c>
      <c r="Q381" s="11" t="str">
        <f aca="false">IF(ISBLANK(L381),"Unknown",IF(L381&gt;=4,"Good",IF(L381&lt;=2,"Poor","Neutral")))</f>
        <v>Neutral</v>
      </c>
      <c r="R381" s="11" t="str">
        <f aca="false">IF(AND(O381="Low",P381="Low",Q381="Good"),"BUY / PRIORITIZE",IF(AND(O381="High",P381="High",OR(Q381="Poor",M381=TRUE())),"HOLD / REVIEW","MONITOR"))</f>
        <v>MONITOR</v>
      </c>
      <c r="S381" s="11" t="n">
        <f aca="false">K381+(ROW()/10000000)</f>
        <v>43.0000381</v>
      </c>
    </row>
    <row r="382" customFormat="false" ht="15" hidden="false" customHeight="false" outlineLevel="0" collapsed="false">
      <c r="A382" s="11" t="s">
        <v>571</v>
      </c>
      <c r="B382" s="11" t="s">
        <v>8</v>
      </c>
      <c r="C382" s="11" t="s">
        <v>95</v>
      </c>
      <c r="D382" s="11" t="s">
        <v>36</v>
      </c>
      <c r="E382" s="11"/>
      <c r="F382" s="11" t="s">
        <v>79</v>
      </c>
      <c r="G382" s="21" t="n">
        <v>23.58</v>
      </c>
      <c r="H382" s="19" t="n">
        <v>0</v>
      </c>
      <c r="I382" s="21" t="n">
        <v>23.58</v>
      </c>
      <c r="J382" s="22" t="s">
        <v>80</v>
      </c>
      <c r="K382" s="11" t="n">
        <v>16</v>
      </c>
      <c r="L382" s="23" t="n">
        <v>1.3</v>
      </c>
      <c r="M382" s="24" t="b">
        <f aca="false">FALSE()</f>
        <v>0</v>
      </c>
      <c r="N382" s="11"/>
      <c r="O382" s="11" t="str">
        <f aca="false">IF(K382&lt;=StockP33,"Low",IF(K382&lt;=StockP67,"Moderate","High"))</f>
        <v>Low</v>
      </c>
      <c r="P382" s="11" t="str">
        <f aca="false">IF(H382=0,"Low",IF(H382&lt;=MarkdownP75,"Moderate","High"))</f>
        <v>Low</v>
      </c>
      <c r="Q382" s="11" t="str">
        <f aca="false">IF(ISBLANK(L382),"Unknown",IF(L382&gt;=4,"Good",IF(L382&lt;=2,"Poor","Neutral")))</f>
        <v>Poor</v>
      </c>
      <c r="R382" s="11" t="str">
        <f aca="false">IF(AND(O382="Low",P382="Low",Q382="Good"),"BUY / PRIORITIZE",IF(AND(O382="High",P382="High",OR(Q382="Poor",M382=TRUE())),"HOLD / REVIEW","MONITOR"))</f>
        <v>MONITOR</v>
      </c>
      <c r="S382" s="11" t="n">
        <f aca="false">K382+(ROW()/10000000)</f>
        <v>16.0000382</v>
      </c>
    </row>
    <row r="383" customFormat="false" ht="15" hidden="false" customHeight="false" outlineLevel="0" collapsed="false">
      <c r="A383" s="11" t="s">
        <v>572</v>
      </c>
      <c r="B383" s="11" t="s">
        <v>30</v>
      </c>
      <c r="C383" s="11" t="s">
        <v>101</v>
      </c>
      <c r="D383" s="11" t="s">
        <v>34</v>
      </c>
      <c r="E383" s="11" t="s">
        <v>110</v>
      </c>
      <c r="F383" s="11" t="s">
        <v>118</v>
      </c>
      <c r="G383" s="21" t="n">
        <v>119.91</v>
      </c>
      <c r="H383" s="19" t="n">
        <v>27.8</v>
      </c>
      <c r="I383" s="21" t="n">
        <v>86.58</v>
      </c>
      <c r="J383" s="22" t="s">
        <v>364</v>
      </c>
      <c r="K383" s="11" t="n">
        <v>12</v>
      </c>
      <c r="L383" s="23" t="n">
        <v>1.7</v>
      </c>
      <c r="M383" s="24" t="b">
        <f aca="false">FALSE()</f>
        <v>0</v>
      </c>
      <c r="N383" s="11"/>
      <c r="O383" s="11" t="str">
        <f aca="false">IF(K383&lt;=StockP33,"Low",IF(K383&lt;=StockP67,"Moderate","High"))</f>
        <v>Low</v>
      </c>
      <c r="P383" s="11" t="str">
        <f aca="false">IF(H383=0,"Low",IF(H383&lt;=MarkdownP75,"Moderate","High"))</f>
        <v>High</v>
      </c>
      <c r="Q383" s="11" t="str">
        <f aca="false">IF(ISBLANK(L383),"Unknown",IF(L383&gt;=4,"Good",IF(L383&lt;=2,"Poor","Neutral")))</f>
        <v>Poor</v>
      </c>
      <c r="R383" s="11" t="str">
        <f aca="false">IF(AND(O383="Low",P383="Low",Q383="Good"),"BUY / PRIORITIZE",IF(AND(O383="High",P383="High",OR(Q383="Poor",M383=TRUE())),"HOLD / REVIEW","MONITOR"))</f>
        <v>MONITOR</v>
      </c>
      <c r="S383" s="11" t="n">
        <f aca="false">K383+(ROW()/10000000)</f>
        <v>12.0000383</v>
      </c>
    </row>
    <row r="384" customFormat="false" ht="15" hidden="false" customHeight="false" outlineLevel="0" collapsed="false">
      <c r="A384" s="11" t="s">
        <v>573</v>
      </c>
      <c r="B384" s="11" t="s">
        <v>28</v>
      </c>
      <c r="C384" s="11" t="s">
        <v>101</v>
      </c>
      <c r="D384" s="11" t="s">
        <v>35</v>
      </c>
      <c r="E384" s="11" t="s">
        <v>113</v>
      </c>
      <c r="F384" s="11" t="s">
        <v>82</v>
      </c>
      <c r="G384" s="21" t="n">
        <v>111.05</v>
      </c>
      <c r="H384" s="19" t="n">
        <v>1.4</v>
      </c>
      <c r="I384" s="21" t="n">
        <v>109.5</v>
      </c>
      <c r="J384" s="22" t="s">
        <v>80</v>
      </c>
      <c r="K384" s="11" t="n">
        <v>7</v>
      </c>
      <c r="L384" s="23" t="n">
        <v>2.8</v>
      </c>
      <c r="M384" s="24" t="b">
        <f aca="false">FALSE()</f>
        <v>0</v>
      </c>
      <c r="N384" s="11"/>
      <c r="O384" s="11" t="str">
        <f aca="false">IF(K384&lt;=StockP33,"Low",IF(K384&lt;=StockP67,"Moderate","High"))</f>
        <v>Low</v>
      </c>
      <c r="P384" s="11" t="str">
        <f aca="false">IF(H384=0,"Low",IF(H384&lt;=MarkdownP75,"Moderate","High"))</f>
        <v>Moderate</v>
      </c>
      <c r="Q384" s="11" t="str">
        <f aca="false">IF(ISBLANK(L384),"Unknown",IF(L384&gt;=4,"Good",IF(L384&lt;=2,"Poor","Neutral")))</f>
        <v>Neutral</v>
      </c>
      <c r="R384" s="11" t="str">
        <f aca="false">IF(AND(O384="Low",P384="Low",Q384="Good"),"BUY / PRIORITIZE",IF(AND(O384="High",P384="High",OR(Q384="Poor",M384=TRUE())),"HOLD / REVIEW","MONITOR"))</f>
        <v>MONITOR</v>
      </c>
      <c r="S384" s="11" t="n">
        <f aca="false">K384+(ROW()/10000000)</f>
        <v>7.0000384</v>
      </c>
    </row>
    <row r="385" customFormat="false" ht="15" hidden="false" customHeight="false" outlineLevel="0" collapsed="false">
      <c r="A385" s="11" t="s">
        <v>574</v>
      </c>
      <c r="B385" s="11" t="s">
        <v>8</v>
      </c>
      <c r="C385" s="11" t="s">
        <v>86</v>
      </c>
      <c r="D385" s="11" t="s">
        <v>35</v>
      </c>
      <c r="E385" s="11"/>
      <c r="F385" s="11" t="s">
        <v>92</v>
      </c>
      <c r="G385" s="21" t="n">
        <v>60.22</v>
      </c>
      <c r="H385" s="19" t="n">
        <v>0</v>
      </c>
      <c r="I385" s="21" t="n">
        <v>60.22</v>
      </c>
      <c r="J385" s="22" t="s">
        <v>80</v>
      </c>
      <c r="K385" s="11" t="n">
        <v>6</v>
      </c>
      <c r="L385" s="23" t="n">
        <v>2.1</v>
      </c>
      <c r="M385" s="24" t="b">
        <f aca="false">FALSE()</f>
        <v>0</v>
      </c>
      <c r="N385" s="11"/>
      <c r="O385" s="11" t="str">
        <f aca="false">IF(K385&lt;=StockP33,"Low",IF(K385&lt;=StockP67,"Moderate","High"))</f>
        <v>Low</v>
      </c>
      <c r="P385" s="11" t="str">
        <f aca="false">IF(H385=0,"Low",IF(H385&lt;=MarkdownP75,"Moderate","High"))</f>
        <v>Low</v>
      </c>
      <c r="Q385" s="11" t="str">
        <f aca="false">IF(ISBLANK(L385),"Unknown",IF(L385&gt;=4,"Good",IF(L385&lt;=2,"Poor","Neutral")))</f>
        <v>Neutral</v>
      </c>
      <c r="R385" s="11" t="str">
        <f aca="false">IF(AND(O385="Low",P385="Low",Q385="Good"),"BUY / PRIORITIZE",IF(AND(O385="High",P385="High",OR(Q385="Poor",M385=TRUE())),"HOLD / REVIEW","MONITOR"))</f>
        <v>MONITOR</v>
      </c>
      <c r="S385" s="11" t="n">
        <f aca="false">K385+(ROW()/10000000)</f>
        <v>6.0000385</v>
      </c>
    </row>
    <row r="386" customFormat="false" ht="15" hidden="false" customHeight="false" outlineLevel="0" collapsed="false">
      <c r="A386" s="11" t="s">
        <v>575</v>
      </c>
      <c r="B386" s="11" t="s">
        <v>28</v>
      </c>
      <c r="C386" s="11" t="s">
        <v>116</v>
      </c>
      <c r="D386" s="11" t="s">
        <v>37</v>
      </c>
      <c r="E386" s="11" t="s">
        <v>113</v>
      </c>
      <c r="F386" s="11" t="s">
        <v>118</v>
      </c>
      <c r="G386" s="21" t="n">
        <v>133.52</v>
      </c>
      <c r="H386" s="19" t="n">
        <v>0</v>
      </c>
      <c r="I386" s="21" t="n">
        <v>133.52</v>
      </c>
      <c r="J386" s="22" t="s">
        <v>80</v>
      </c>
      <c r="K386" s="11" t="n">
        <v>27</v>
      </c>
      <c r="L386" s="23" t="n">
        <v>3.6</v>
      </c>
      <c r="M386" s="24" t="b">
        <f aca="false">FALSE()</f>
        <v>0</v>
      </c>
      <c r="N386" s="11"/>
      <c r="O386" s="11" t="str">
        <f aca="false">IF(K386&lt;=StockP33,"Low",IF(K386&lt;=StockP67,"Moderate","High"))</f>
        <v>Moderate</v>
      </c>
      <c r="P386" s="11" t="str">
        <f aca="false">IF(H386=0,"Low",IF(H386&lt;=MarkdownP75,"Moderate","High"))</f>
        <v>Low</v>
      </c>
      <c r="Q386" s="11" t="str">
        <f aca="false">IF(ISBLANK(L386),"Unknown",IF(L386&gt;=4,"Good",IF(L386&lt;=2,"Poor","Neutral")))</f>
        <v>Neutral</v>
      </c>
      <c r="R386" s="11" t="str">
        <f aca="false">IF(AND(O386="Low",P386="Low",Q386="Good"),"BUY / PRIORITIZE",IF(AND(O386="High",P386="High",OR(Q386="Poor",M386=TRUE())),"HOLD / REVIEW","MONITOR"))</f>
        <v>MONITOR</v>
      </c>
      <c r="S386" s="11" t="n">
        <f aca="false">K386+(ROW()/10000000)</f>
        <v>27.0000386</v>
      </c>
    </row>
    <row r="387" customFormat="false" ht="15" hidden="false" customHeight="false" outlineLevel="0" collapsed="false">
      <c r="A387" s="11" t="s">
        <v>576</v>
      </c>
      <c r="B387" s="11" t="s">
        <v>27</v>
      </c>
      <c r="C387" s="11" t="s">
        <v>86</v>
      </c>
      <c r="D387" s="11" t="s">
        <v>34</v>
      </c>
      <c r="E387" s="11" t="s">
        <v>73</v>
      </c>
      <c r="F387" s="11" t="s">
        <v>124</v>
      </c>
      <c r="G387" s="21" t="n">
        <v>54.97</v>
      </c>
      <c r="H387" s="19" t="n">
        <v>49.6</v>
      </c>
      <c r="I387" s="21" t="n">
        <v>27.7</v>
      </c>
      <c r="J387" s="22" t="s">
        <v>577</v>
      </c>
      <c r="K387" s="11" t="n">
        <v>48</v>
      </c>
      <c r="L387" s="23" t="n">
        <v>4.5</v>
      </c>
      <c r="M387" s="24" t="b">
        <f aca="false">FALSE()</f>
        <v>0</v>
      </c>
      <c r="N387" s="11"/>
      <c r="O387" s="11" t="str">
        <f aca="false">IF(K387&lt;=StockP33,"Low",IF(K387&lt;=StockP67,"Moderate","High"))</f>
        <v>High</v>
      </c>
      <c r="P387" s="11" t="str">
        <f aca="false">IF(H387=0,"Low",IF(H387&lt;=MarkdownP75,"Moderate","High"))</f>
        <v>High</v>
      </c>
      <c r="Q387" s="11" t="str">
        <f aca="false">IF(ISBLANK(L387),"Unknown",IF(L387&gt;=4,"Good",IF(L387&lt;=2,"Poor","Neutral")))</f>
        <v>Good</v>
      </c>
      <c r="R387" s="11" t="str">
        <f aca="false">IF(AND(O387="Low",P387="Low",Q387="Good"),"BUY / PRIORITIZE",IF(AND(O387="High",P387="High",OR(Q387="Poor",M387=TRUE())),"HOLD / REVIEW","MONITOR"))</f>
        <v>MONITOR</v>
      </c>
      <c r="S387" s="11" t="n">
        <f aca="false">K387+(ROW()/10000000)</f>
        <v>48.0000387</v>
      </c>
    </row>
    <row r="388" customFormat="false" ht="15" hidden="false" customHeight="false" outlineLevel="0" collapsed="false">
      <c r="A388" s="11" t="s">
        <v>578</v>
      </c>
      <c r="B388" s="11" t="s">
        <v>30</v>
      </c>
      <c r="C388" s="11" t="s">
        <v>77</v>
      </c>
      <c r="D388" s="11" t="s">
        <v>37</v>
      </c>
      <c r="E388" s="11" t="s">
        <v>78</v>
      </c>
      <c r="F388" s="11" t="s">
        <v>88</v>
      </c>
      <c r="G388" s="21" t="n">
        <v>85.94</v>
      </c>
      <c r="H388" s="19" t="n">
        <v>0</v>
      </c>
      <c r="I388" s="21" t="n">
        <v>85.94</v>
      </c>
      <c r="J388" s="22" t="s">
        <v>80</v>
      </c>
      <c r="K388" s="11" t="n">
        <v>42</v>
      </c>
      <c r="L388" s="23" t="n">
        <v>4.3</v>
      </c>
      <c r="M388" s="24" t="b">
        <f aca="false">FALSE()</f>
        <v>0</v>
      </c>
      <c r="N388" s="11"/>
      <c r="O388" s="11" t="str">
        <f aca="false">IF(K388&lt;=StockP33,"Low",IF(K388&lt;=StockP67,"Moderate","High"))</f>
        <v>High</v>
      </c>
      <c r="P388" s="11" t="str">
        <f aca="false">IF(H388=0,"Low",IF(H388&lt;=MarkdownP75,"Moderate","High"))</f>
        <v>Low</v>
      </c>
      <c r="Q388" s="11" t="str">
        <f aca="false">IF(ISBLANK(L388),"Unknown",IF(L388&gt;=4,"Good",IF(L388&lt;=2,"Poor","Neutral")))</f>
        <v>Good</v>
      </c>
      <c r="R388" s="11" t="str">
        <f aca="false">IF(AND(O388="Low",P388="Low",Q388="Good"),"BUY / PRIORITIZE",IF(AND(O388="High",P388="High",OR(Q388="Poor",M388=TRUE())),"HOLD / REVIEW","MONITOR"))</f>
        <v>MONITOR</v>
      </c>
      <c r="S388" s="11" t="n">
        <f aca="false">K388+(ROW()/10000000)</f>
        <v>42.0000388</v>
      </c>
    </row>
    <row r="389" customFormat="false" ht="15" hidden="false" customHeight="false" outlineLevel="0" collapsed="false">
      <c r="A389" s="11" t="s">
        <v>579</v>
      </c>
      <c r="B389" s="11" t="s">
        <v>8</v>
      </c>
      <c r="C389" s="11" t="s">
        <v>101</v>
      </c>
      <c r="D389" s="11" t="s">
        <v>36</v>
      </c>
      <c r="E389" s="11"/>
      <c r="F389" s="11" t="s">
        <v>82</v>
      </c>
      <c r="G389" s="21" t="n">
        <v>24.64</v>
      </c>
      <c r="H389" s="19" t="n">
        <v>0</v>
      </c>
      <c r="I389" s="21" t="n">
        <v>24.64</v>
      </c>
      <c r="J389" s="22" t="s">
        <v>80</v>
      </c>
      <c r="K389" s="11" t="n">
        <v>6</v>
      </c>
      <c r="L389" s="23" t="n">
        <v>4.4</v>
      </c>
      <c r="M389" s="24" t="b">
        <f aca="false">FALSE()</f>
        <v>0</v>
      </c>
      <c r="N389" s="11"/>
      <c r="O389" s="11" t="str">
        <f aca="false">IF(K389&lt;=StockP33,"Low",IF(K389&lt;=StockP67,"Moderate","High"))</f>
        <v>Low</v>
      </c>
      <c r="P389" s="11" t="str">
        <f aca="false">IF(H389=0,"Low",IF(H389&lt;=MarkdownP75,"Moderate","High"))</f>
        <v>Low</v>
      </c>
      <c r="Q389" s="11" t="str">
        <f aca="false">IF(ISBLANK(L389),"Unknown",IF(L389&gt;=4,"Good",IF(L389&lt;=2,"Poor","Neutral")))</f>
        <v>Good</v>
      </c>
      <c r="R389" s="11" t="str">
        <f aca="false">IF(AND(O389="Low",P389="Low",Q389="Good"),"BUY / PRIORITIZE",IF(AND(O389="High",P389="High",OR(Q389="Poor",M389=TRUE())),"HOLD / REVIEW","MONITOR"))</f>
        <v>BUY / PRIORITIZE</v>
      </c>
      <c r="S389" s="11" t="n">
        <f aca="false">K389+(ROW()/10000000)</f>
        <v>6.0000389</v>
      </c>
    </row>
    <row r="390" customFormat="false" ht="15" hidden="false" customHeight="false" outlineLevel="0" collapsed="false">
      <c r="A390" s="11" t="s">
        <v>580</v>
      </c>
      <c r="B390" s="11" t="s">
        <v>8</v>
      </c>
      <c r="C390" s="11" t="s">
        <v>86</v>
      </c>
      <c r="D390" s="11" t="s">
        <v>34</v>
      </c>
      <c r="E390" s="11"/>
      <c r="F390" s="11" t="s">
        <v>96</v>
      </c>
      <c r="G390" s="21" t="n">
        <v>28.82</v>
      </c>
      <c r="H390" s="19" t="n">
        <v>0</v>
      </c>
      <c r="I390" s="21" t="n">
        <v>28.82</v>
      </c>
      <c r="J390" s="22" t="s">
        <v>581</v>
      </c>
      <c r="K390" s="11" t="n">
        <v>30</v>
      </c>
      <c r="L390" s="23" t="n">
        <v>2.8</v>
      </c>
      <c r="M390" s="24" t="b">
        <f aca="false">FALSE()</f>
        <v>0</v>
      </c>
      <c r="N390" s="11"/>
      <c r="O390" s="11" t="str">
        <f aca="false">IF(K390&lt;=StockP33,"Low",IF(K390&lt;=StockP67,"Moderate","High"))</f>
        <v>Moderate</v>
      </c>
      <c r="P390" s="11" t="str">
        <f aca="false">IF(H390=0,"Low",IF(H390&lt;=MarkdownP75,"Moderate","High"))</f>
        <v>Low</v>
      </c>
      <c r="Q390" s="11" t="str">
        <f aca="false">IF(ISBLANK(L390),"Unknown",IF(L390&gt;=4,"Good",IF(L390&lt;=2,"Poor","Neutral")))</f>
        <v>Neutral</v>
      </c>
      <c r="R390" s="11" t="str">
        <f aca="false">IF(AND(O390="Low",P390="Low",Q390="Good"),"BUY / PRIORITIZE",IF(AND(O390="High",P390="High",OR(Q390="Poor",M390=TRUE())),"HOLD / REVIEW","MONITOR"))</f>
        <v>MONITOR</v>
      </c>
      <c r="S390" s="11" t="n">
        <f aca="false">K390+(ROW()/10000000)</f>
        <v>30.000039</v>
      </c>
    </row>
    <row r="391" customFormat="false" ht="15" hidden="false" customHeight="false" outlineLevel="0" collapsed="false">
      <c r="A391" s="11" t="s">
        <v>582</v>
      </c>
      <c r="B391" s="11" t="s">
        <v>29</v>
      </c>
      <c r="C391" s="11" t="s">
        <v>130</v>
      </c>
      <c r="D391" s="11" t="s">
        <v>35</v>
      </c>
      <c r="E391" s="11" t="s">
        <v>78</v>
      </c>
      <c r="F391" s="11" t="s">
        <v>79</v>
      </c>
      <c r="G391" s="21" t="n">
        <v>79.59</v>
      </c>
      <c r="H391" s="19" t="n">
        <v>24.3</v>
      </c>
      <c r="I391" s="21" t="n">
        <v>60.25</v>
      </c>
      <c r="J391" s="22" t="s">
        <v>80</v>
      </c>
      <c r="K391" s="11" t="n">
        <v>37</v>
      </c>
      <c r="L391" s="23" t="n">
        <v>1.7</v>
      </c>
      <c r="M391" s="24" t="b">
        <f aca="false">FALSE()</f>
        <v>0</v>
      </c>
      <c r="N391" s="11"/>
      <c r="O391" s="11" t="str">
        <f aca="false">IF(K391&lt;=StockP33,"Low",IF(K391&lt;=StockP67,"Moderate","High"))</f>
        <v>High</v>
      </c>
      <c r="P391" s="11" t="str">
        <f aca="false">IF(H391=0,"Low",IF(H391&lt;=MarkdownP75,"Moderate","High"))</f>
        <v>High</v>
      </c>
      <c r="Q391" s="11" t="str">
        <f aca="false">IF(ISBLANK(L391),"Unknown",IF(L391&gt;=4,"Good",IF(L391&lt;=2,"Poor","Neutral")))</f>
        <v>Poor</v>
      </c>
      <c r="R391" s="11" t="str">
        <f aca="false">IF(AND(O391="Low",P391="Low",Q391="Good"),"BUY / PRIORITIZE",IF(AND(O391="High",P391="High",OR(Q391="Poor",M391=TRUE())),"HOLD / REVIEW","MONITOR"))</f>
        <v>HOLD / REVIEW</v>
      </c>
      <c r="S391" s="11" t="n">
        <f aca="false">K391+(ROW()/10000000)</f>
        <v>37.0000391</v>
      </c>
    </row>
    <row r="392" customFormat="false" ht="15" hidden="false" customHeight="false" outlineLevel="0" collapsed="false">
      <c r="A392" s="11" t="s">
        <v>583</v>
      </c>
      <c r="B392" s="11" t="s">
        <v>27</v>
      </c>
      <c r="C392" s="11" t="s">
        <v>116</v>
      </c>
      <c r="D392" s="11" t="s">
        <v>36</v>
      </c>
      <c r="E392" s="11" t="s">
        <v>73</v>
      </c>
      <c r="F392" s="11" t="s">
        <v>96</v>
      </c>
      <c r="G392" s="21" t="n">
        <v>49.44</v>
      </c>
      <c r="H392" s="19" t="n">
        <v>0</v>
      </c>
      <c r="I392" s="21" t="n">
        <v>49.44</v>
      </c>
      <c r="J392" s="22" t="s">
        <v>80</v>
      </c>
      <c r="K392" s="11" t="n">
        <v>19</v>
      </c>
      <c r="L392" s="23" t="n">
        <v>3.4</v>
      </c>
      <c r="M392" s="24" t="b">
        <f aca="false">FALSE()</f>
        <v>0</v>
      </c>
      <c r="N392" s="11"/>
      <c r="O392" s="11" t="str">
        <f aca="false">IF(K392&lt;=StockP33,"Low",IF(K392&lt;=StockP67,"Moderate","High"))</f>
        <v>Moderate</v>
      </c>
      <c r="P392" s="11" t="str">
        <f aca="false">IF(H392=0,"Low",IF(H392&lt;=MarkdownP75,"Moderate","High"))</f>
        <v>Low</v>
      </c>
      <c r="Q392" s="11" t="str">
        <f aca="false">IF(ISBLANK(L392),"Unknown",IF(L392&gt;=4,"Good",IF(L392&lt;=2,"Poor","Neutral")))</f>
        <v>Neutral</v>
      </c>
      <c r="R392" s="11" t="str">
        <f aca="false">IF(AND(O392="Low",P392="Low",Q392="Good"),"BUY / PRIORITIZE",IF(AND(O392="High",P392="High",OR(Q392="Poor",M392=TRUE())),"HOLD / REVIEW","MONITOR"))</f>
        <v>MONITOR</v>
      </c>
      <c r="S392" s="11" t="n">
        <f aca="false">K392+(ROW()/10000000)</f>
        <v>19.0000392</v>
      </c>
    </row>
    <row r="393" customFormat="false" ht="15" hidden="false" customHeight="false" outlineLevel="0" collapsed="false">
      <c r="A393" s="11" t="s">
        <v>584</v>
      </c>
      <c r="B393" s="11" t="s">
        <v>30</v>
      </c>
      <c r="C393" s="11" t="s">
        <v>95</v>
      </c>
      <c r="D393" s="11" t="s">
        <v>37</v>
      </c>
      <c r="E393" s="11" t="s">
        <v>110</v>
      </c>
      <c r="F393" s="11" t="s">
        <v>96</v>
      </c>
      <c r="G393" s="21" t="n">
        <v>41.46</v>
      </c>
      <c r="H393" s="19" t="n">
        <v>0</v>
      </c>
      <c r="I393" s="21" t="n">
        <v>41.46</v>
      </c>
      <c r="J393" s="22" t="s">
        <v>80</v>
      </c>
      <c r="K393" s="11" t="n">
        <v>36</v>
      </c>
      <c r="L393" s="23" t="n">
        <v>3.5</v>
      </c>
      <c r="M393" s="24" t="b">
        <f aca="false">FALSE()</f>
        <v>0</v>
      </c>
      <c r="N393" s="11"/>
      <c r="O393" s="11" t="str">
        <f aca="false">IF(K393&lt;=StockP33,"Low",IF(K393&lt;=StockP67,"Moderate","High"))</f>
        <v>High</v>
      </c>
      <c r="P393" s="11" t="str">
        <f aca="false">IF(H393=0,"Low",IF(H393&lt;=MarkdownP75,"Moderate","High"))</f>
        <v>Low</v>
      </c>
      <c r="Q393" s="11" t="str">
        <f aca="false">IF(ISBLANK(L393),"Unknown",IF(L393&gt;=4,"Good",IF(L393&lt;=2,"Poor","Neutral")))</f>
        <v>Neutral</v>
      </c>
      <c r="R393" s="11" t="str">
        <f aca="false">IF(AND(O393="Low",P393="Low",Q393="Good"),"BUY / PRIORITIZE",IF(AND(O393="High",P393="High",OR(Q393="Poor",M393=TRUE())),"HOLD / REVIEW","MONITOR"))</f>
        <v>MONITOR</v>
      </c>
      <c r="S393" s="11" t="n">
        <f aca="false">K393+(ROW()/10000000)</f>
        <v>36.0000393</v>
      </c>
    </row>
    <row r="394" customFormat="false" ht="15" hidden="false" customHeight="false" outlineLevel="0" collapsed="false">
      <c r="A394" s="11" t="s">
        <v>585</v>
      </c>
      <c r="B394" s="11" t="s">
        <v>27</v>
      </c>
      <c r="C394" s="11" t="s">
        <v>77</v>
      </c>
      <c r="D394" s="11" t="s">
        <v>36</v>
      </c>
      <c r="E394" s="11" t="s">
        <v>110</v>
      </c>
      <c r="F394" s="11" t="s">
        <v>111</v>
      </c>
      <c r="G394" s="21" t="n">
        <v>131.76</v>
      </c>
      <c r="H394" s="19" t="n">
        <v>35.4</v>
      </c>
      <c r="I394" s="21" t="n">
        <v>85.12</v>
      </c>
      <c r="J394" s="22" t="s">
        <v>80</v>
      </c>
      <c r="K394" s="11" t="n">
        <v>21</v>
      </c>
      <c r="L394" s="23" t="n">
        <v>4.7</v>
      </c>
      <c r="M394" s="24" t="b">
        <f aca="false">FALSE()</f>
        <v>0</v>
      </c>
      <c r="N394" s="11"/>
      <c r="O394" s="11" t="str">
        <f aca="false">IF(K394&lt;=StockP33,"Low",IF(K394&lt;=StockP67,"Moderate","High"))</f>
        <v>Moderate</v>
      </c>
      <c r="P394" s="11" t="str">
        <f aca="false">IF(H394=0,"Low",IF(H394&lt;=MarkdownP75,"Moderate","High"))</f>
        <v>High</v>
      </c>
      <c r="Q394" s="11" t="str">
        <f aca="false">IF(ISBLANK(L394),"Unknown",IF(L394&gt;=4,"Good",IF(L394&lt;=2,"Poor","Neutral")))</f>
        <v>Good</v>
      </c>
      <c r="R394" s="11" t="str">
        <f aca="false">IF(AND(O394="Low",P394="Low",Q394="Good"),"BUY / PRIORITIZE",IF(AND(O394="High",P394="High",OR(Q394="Poor",M394=TRUE())),"HOLD / REVIEW","MONITOR"))</f>
        <v>MONITOR</v>
      </c>
      <c r="S394" s="11" t="n">
        <f aca="false">K394+(ROW()/10000000)</f>
        <v>21.0000394</v>
      </c>
    </row>
    <row r="395" customFormat="false" ht="15" hidden="false" customHeight="false" outlineLevel="0" collapsed="false">
      <c r="A395" s="11" t="s">
        <v>586</v>
      </c>
      <c r="B395" s="11" t="s">
        <v>26</v>
      </c>
      <c r="C395" s="11" t="s">
        <v>95</v>
      </c>
      <c r="D395" s="11" t="s">
        <v>36</v>
      </c>
      <c r="E395" s="11" t="s">
        <v>113</v>
      </c>
      <c r="F395" s="11" t="s">
        <v>96</v>
      </c>
      <c r="G395" s="21" t="n">
        <v>56.53</v>
      </c>
      <c r="H395" s="19" t="n">
        <v>27.9</v>
      </c>
      <c r="I395" s="21" t="n">
        <v>40.76</v>
      </c>
      <c r="J395" s="22" t="s">
        <v>80</v>
      </c>
      <c r="K395" s="11" t="n">
        <v>22</v>
      </c>
      <c r="L395" s="23"/>
      <c r="M395" s="24" t="b">
        <f aca="false">FALSE()</f>
        <v>0</v>
      </c>
      <c r="N395" s="11"/>
      <c r="O395" s="11" t="str">
        <f aca="false">IF(K395&lt;=StockP33,"Low",IF(K395&lt;=StockP67,"Moderate","High"))</f>
        <v>Moderate</v>
      </c>
      <c r="P395" s="11" t="str">
        <f aca="false">IF(H395=0,"Low",IF(H395&lt;=MarkdownP75,"Moderate","High"))</f>
        <v>High</v>
      </c>
      <c r="Q395" s="11" t="str">
        <f aca="false">IF(ISBLANK(L395),"Unknown",IF(L395&gt;=4,"Good",IF(L395&lt;=2,"Poor","Neutral")))</f>
        <v>Unknown</v>
      </c>
      <c r="R395" s="11" t="str">
        <f aca="false">IF(AND(O395="Low",P395="Low",Q395="Good"),"BUY / PRIORITIZE",IF(AND(O395="High",P395="High",OR(Q395="Poor",M395=TRUE())),"HOLD / REVIEW","MONITOR"))</f>
        <v>MONITOR</v>
      </c>
      <c r="S395" s="11" t="n">
        <f aca="false">K395+(ROW()/10000000)</f>
        <v>22.0000395</v>
      </c>
    </row>
    <row r="396" customFormat="false" ht="15" hidden="false" customHeight="false" outlineLevel="0" collapsed="false">
      <c r="A396" s="11" t="s">
        <v>587</v>
      </c>
      <c r="B396" s="11" t="s">
        <v>30</v>
      </c>
      <c r="C396" s="11" t="s">
        <v>72</v>
      </c>
      <c r="D396" s="11" t="s">
        <v>37</v>
      </c>
      <c r="E396" s="11"/>
      <c r="F396" s="11" t="s">
        <v>96</v>
      </c>
      <c r="G396" s="21" t="n">
        <v>111.72</v>
      </c>
      <c r="H396" s="19" t="n">
        <v>33.3</v>
      </c>
      <c r="I396" s="21" t="n">
        <v>74.52</v>
      </c>
      <c r="J396" s="22" t="s">
        <v>80</v>
      </c>
      <c r="K396" s="11" t="n">
        <v>47</v>
      </c>
      <c r="L396" s="23" t="n">
        <v>2</v>
      </c>
      <c r="M396" s="24" t="b">
        <f aca="false">TRUE()</f>
        <v>1</v>
      </c>
      <c r="N396" s="11" t="s">
        <v>140</v>
      </c>
      <c r="O396" s="11" t="str">
        <f aca="false">IF(K396&lt;=StockP33,"Low",IF(K396&lt;=StockP67,"Moderate","High"))</f>
        <v>High</v>
      </c>
      <c r="P396" s="11" t="str">
        <f aca="false">IF(H396=0,"Low",IF(H396&lt;=MarkdownP75,"Moderate","High"))</f>
        <v>High</v>
      </c>
      <c r="Q396" s="11" t="str">
        <f aca="false">IF(ISBLANK(L396),"Unknown",IF(L396&gt;=4,"Good",IF(L396&lt;=2,"Poor","Neutral")))</f>
        <v>Poor</v>
      </c>
      <c r="R396" s="11" t="str">
        <f aca="false">IF(AND(O396="Low",P396="Low",Q396="Good"),"BUY / PRIORITIZE",IF(AND(O396="High",P396="High",OR(Q396="Poor",M396=TRUE())),"HOLD / REVIEW","MONITOR"))</f>
        <v>HOLD / REVIEW</v>
      </c>
      <c r="S396" s="11" t="n">
        <f aca="false">K396+(ROW()/10000000)</f>
        <v>47.0000396</v>
      </c>
    </row>
    <row r="397" customFormat="false" ht="15" hidden="false" customHeight="false" outlineLevel="0" collapsed="false">
      <c r="A397" s="11" t="s">
        <v>588</v>
      </c>
      <c r="B397" s="11" t="s">
        <v>30</v>
      </c>
      <c r="C397" s="11" t="s">
        <v>72</v>
      </c>
      <c r="D397" s="11" t="s">
        <v>37</v>
      </c>
      <c r="E397" s="11" t="s">
        <v>78</v>
      </c>
      <c r="F397" s="11" t="s">
        <v>111</v>
      </c>
      <c r="G397" s="21" t="n">
        <v>99.96</v>
      </c>
      <c r="H397" s="19" t="n">
        <v>47.6</v>
      </c>
      <c r="I397" s="21" t="n">
        <v>52.38</v>
      </c>
      <c r="J397" s="22" t="s">
        <v>80</v>
      </c>
      <c r="K397" s="11" t="n">
        <v>18</v>
      </c>
      <c r="L397" s="23" t="n">
        <v>2</v>
      </c>
      <c r="M397" s="24" t="b">
        <f aca="false">TRUE()</f>
        <v>1</v>
      </c>
      <c r="N397" s="11" t="s">
        <v>140</v>
      </c>
      <c r="O397" s="11" t="str">
        <f aca="false">IF(K397&lt;=StockP33,"Low",IF(K397&lt;=StockP67,"Moderate","High"))</f>
        <v>Moderate</v>
      </c>
      <c r="P397" s="11" t="str">
        <f aca="false">IF(H397=0,"Low",IF(H397&lt;=MarkdownP75,"Moderate","High"))</f>
        <v>High</v>
      </c>
      <c r="Q397" s="11" t="str">
        <f aca="false">IF(ISBLANK(L397),"Unknown",IF(L397&gt;=4,"Good",IF(L397&lt;=2,"Poor","Neutral")))</f>
        <v>Poor</v>
      </c>
      <c r="R397" s="11" t="str">
        <f aca="false">IF(AND(O397="Low",P397="Low",Q397="Good"),"BUY / PRIORITIZE",IF(AND(O397="High",P397="High",OR(Q397="Poor",M397=TRUE())),"HOLD / REVIEW","MONITOR"))</f>
        <v>MONITOR</v>
      </c>
      <c r="S397" s="11" t="n">
        <f aca="false">K397+(ROW()/10000000)</f>
        <v>18.0000397</v>
      </c>
    </row>
    <row r="398" customFormat="false" ht="15" hidden="false" customHeight="false" outlineLevel="0" collapsed="false">
      <c r="A398" s="11" t="s">
        <v>589</v>
      </c>
      <c r="B398" s="11" t="s">
        <v>27</v>
      </c>
      <c r="C398" s="11" t="s">
        <v>77</v>
      </c>
      <c r="D398" s="11" t="s">
        <v>36</v>
      </c>
      <c r="E398" s="11" t="s">
        <v>110</v>
      </c>
      <c r="F398" s="11" t="s">
        <v>74</v>
      </c>
      <c r="G398" s="21" t="n">
        <v>110.04</v>
      </c>
      <c r="H398" s="19" t="n">
        <v>57.1</v>
      </c>
      <c r="I398" s="21" t="n">
        <v>47.21</v>
      </c>
      <c r="J398" s="22" t="s">
        <v>80</v>
      </c>
      <c r="K398" s="11" t="n">
        <v>0</v>
      </c>
      <c r="L398" s="23" t="n">
        <v>4.7</v>
      </c>
      <c r="M398" s="24" t="b">
        <f aca="false">FALSE()</f>
        <v>0</v>
      </c>
      <c r="N398" s="11"/>
      <c r="O398" s="11" t="str">
        <f aca="false">IF(K398&lt;=StockP33,"Low",IF(K398&lt;=StockP67,"Moderate","High"))</f>
        <v>Low</v>
      </c>
      <c r="P398" s="11" t="str">
        <f aca="false">IF(H398=0,"Low",IF(H398&lt;=MarkdownP75,"Moderate","High"))</f>
        <v>High</v>
      </c>
      <c r="Q398" s="11" t="str">
        <f aca="false">IF(ISBLANK(L398),"Unknown",IF(L398&gt;=4,"Good",IF(L398&lt;=2,"Poor","Neutral")))</f>
        <v>Good</v>
      </c>
      <c r="R398" s="11" t="str">
        <f aca="false">IF(AND(O398="Low",P398="Low",Q398="Good"),"BUY / PRIORITIZE",IF(AND(O398="High",P398="High",OR(Q398="Poor",M398=TRUE())),"HOLD / REVIEW","MONITOR"))</f>
        <v>MONITOR</v>
      </c>
      <c r="S398" s="11" t="n">
        <f aca="false">K398+(ROW()/10000000)</f>
        <v>3.98E-005</v>
      </c>
    </row>
    <row r="399" customFormat="false" ht="15" hidden="false" customHeight="false" outlineLevel="0" collapsed="false">
      <c r="A399" s="11" t="s">
        <v>590</v>
      </c>
      <c r="B399" s="11" t="s">
        <v>27</v>
      </c>
      <c r="C399" s="11" t="s">
        <v>130</v>
      </c>
      <c r="D399" s="11" t="s">
        <v>37</v>
      </c>
      <c r="E399" s="11" t="s">
        <v>78</v>
      </c>
      <c r="F399" s="11" t="s">
        <v>96</v>
      </c>
      <c r="G399" s="21" t="n">
        <v>141.84</v>
      </c>
      <c r="H399" s="19" t="n">
        <v>0</v>
      </c>
      <c r="I399" s="21" t="n">
        <v>141.84</v>
      </c>
      <c r="J399" s="22" t="s">
        <v>80</v>
      </c>
      <c r="K399" s="11" t="n">
        <v>39</v>
      </c>
      <c r="L399" s="23" t="n">
        <v>1.7</v>
      </c>
      <c r="M399" s="24" t="b">
        <f aca="false">FALSE()</f>
        <v>0</v>
      </c>
      <c r="N399" s="11"/>
      <c r="O399" s="11" t="str">
        <f aca="false">IF(K399&lt;=StockP33,"Low",IF(K399&lt;=StockP67,"Moderate","High"))</f>
        <v>High</v>
      </c>
      <c r="P399" s="11" t="str">
        <f aca="false">IF(H399=0,"Low",IF(H399&lt;=MarkdownP75,"Moderate","High"))</f>
        <v>Low</v>
      </c>
      <c r="Q399" s="11" t="str">
        <f aca="false">IF(ISBLANK(L399),"Unknown",IF(L399&gt;=4,"Good",IF(L399&lt;=2,"Poor","Neutral")))</f>
        <v>Poor</v>
      </c>
      <c r="R399" s="11" t="str">
        <f aca="false">IF(AND(O399="Low",P399="Low",Q399="Good"),"BUY / PRIORITIZE",IF(AND(O399="High",P399="High",OR(Q399="Poor",M399=TRUE())),"HOLD / REVIEW","MONITOR"))</f>
        <v>MONITOR</v>
      </c>
      <c r="S399" s="11" t="n">
        <f aca="false">K399+(ROW()/10000000)</f>
        <v>39.0000399</v>
      </c>
    </row>
    <row r="400" customFormat="false" ht="15" hidden="false" customHeight="false" outlineLevel="0" collapsed="false">
      <c r="A400" s="11" t="s">
        <v>591</v>
      </c>
      <c r="B400" s="11" t="s">
        <v>8</v>
      </c>
      <c r="C400" s="11" t="s">
        <v>101</v>
      </c>
      <c r="D400" s="11" t="s">
        <v>37</v>
      </c>
      <c r="E400" s="11"/>
      <c r="F400" s="11" t="s">
        <v>124</v>
      </c>
      <c r="G400" s="21" t="n">
        <v>32.63</v>
      </c>
      <c r="H400" s="19" t="n">
        <v>42.9</v>
      </c>
      <c r="I400" s="21" t="n">
        <v>18.63</v>
      </c>
      <c r="J400" s="22" t="s">
        <v>80</v>
      </c>
      <c r="K400" s="11" t="n">
        <v>5</v>
      </c>
      <c r="L400" s="23" t="n">
        <v>1.1</v>
      </c>
      <c r="M400" s="24" t="b">
        <f aca="false">FALSE()</f>
        <v>0</v>
      </c>
      <c r="N400" s="11"/>
      <c r="O400" s="11" t="str">
        <f aca="false">IF(K400&lt;=StockP33,"Low",IF(K400&lt;=StockP67,"Moderate","High"))</f>
        <v>Low</v>
      </c>
      <c r="P400" s="11" t="str">
        <f aca="false">IF(H400=0,"Low",IF(H400&lt;=MarkdownP75,"Moderate","High"))</f>
        <v>High</v>
      </c>
      <c r="Q400" s="11" t="str">
        <f aca="false">IF(ISBLANK(L400),"Unknown",IF(L400&gt;=4,"Good",IF(L400&lt;=2,"Poor","Neutral")))</f>
        <v>Poor</v>
      </c>
      <c r="R400" s="11" t="str">
        <f aca="false">IF(AND(O400="Low",P400="Low",Q400="Good"),"BUY / PRIORITIZE",IF(AND(O400="High",P400="High",OR(Q400="Poor",M400=TRUE())),"HOLD / REVIEW","MONITOR"))</f>
        <v>MONITOR</v>
      </c>
      <c r="S400" s="11" t="n">
        <f aca="false">K400+(ROW()/10000000)</f>
        <v>5.00004</v>
      </c>
    </row>
    <row r="401" customFormat="false" ht="15" hidden="false" customHeight="false" outlineLevel="0" collapsed="false">
      <c r="A401" s="11" t="s">
        <v>592</v>
      </c>
      <c r="B401" s="11" t="s">
        <v>28</v>
      </c>
      <c r="C401" s="11" t="s">
        <v>72</v>
      </c>
      <c r="D401" s="11" t="s">
        <v>34</v>
      </c>
      <c r="E401" s="11" t="s">
        <v>78</v>
      </c>
      <c r="F401" s="11" t="s">
        <v>82</v>
      </c>
      <c r="G401" s="21" t="n">
        <v>189.68</v>
      </c>
      <c r="H401" s="19" t="n">
        <v>40.8</v>
      </c>
      <c r="I401" s="21" t="n">
        <v>112.29</v>
      </c>
      <c r="J401" s="22" t="s">
        <v>593</v>
      </c>
      <c r="K401" s="11" t="n">
        <v>27</v>
      </c>
      <c r="L401" s="23" t="n">
        <v>1.8</v>
      </c>
      <c r="M401" s="24" t="b">
        <f aca="false">TRUE()</f>
        <v>1</v>
      </c>
      <c r="N401" s="11" t="s">
        <v>134</v>
      </c>
      <c r="O401" s="11" t="str">
        <f aca="false">IF(K401&lt;=StockP33,"Low",IF(K401&lt;=StockP67,"Moderate","High"))</f>
        <v>Moderate</v>
      </c>
      <c r="P401" s="11" t="str">
        <f aca="false">IF(H401=0,"Low",IF(H401&lt;=MarkdownP75,"Moderate","High"))</f>
        <v>High</v>
      </c>
      <c r="Q401" s="11" t="str">
        <f aca="false">IF(ISBLANK(L401),"Unknown",IF(L401&gt;=4,"Good",IF(L401&lt;=2,"Poor","Neutral")))</f>
        <v>Poor</v>
      </c>
      <c r="R401" s="11" t="str">
        <f aca="false">IF(AND(O401="Low",P401="Low",Q401="Good"),"BUY / PRIORITIZE",IF(AND(O401="High",P401="High",OR(Q401="Poor",M401=TRUE())),"HOLD / REVIEW","MONITOR"))</f>
        <v>MONITOR</v>
      </c>
      <c r="S401" s="11" t="n">
        <f aca="false">K401+(ROW()/10000000)</f>
        <v>27.0000401</v>
      </c>
    </row>
    <row r="402" customFormat="false" ht="15" hidden="false" customHeight="false" outlineLevel="0" collapsed="false">
      <c r="A402" s="11" t="s">
        <v>594</v>
      </c>
      <c r="B402" s="11" t="s">
        <v>27</v>
      </c>
      <c r="C402" s="11" t="s">
        <v>107</v>
      </c>
      <c r="D402" s="11" t="s">
        <v>36</v>
      </c>
      <c r="E402" s="11" t="s">
        <v>73</v>
      </c>
      <c r="F402" s="11" t="s">
        <v>79</v>
      </c>
      <c r="G402" s="21" t="n">
        <v>150.89</v>
      </c>
      <c r="H402" s="19" t="n">
        <v>46.8</v>
      </c>
      <c r="I402" s="21" t="n">
        <v>80.27</v>
      </c>
      <c r="J402" s="22" t="s">
        <v>80</v>
      </c>
      <c r="K402" s="11" t="n">
        <v>18</v>
      </c>
      <c r="L402" s="23" t="n">
        <v>4.9</v>
      </c>
      <c r="M402" s="24" t="b">
        <f aca="false">FALSE()</f>
        <v>0</v>
      </c>
      <c r="N402" s="11"/>
      <c r="O402" s="11" t="str">
        <f aca="false">IF(K402&lt;=StockP33,"Low",IF(K402&lt;=StockP67,"Moderate","High"))</f>
        <v>Moderate</v>
      </c>
      <c r="P402" s="11" t="str">
        <f aca="false">IF(H402=0,"Low",IF(H402&lt;=MarkdownP75,"Moderate","High"))</f>
        <v>High</v>
      </c>
      <c r="Q402" s="11" t="str">
        <f aca="false">IF(ISBLANK(L402),"Unknown",IF(L402&gt;=4,"Good",IF(L402&lt;=2,"Poor","Neutral")))</f>
        <v>Good</v>
      </c>
      <c r="R402" s="11" t="str">
        <f aca="false">IF(AND(O402="Low",P402="Low",Q402="Good"),"BUY / PRIORITIZE",IF(AND(O402="High",P402="High",OR(Q402="Poor",M402=TRUE())),"HOLD / REVIEW","MONITOR"))</f>
        <v>MONITOR</v>
      </c>
      <c r="S402" s="11" t="n">
        <f aca="false">K402+(ROW()/10000000)</f>
        <v>18.0000402</v>
      </c>
    </row>
    <row r="403" customFormat="false" ht="15" hidden="false" customHeight="false" outlineLevel="0" collapsed="false">
      <c r="A403" s="11" t="s">
        <v>595</v>
      </c>
      <c r="B403" s="11" t="s">
        <v>8</v>
      </c>
      <c r="C403" s="11" t="s">
        <v>116</v>
      </c>
      <c r="D403" s="11" t="s">
        <v>36</v>
      </c>
      <c r="E403" s="11"/>
      <c r="F403" s="11" t="s">
        <v>118</v>
      </c>
      <c r="G403" s="21" t="n">
        <v>42.66</v>
      </c>
      <c r="H403" s="19" t="n">
        <v>21.5</v>
      </c>
      <c r="I403" s="21" t="n">
        <v>33.49</v>
      </c>
      <c r="J403" s="22" t="s">
        <v>80</v>
      </c>
      <c r="K403" s="11" t="n">
        <v>16</v>
      </c>
      <c r="L403" s="23"/>
      <c r="M403" s="24" t="b">
        <f aca="false">FALSE()</f>
        <v>0</v>
      </c>
      <c r="N403" s="11"/>
      <c r="O403" s="11" t="str">
        <f aca="false">IF(K403&lt;=StockP33,"Low",IF(K403&lt;=StockP67,"Moderate","High"))</f>
        <v>Low</v>
      </c>
      <c r="P403" s="11" t="str">
        <f aca="false">IF(H403=0,"Low",IF(H403&lt;=MarkdownP75,"Moderate","High"))</f>
        <v>Moderate</v>
      </c>
      <c r="Q403" s="11" t="str">
        <f aca="false">IF(ISBLANK(L403),"Unknown",IF(L403&gt;=4,"Good",IF(L403&lt;=2,"Poor","Neutral")))</f>
        <v>Unknown</v>
      </c>
      <c r="R403" s="11" t="str">
        <f aca="false">IF(AND(O403="Low",P403="Low",Q403="Good"),"BUY / PRIORITIZE",IF(AND(O403="High",P403="High",OR(Q403="Poor",M403=TRUE())),"HOLD / REVIEW","MONITOR"))</f>
        <v>MONITOR</v>
      </c>
      <c r="S403" s="11" t="n">
        <f aca="false">K403+(ROW()/10000000)</f>
        <v>16.0000403</v>
      </c>
    </row>
    <row r="404" customFormat="false" ht="15" hidden="false" customHeight="false" outlineLevel="0" collapsed="false">
      <c r="A404" s="11" t="s">
        <v>596</v>
      </c>
      <c r="B404" s="11" t="s">
        <v>8</v>
      </c>
      <c r="C404" s="11" t="s">
        <v>77</v>
      </c>
      <c r="D404" s="11" t="s">
        <v>36</v>
      </c>
      <c r="E404" s="11"/>
      <c r="F404" s="11" t="s">
        <v>74</v>
      </c>
      <c r="G404" s="21" t="n">
        <v>62.05</v>
      </c>
      <c r="H404" s="19" t="n">
        <v>0</v>
      </c>
      <c r="I404" s="21" t="n">
        <v>62.05</v>
      </c>
      <c r="J404" s="22" t="s">
        <v>80</v>
      </c>
      <c r="K404" s="11" t="n">
        <v>50</v>
      </c>
      <c r="L404" s="23" t="n">
        <v>1.4</v>
      </c>
      <c r="M404" s="24" t="b">
        <f aca="false">TRUE()</f>
        <v>1</v>
      </c>
      <c r="N404" s="11" t="s">
        <v>178</v>
      </c>
      <c r="O404" s="11" t="str">
        <f aca="false">IF(K404&lt;=StockP33,"Low",IF(K404&lt;=StockP67,"Moderate","High"))</f>
        <v>High</v>
      </c>
      <c r="P404" s="11" t="str">
        <f aca="false">IF(H404=0,"Low",IF(H404&lt;=MarkdownP75,"Moderate","High"))</f>
        <v>Low</v>
      </c>
      <c r="Q404" s="11" t="str">
        <f aca="false">IF(ISBLANK(L404),"Unknown",IF(L404&gt;=4,"Good",IF(L404&lt;=2,"Poor","Neutral")))</f>
        <v>Poor</v>
      </c>
      <c r="R404" s="11" t="str">
        <f aca="false">IF(AND(O404="Low",P404="Low",Q404="Good"),"BUY / PRIORITIZE",IF(AND(O404="High",P404="High",OR(Q404="Poor",M404=TRUE())),"HOLD / REVIEW","MONITOR"))</f>
        <v>MONITOR</v>
      </c>
      <c r="S404" s="11" t="n">
        <f aca="false">K404+(ROW()/10000000)</f>
        <v>50.0000404</v>
      </c>
    </row>
    <row r="405" customFormat="false" ht="15" hidden="false" customHeight="false" outlineLevel="0" collapsed="false">
      <c r="A405" s="11" t="s">
        <v>597</v>
      </c>
      <c r="B405" s="11" t="s">
        <v>8</v>
      </c>
      <c r="C405" s="11" t="s">
        <v>86</v>
      </c>
      <c r="D405" s="11" t="s">
        <v>37</v>
      </c>
      <c r="E405" s="11"/>
      <c r="F405" s="11" t="s">
        <v>98</v>
      </c>
      <c r="G405" s="21" t="n">
        <v>74.32</v>
      </c>
      <c r="H405" s="19" t="n">
        <v>0</v>
      </c>
      <c r="I405" s="21" t="n">
        <v>74.32</v>
      </c>
      <c r="J405" s="22" t="s">
        <v>80</v>
      </c>
      <c r="K405" s="11" t="n">
        <v>4</v>
      </c>
      <c r="L405" s="23" t="n">
        <v>2.2</v>
      </c>
      <c r="M405" s="24" t="b">
        <f aca="false">FALSE()</f>
        <v>0</v>
      </c>
      <c r="N405" s="11"/>
      <c r="O405" s="11" t="str">
        <f aca="false">IF(K405&lt;=StockP33,"Low",IF(K405&lt;=StockP67,"Moderate","High"))</f>
        <v>Low</v>
      </c>
      <c r="P405" s="11" t="str">
        <f aca="false">IF(H405=0,"Low",IF(H405&lt;=MarkdownP75,"Moderate","High"))</f>
        <v>Low</v>
      </c>
      <c r="Q405" s="11" t="str">
        <f aca="false">IF(ISBLANK(L405),"Unknown",IF(L405&gt;=4,"Good",IF(L405&lt;=2,"Poor","Neutral")))</f>
        <v>Neutral</v>
      </c>
      <c r="R405" s="11" t="str">
        <f aca="false">IF(AND(O405="Low",P405="Low",Q405="Good"),"BUY / PRIORITIZE",IF(AND(O405="High",P405="High",OR(Q405="Poor",M405=TRUE())),"HOLD / REVIEW","MONITOR"))</f>
        <v>MONITOR</v>
      </c>
      <c r="S405" s="11" t="n">
        <f aca="false">K405+(ROW()/10000000)</f>
        <v>4.0000405</v>
      </c>
    </row>
    <row r="406" customFormat="false" ht="15" hidden="false" customHeight="false" outlineLevel="0" collapsed="false">
      <c r="A406" s="11" t="s">
        <v>598</v>
      </c>
      <c r="B406" s="11" t="s">
        <v>28</v>
      </c>
      <c r="C406" s="11" t="s">
        <v>77</v>
      </c>
      <c r="D406" s="11" t="s">
        <v>37</v>
      </c>
      <c r="E406" s="11" t="s">
        <v>110</v>
      </c>
      <c r="F406" s="11" t="s">
        <v>118</v>
      </c>
      <c r="G406" s="21" t="n">
        <v>217.34</v>
      </c>
      <c r="H406" s="19" t="n">
        <v>0</v>
      </c>
      <c r="I406" s="21" t="n">
        <v>217.34</v>
      </c>
      <c r="J406" s="22" t="s">
        <v>80</v>
      </c>
      <c r="K406" s="11" t="n">
        <v>4</v>
      </c>
      <c r="L406" s="23" t="n">
        <v>4.2</v>
      </c>
      <c r="M406" s="24" t="b">
        <f aca="false">FALSE()</f>
        <v>0</v>
      </c>
      <c r="N406" s="11"/>
      <c r="O406" s="11" t="str">
        <f aca="false">IF(K406&lt;=StockP33,"Low",IF(K406&lt;=StockP67,"Moderate","High"))</f>
        <v>Low</v>
      </c>
      <c r="P406" s="11" t="str">
        <f aca="false">IF(H406=0,"Low",IF(H406&lt;=MarkdownP75,"Moderate","High"))</f>
        <v>Low</v>
      </c>
      <c r="Q406" s="11" t="str">
        <f aca="false">IF(ISBLANK(L406),"Unknown",IF(L406&gt;=4,"Good",IF(L406&lt;=2,"Poor","Neutral")))</f>
        <v>Good</v>
      </c>
      <c r="R406" s="11" t="str">
        <f aca="false">IF(AND(O406="Low",P406="Low",Q406="Good"),"BUY / PRIORITIZE",IF(AND(O406="High",P406="High",OR(Q406="Poor",M406=TRUE())),"HOLD / REVIEW","MONITOR"))</f>
        <v>BUY / PRIORITIZE</v>
      </c>
      <c r="S406" s="11" t="n">
        <f aca="false">K406+(ROW()/10000000)</f>
        <v>4.0000406</v>
      </c>
    </row>
    <row r="407" customFormat="false" ht="15" hidden="false" customHeight="false" outlineLevel="0" collapsed="false">
      <c r="A407" s="11" t="s">
        <v>599</v>
      </c>
      <c r="B407" s="11" t="s">
        <v>30</v>
      </c>
      <c r="C407" s="11" t="s">
        <v>72</v>
      </c>
      <c r="D407" s="11" t="s">
        <v>35</v>
      </c>
      <c r="E407" s="11" t="s">
        <v>73</v>
      </c>
      <c r="F407" s="11" t="s">
        <v>88</v>
      </c>
      <c r="G407" s="21" t="n">
        <v>111.14</v>
      </c>
      <c r="H407" s="19" t="n">
        <v>56.7</v>
      </c>
      <c r="I407" s="21" t="n">
        <v>48.12</v>
      </c>
      <c r="J407" s="22" t="s">
        <v>80</v>
      </c>
      <c r="K407" s="11" t="n">
        <v>29</v>
      </c>
      <c r="L407" s="23" t="n">
        <v>1.5</v>
      </c>
      <c r="M407" s="24" t="b">
        <f aca="false">FALSE()</f>
        <v>0</v>
      </c>
      <c r="N407" s="11"/>
      <c r="O407" s="11" t="str">
        <f aca="false">IF(K407&lt;=StockP33,"Low",IF(K407&lt;=StockP67,"Moderate","High"))</f>
        <v>Moderate</v>
      </c>
      <c r="P407" s="11" t="str">
        <f aca="false">IF(H407=0,"Low",IF(H407&lt;=MarkdownP75,"Moderate","High"))</f>
        <v>High</v>
      </c>
      <c r="Q407" s="11" t="str">
        <f aca="false">IF(ISBLANK(L407),"Unknown",IF(L407&gt;=4,"Good",IF(L407&lt;=2,"Poor","Neutral")))</f>
        <v>Poor</v>
      </c>
      <c r="R407" s="11" t="str">
        <f aca="false">IF(AND(O407="Low",P407="Low",Q407="Good"),"BUY / PRIORITIZE",IF(AND(O407="High",P407="High",OR(Q407="Poor",M407=TRUE())),"HOLD / REVIEW","MONITOR"))</f>
        <v>MONITOR</v>
      </c>
      <c r="S407" s="11" t="n">
        <f aca="false">K407+(ROW()/10000000)</f>
        <v>29.0000407</v>
      </c>
    </row>
    <row r="408" customFormat="false" ht="15" hidden="false" customHeight="false" outlineLevel="0" collapsed="false">
      <c r="A408" s="11" t="s">
        <v>600</v>
      </c>
      <c r="B408" s="11" t="s">
        <v>29</v>
      </c>
      <c r="C408" s="11" t="s">
        <v>101</v>
      </c>
      <c r="D408" s="11" t="s">
        <v>37</v>
      </c>
      <c r="E408" s="11" t="s">
        <v>73</v>
      </c>
      <c r="F408" s="11" t="s">
        <v>118</v>
      </c>
      <c r="G408" s="21" t="n">
        <v>62.5</v>
      </c>
      <c r="H408" s="19" t="n">
        <v>0</v>
      </c>
      <c r="I408" s="21" t="n">
        <v>62.5</v>
      </c>
      <c r="J408" s="22" t="s">
        <v>80</v>
      </c>
      <c r="K408" s="11" t="n">
        <v>0</v>
      </c>
      <c r="L408" s="23" t="n">
        <v>1.9</v>
      </c>
      <c r="M408" s="24" t="b">
        <f aca="false">TRUE()</f>
        <v>1</v>
      </c>
      <c r="N408" s="11" t="s">
        <v>178</v>
      </c>
      <c r="O408" s="11" t="str">
        <f aca="false">IF(K408&lt;=StockP33,"Low",IF(K408&lt;=StockP67,"Moderate","High"))</f>
        <v>Low</v>
      </c>
      <c r="P408" s="11" t="str">
        <f aca="false">IF(H408=0,"Low",IF(H408&lt;=MarkdownP75,"Moderate","High"))</f>
        <v>Low</v>
      </c>
      <c r="Q408" s="11" t="str">
        <f aca="false">IF(ISBLANK(L408),"Unknown",IF(L408&gt;=4,"Good",IF(L408&lt;=2,"Poor","Neutral")))</f>
        <v>Poor</v>
      </c>
      <c r="R408" s="11" t="str">
        <f aca="false">IF(AND(O408="Low",P408="Low",Q408="Good"),"BUY / PRIORITIZE",IF(AND(O408="High",P408="High",OR(Q408="Poor",M408=TRUE())),"HOLD / REVIEW","MONITOR"))</f>
        <v>MONITOR</v>
      </c>
      <c r="S408" s="11" t="n">
        <f aca="false">K408+(ROW()/10000000)</f>
        <v>4.08E-005</v>
      </c>
    </row>
    <row r="409" customFormat="false" ht="15" hidden="false" customHeight="false" outlineLevel="0" collapsed="false">
      <c r="A409" s="11" t="s">
        <v>601</v>
      </c>
      <c r="B409" s="11" t="s">
        <v>28</v>
      </c>
      <c r="C409" s="11" t="s">
        <v>86</v>
      </c>
      <c r="D409" s="11" t="s">
        <v>37</v>
      </c>
      <c r="E409" s="11" t="s">
        <v>110</v>
      </c>
      <c r="F409" s="11" t="s">
        <v>96</v>
      </c>
      <c r="G409" s="21" t="n">
        <v>165.88</v>
      </c>
      <c r="H409" s="19" t="n">
        <v>3.4</v>
      </c>
      <c r="I409" s="21" t="n">
        <v>160.24</v>
      </c>
      <c r="J409" s="22" t="s">
        <v>80</v>
      </c>
      <c r="K409" s="11" t="n">
        <v>42</v>
      </c>
      <c r="L409" s="23" t="n">
        <v>2.4</v>
      </c>
      <c r="M409" s="24" t="b">
        <f aca="false">FALSE()</f>
        <v>0</v>
      </c>
      <c r="N409" s="11"/>
      <c r="O409" s="11" t="str">
        <f aca="false">IF(K409&lt;=StockP33,"Low",IF(K409&lt;=StockP67,"Moderate","High"))</f>
        <v>High</v>
      </c>
      <c r="P409" s="11" t="str">
        <f aca="false">IF(H409=0,"Low",IF(H409&lt;=MarkdownP75,"Moderate","High"))</f>
        <v>Moderate</v>
      </c>
      <c r="Q409" s="11" t="str">
        <f aca="false">IF(ISBLANK(L409),"Unknown",IF(L409&gt;=4,"Good",IF(L409&lt;=2,"Poor","Neutral")))</f>
        <v>Neutral</v>
      </c>
      <c r="R409" s="11" t="str">
        <f aca="false">IF(AND(O409="Low",P409="Low",Q409="Good"),"BUY / PRIORITIZE",IF(AND(O409="High",P409="High",OR(Q409="Poor",M409=TRUE())),"HOLD / REVIEW","MONITOR"))</f>
        <v>MONITOR</v>
      </c>
      <c r="S409" s="11" t="n">
        <f aca="false">K409+(ROW()/10000000)</f>
        <v>42.0000409</v>
      </c>
    </row>
    <row r="410" customFormat="false" ht="15" hidden="false" customHeight="false" outlineLevel="0" collapsed="false">
      <c r="A410" s="11" t="s">
        <v>602</v>
      </c>
      <c r="B410" s="11" t="s">
        <v>28</v>
      </c>
      <c r="C410" s="11" t="s">
        <v>116</v>
      </c>
      <c r="D410" s="11" t="s">
        <v>36</v>
      </c>
      <c r="E410" s="11" t="s">
        <v>110</v>
      </c>
      <c r="F410" s="11" t="s">
        <v>124</v>
      </c>
      <c r="G410" s="21" t="n">
        <v>179.8</v>
      </c>
      <c r="H410" s="19" t="n">
        <v>0</v>
      </c>
      <c r="I410" s="21" t="n">
        <v>179.8</v>
      </c>
      <c r="J410" s="22" t="s">
        <v>80</v>
      </c>
      <c r="K410" s="11" t="n">
        <v>25</v>
      </c>
      <c r="L410" s="23" t="n">
        <v>1.7</v>
      </c>
      <c r="M410" s="24" t="b">
        <f aca="false">FALSE()</f>
        <v>0</v>
      </c>
      <c r="N410" s="11"/>
      <c r="O410" s="11" t="str">
        <f aca="false">IF(K410&lt;=StockP33,"Low",IF(K410&lt;=StockP67,"Moderate","High"))</f>
        <v>Moderate</v>
      </c>
      <c r="P410" s="11" t="str">
        <f aca="false">IF(H410=0,"Low",IF(H410&lt;=MarkdownP75,"Moderate","High"))</f>
        <v>Low</v>
      </c>
      <c r="Q410" s="11" t="str">
        <f aca="false">IF(ISBLANK(L410),"Unknown",IF(L410&gt;=4,"Good",IF(L410&lt;=2,"Poor","Neutral")))</f>
        <v>Poor</v>
      </c>
      <c r="R410" s="11" t="str">
        <f aca="false">IF(AND(O410="Low",P410="Low",Q410="Good"),"BUY / PRIORITIZE",IF(AND(O410="High",P410="High",OR(Q410="Poor",M410=TRUE())),"HOLD / REVIEW","MONITOR"))</f>
        <v>MONITOR</v>
      </c>
      <c r="S410" s="11" t="n">
        <f aca="false">K410+(ROW()/10000000)</f>
        <v>25.000041</v>
      </c>
    </row>
    <row r="411" customFormat="false" ht="15" hidden="false" customHeight="false" outlineLevel="0" collapsed="false">
      <c r="A411" s="11" t="s">
        <v>603</v>
      </c>
      <c r="B411" s="11" t="s">
        <v>8</v>
      </c>
      <c r="C411" s="11" t="s">
        <v>72</v>
      </c>
      <c r="D411" s="11" t="s">
        <v>35</v>
      </c>
      <c r="E411" s="11"/>
      <c r="F411" s="11" t="s">
        <v>111</v>
      </c>
      <c r="G411" s="21" t="n">
        <v>34.15</v>
      </c>
      <c r="H411" s="19" t="n">
        <v>0</v>
      </c>
      <c r="I411" s="21" t="n">
        <v>34.15</v>
      </c>
      <c r="J411" s="22" t="s">
        <v>80</v>
      </c>
      <c r="K411" s="11" t="n">
        <v>27</v>
      </c>
      <c r="L411" s="23" t="n">
        <v>4.1</v>
      </c>
      <c r="M411" s="24" t="b">
        <f aca="false">FALSE()</f>
        <v>0</v>
      </c>
      <c r="N411" s="11"/>
      <c r="O411" s="11" t="str">
        <f aca="false">IF(K411&lt;=StockP33,"Low",IF(K411&lt;=StockP67,"Moderate","High"))</f>
        <v>Moderate</v>
      </c>
      <c r="P411" s="11" t="str">
        <f aca="false">IF(H411=0,"Low",IF(H411&lt;=MarkdownP75,"Moderate","High"))</f>
        <v>Low</v>
      </c>
      <c r="Q411" s="11" t="str">
        <f aca="false">IF(ISBLANK(L411),"Unknown",IF(L411&gt;=4,"Good",IF(L411&lt;=2,"Poor","Neutral")))</f>
        <v>Good</v>
      </c>
      <c r="R411" s="11" t="str">
        <f aca="false">IF(AND(O411="Low",P411="Low",Q411="Good"),"BUY / PRIORITIZE",IF(AND(O411="High",P411="High",OR(Q411="Poor",M411=TRUE())),"HOLD / REVIEW","MONITOR"))</f>
        <v>MONITOR</v>
      </c>
      <c r="S411" s="11" t="n">
        <f aca="false">K411+(ROW()/10000000)</f>
        <v>27.0000411</v>
      </c>
    </row>
    <row r="412" customFormat="false" ht="15" hidden="false" customHeight="false" outlineLevel="0" collapsed="false">
      <c r="A412" s="11" t="s">
        <v>604</v>
      </c>
      <c r="B412" s="11" t="s">
        <v>30</v>
      </c>
      <c r="C412" s="11" t="s">
        <v>116</v>
      </c>
      <c r="D412" s="11" t="s">
        <v>34</v>
      </c>
      <c r="E412" s="11" t="s">
        <v>110</v>
      </c>
      <c r="F412" s="11" t="s">
        <v>98</v>
      </c>
      <c r="G412" s="21" t="n">
        <v>101.88</v>
      </c>
      <c r="H412" s="19" t="n">
        <v>0</v>
      </c>
      <c r="I412" s="21" t="n">
        <v>101.88</v>
      </c>
      <c r="J412" s="22" t="s">
        <v>605</v>
      </c>
      <c r="K412" s="11" t="n">
        <v>46</v>
      </c>
      <c r="L412" s="23"/>
      <c r="M412" s="24" t="b">
        <f aca="false">TRUE()</f>
        <v>1</v>
      </c>
      <c r="N412" s="11" t="s">
        <v>128</v>
      </c>
      <c r="O412" s="11" t="str">
        <f aca="false">IF(K412&lt;=StockP33,"Low",IF(K412&lt;=StockP67,"Moderate","High"))</f>
        <v>High</v>
      </c>
      <c r="P412" s="11" t="str">
        <f aca="false">IF(H412=0,"Low",IF(H412&lt;=MarkdownP75,"Moderate","High"))</f>
        <v>Low</v>
      </c>
      <c r="Q412" s="11" t="str">
        <f aca="false">IF(ISBLANK(L412),"Unknown",IF(L412&gt;=4,"Good",IF(L412&lt;=2,"Poor","Neutral")))</f>
        <v>Unknown</v>
      </c>
      <c r="R412" s="11" t="str">
        <f aca="false">IF(AND(O412="Low",P412="Low",Q412="Good"),"BUY / PRIORITIZE",IF(AND(O412="High",P412="High",OR(Q412="Poor",M412=TRUE())),"HOLD / REVIEW","MONITOR"))</f>
        <v>MONITOR</v>
      </c>
      <c r="S412" s="11" t="n">
        <f aca="false">K412+(ROW()/10000000)</f>
        <v>46.0000412</v>
      </c>
    </row>
    <row r="413" customFormat="false" ht="15" hidden="false" customHeight="false" outlineLevel="0" collapsed="false">
      <c r="A413" s="11" t="s">
        <v>606</v>
      </c>
      <c r="B413" s="11" t="s">
        <v>29</v>
      </c>
      <c r="C413" s="11" t="s">
        <v>86</v>
      </c>
      <c r="D413" s="11" t="s">
        <v>35</v>
      </c>
      <c r="E413" s="11" t="s">
        <v>73</v>
      </c>
      <c r="F413" s="11" t="s">
        <v>96</v>
      </c>
      <c r="G413" s="21" t="n">
        <v>187.58</v>
      </c>
      <c r="H413" s="19" t="n">
        <v>0</v>
      </c>
      <c r="I413" s="21" t="n">
        <v>187.58</v>
      </c>
      <c r="J413" s="22" t="s">
        <v>80</v>
      </c>
      <c r="K413" s="11" t="n">
        <v>46</v>
      </c>
      <c r="L413" s="23" t="n">
        <v>2.9</v>
      </c>
      <c r="M413" s="24" t="b">
        <f aca="false">FALSE()</f>
        <v>0</v>
      </c>
      <c r="N413" s="11"/>
      <c r="O413" s="11" t="str">
        <f aca="false">IF(K413&lt;=StockP33,"Low",IF(K413&lt;=StockP67,"Moderate","High"))</f>
        <v>High</v>
      </c>
      <c r="P413" s="11" t="str">
        <f aca="false">IF(H413=0,"Low",IF(H413&lt;=MarkdownP75,"Moderate","High"))</f>
        <v>Low</v>
      </c>
      <c r="Q413" s="11" t="str">
        <f aca="false">IF(ISBLANK(L413),"Unknown",IF(L413&gt;=4,"Good",IF(L413&lt;=2,"Poor","Neutral")))</f>
        <v>Neutral</v>
      </c>
      <c r="R413" s="11" t="str">
        <f aca="false">IF(AND(O413="Low",P413="Low",Q413="Good"),"BUY / PRIORITIZE",IF(AND(O413="High",P413="High",OR(Q413="Poor",M413=TRUE())),"HOLD / REVIEW","MONITOR"))</f>
        <v>MONITOR</v>
      </c>
      <c r="S413" s="11" t="n">
        <f aca="false">K413+(ROW()/10000000)</f>
        <v>46.0000413</v>
      </c>
    </row>
    <row r="414" customFormat="false" ht="15" hidden="false" customHeight="false" outlineLevel="0" collapsed="false">
      <c r="A414" s="11" t="s">
        <v>607</v>
      </c>
      <c r="B414" s="11" t="s">
        <v>28</v>
      </c>
      <c r="C414" s="11" t="s">
        <v>107</v>
      </c>
      <c r="D414" s="11" t="s">
        <v>36</v>
      </c>
      <c r="E414" s="11" t="s">
        <v>78</v>
      </c>
      <c r="F414" s="11" t="s">
        <v>79</v>
      </c>
      <c r="G414" s="21" t="n">
        <v>145.02</v>
      </c>
      <c r="H414" s="19" t="n">
        <v>0</v>
      </c>
      <c r="I414" s="21" t="n">
        <v>145.02</v>
      </c>
      <c r="J414" s="22" t="s">
        <v>80</v>
      </c>
      <c r="K414" s="11" t="n">
        <v>36</v>
      </c>
      <c r="L414" s="23" t="n">
        <v>2.6</v>
      </c>
      <c r="M414" s="24" t="b">
        <f aca="false">FALSE()</f>
        <v>0</v>
      </c>
      <c r="N414" s="11"/>
      <c r="O414" s="11" t="str">
        <f aca="false">IF(K414&lt;=StockP33,"Low",IF(K414&lt;=StockP67,"Moderate","High"))</f>
        <v>High</v>
      </c>
      <c r="P414" s="11" t="str">
        <f aca="false">IF(H414=0,"Low",IF(H414&lt;=MarkdownP75,"Moderate","High"))</f>
        <v>Low</v>
      </c>
      <c r="Q414" s="11" t="str">
        <f aca="false">IF(ISBLANK(L414),"Unknown",IF(L414&gt;=4,"Good",IF(L414&lt;=2,"Poor","Neutral")))</f>
        <v>Neutral</v>
      </c>
      <c r="R414" s="11" t="str">
        <f aca="false">IF(AND(O414="Low",P414="Low",Q414="Good"),"BUY / PRIORITIZE",IF(AND(O414="High",P414="High",OR(Q414="Poor",M414=TRUE())),"HOLD / REVIEW","MONITOR"))</f>
        <v>MONITOR</v>
      </c>
      <c r="S414" s="11" t="n">
        <f aca="false">K414+(ROW()/10000000)</f>
        <v>36.0000414</v>
      </c>
    </row>
    <row r="415" customFormat="false" ht="15" hidden="false" customHeight="false" outlineLevel="0" collapsed="false">
      <c r="A415" s="11" t="s">
        <v>608</v>
      </c>
      <c r="B415" s="11" t="s">
        <v>26</v>
      </c>
      <c r="C415" s="11" t="s">
        <v>116</v>
      </c>
      <c r="D415" s="11" t="s">
        <v>35</v>
      </c>
      <c r="E415" s="11" t="s">
        <v>110</v>
      </c>
      <c r="F415" s="11" t="s">
        <v>96</v>
      </c>
      <c r="G415" s="21" t="n">
        <v>101.61</v>
      </c>
      <c r="H415" s="19" t="n">
        <v>26.9</v>
      </c>
      <c r="I415" s="21" t="n">
        <v>74.28</v>
      </c>
      <c r="J415" s="22" t="s">
        <v>80</v>
      </c>
      <c r="K415" s="11" t="n">
        <v>38</v>
      </c>
      <c r="L415" s="23" t="n">
        <v>3.4</v>
      </c>
      <c r="M415" s="24" t="b">
        <f aca="false">TRUE()</f>
        <v>1</v>
      </c>
      <c r="N415" s="11" t="s">
        <v>134</v>
      </c>
      <c r="O415" s="11" t="str">
        <f aca="false">IF(K415&lt;=StockP33,"Low",IF(K415&lt;=StockP67,"Moderate","High"))</f>
        <v>High</v>
      </c>
      <c r="P415" s="11" t="str">
        <f aca="false">IF(H415=0,"Low",IF(H415&lt;=MarkdownP75,"Moderate","High"))</f>
        <v>High</v>
      </c>
      <c r="Q415" s="11" t="str">
        <f aca="false">IF(ISBLANK(L415),"Unknown",IF(L415&gt;=4,"Good",IF(L415&lt;=2,"Poor","Neutral")))</f>
        <v>Neutral</v>
      </c>
      <c r="R415" s="11" t="str">
        <f aca="false">IF(AND(O415="Low",P415="Low",Q415="Good"),"BUY / PRIORITIZE",IF(AND(O415="High",P415="High",OR(Q415="Poor",M415=TRUE())),"HOLD / REVIEW","MONITOR"))</f>
        <v>HOLD / REVIEW</v>
      </c>
      <c r="S415" s="11" t="n">
        <f aca="false">K415+(ROW()/10000000)</f>
        <v>38.0000415</v>
      </c>
    </row>
    <row r="416" customFormat="false" ht="15" hidden="false" customHeight="false" outlineLevel="0" collapsed="false">
      <c r="A416" s="11" t="s">
        <v>609</v>
      </c>
      <c r="B416" s="11" t="s">
        <v>27</v>
      </c>
      <c r="C416" s="11" t="s">
        <v>101</v>
      </c>
      <c r="D416" s="11" t="s">
        <v>36</v>
      </c>
      <c r="E416" s="11" t="s">
        <v>102</v>
      </c>
      <c r="F416" s="11" t="s">
        <v>111</v>
      </c>
      <c r="G416" s="21" t="n">
        <v>71.14</v>
      </c>
      <c r="H416" s="19" t="n">
        <v>0</v>
      </c>
      <c r="I416" s="21" t="n">
        <v>71.14</v>
      </c>
      <c r="J416" s="22" t="s">
        <v>80</v>
      </c>
      <c r="K416" s="11" t="n">
        <v>33</v>
      </c>
      <c r="L416" s="23" t="n">
        <v>3.1</v>
      </c>
      <c r="M416" s="24" t="b">
        <f aca="false">FALSE()</f>
        <v>0</v>
      </c>
      <c r="N416" s="11"/>
      <c r="O416" s="11" t="str">
        <f aca="false">IF(K416&lt;=StockP33,"Low",IF(K416&lt;=StockP67,"Moderate","High"))</f>
        <v>Moderate</v>
      </c>
      <c r="P416" s="11" t="str">
        <f aca="false">IF(H416=0,"Low",IF(H416&lt;=MarkdownP75,"Moderate","High"))</f>
        <v>Low</v>
      </c>
      <c r="Q416" s="11" t="str">
        <f aca="false">IF(ISBLANK(L416),"Unknown",IF(L416&gt;=4,"Good",IF(L416&lt;=2,"Poor","Neutral")))</f>
        <v>Neutral</v>
      </c>
      <c r="R416" s="11" t="str">
        <f aca="false">IF(AND(O416="Low",P416="Low",Q416="Good"),"BUY / PRIORITIZE",IF(AND(O416="High",P416="High",OR(Q416="Poor",M416=TRUE())),"HOLD / REVIEW","MONITOR"))</f>
        <v>MONITOR</v>
      </c>
      <c r="S416" s="11" t="n">
        <f aca="false">K416+(ROW()/10000000)</f>
        <v>33.0000416</v>
      </c>
    </row>
    <row r="417" customFormat="false" ht="15" hidden="false" customHeight="false" outlineLevel="0" collapsed="false">
      <c r="A417" s="11" t="s">
        <v>610</v>
      </c>
      <c r="B417" s="11" t="s">
        <v>27</v>
      </c>
      <c r="C417" s="11" t="s">
        <v>107</v>
      </c>
      <c r="D417" s="11" t="s">
        <v>35</v>
      </c>
      <c r="E417" s="11" t="s">
        <v>113</v>
      </c>
      <c r="F417" s="11" t="s">
        <v>98</v>
      </c>
      <c r="G417" s="21" t="n">
        <v>55.21</v>
      </c>
      <c r="H417" s="19" t="n">
        <v>0</v>
      </c>
      <c r="I417" s="21" t="n">
        <v>55.21</v>
      </c>
      <c r="J417" s="22" t="s">
        <v>80</v>
      </c>
      <c r="K417" s="11" t="n">
        <v>2</v>
      </c>
      <c r="L417" s="23" t="n">
        <v>3.8</v>
      </c>
      <c r="M417" s="24" t="b">
        <f aca="false">TRUE()</f>
        <v>1</v>
      </c>
      <c r="N417" s="11" t="s">
        <v>191</v>
      </c>
      <c r="O417" s="11" t="str">
        <f aca="false">IF(K417&lt;=StockP33,"Low",IF(K417&lt;=StockP67,"Moderate","High"))</f>
        <v>Low</v>
      </c>
      <c r="P417" s="11" t="str">
        <f aca="false">IF(H417=0,"Low",IF(H417&lt;=MarkdownP75,"Moderate","High"))</f>
        <v>Low</v>
      </c>
      <c r="Q417" s="11" t="str">
        <f aca="false">IF(ISBLANK(L417),"Unknown",IF(L417&gt;=4,"Good",IF(L417&lt;=2,"Poor","Neutral")))</f>
        <v>Neutral</v>
      </c>
      <c r="R417" s="11" t="str">
        <f aca="false">IF(AND(O417="Low",P417="Low",Q417="Good"),"BUY / PRIORITIZE",IF(AND(O417="High",P417="High",OR(Q417="Poor",M417=TRUE())),"HOLD / REVIEW","MONITOR"))</f>
        <v>MONITOR</v>
      </c>
      <c r="S417" s="11" t="n">
        <f aca="false">K417+(ROW()/10000000)</f>
        <v>2.0000417</v>
      </c>
    </row>
    <row r="418" customFormat="false" ht="15" hidden="false" customHeight="false" outlineLevel="0" collapsed="false">
      <c r="A418" s="11" t="s">
        <v>611</v>
      </c>
      <c r="B418" s="11" t="s">
        <v>30</v>
      </c>
      <c r="C418" s="11" t="s">
        <v>72</v>
      </c>
      <c r="D418" s="11" t="s">
        <v>35</v>
      </c>
      <c r="E418" s="11" t="s">
        <v>102</v>
      </c>
      <c r="F418" s="11" t="s">
        <v>82</v>
      </c>
      <c r="G418" s="21" t="n">
        <v>94.96</v>
      </c>
      <c r="H418" s="19" t="n">
        <v>35.4</v>
      </c>
      <c r="I418" s="21" t="n">
        <v>61.34</v>
      </c>
      <c r="J418" s="22" t="s">
        <v>80</v>
      </c>
      <c r="K418" s="11" t="n">
        <v>34</v>
      </c>
      <c r="L418" s="23" t="n">
        <v>3.9</v>
      </c>
      <c r="M418" s="24" t="b">
        <f aca="false">FALSE()</f>
        <v>0</v>
      </c>
      <c r="N418" s="11"/>
      <c r="O418" s="11" t="str">
        <f aca="false">IF(K418&lt;=StockP33,"Low",IF(K418&lt;=StockP67,"Moderate","High"))</f>
        <v>High</v>
      </c>
      <c r="P418" s="11" t="str">
        <f aca="false">IF(H418=0,"Low",IF(H418&lt;=MarkdownP75,"Moderate","High"))</f>
        <v>High</v>
      </c>
      <c r="Q418" s="11" t="str">
        <f aca="false">IF(ISBLANK(L418),"Unknown",IF(L418&gt;=4,"Good",IF(L418&lt;=2,"Poor","Neutral")))</f>
        <v>Neutral</v>
      </c>
      <c r="R418" s="11" t="str">
        <f aca="false">IF(AND(O418="Low",P418="Low",Q418="Good"),"BUY / PRIORITIZE",IF(AND(O418="High",P418="High",OR(Q418="Poor",M418=TRUE())),"HOLD / REVIEW","MONITOR"))</f>
        <v>MONITOR</v>
      </c>
      <c r="S418" s="11" t="n">
        <f aca="false">K418+(ROW()/10000000)</f>
        <v>34.0000418</v>
      </c>
    </row>
    <row r="419" customFormat="false" ht="15" hidden="false" customHeight="false" outlineLevel="0" collapsed="false">
      <c r="A419" s="11" t="s">
        <v>612</v>
      </c>
      <c r="B419" s="11" t="s">
        <v>29</v>
      </c>
      <c r="C419" s="11" t="s">
        <v>95</v>
      </c>
      <c r="D419" s="11" t="s">
        <v>34</v>
      </c>
      <c r="E419" s="11" t="s">
        <v>113</v>
      </c>
      <c r="F419" s="11" t="s">
        <v>120</v>
      </c>
      <c r="G419" s="21" t="n">
        <v>138.69</v>
      </c>
      <c r="H419" s="19" t="n">
        <v>0</v>
      </c>
      <c r="I419" s="21" t="n">
        <v>138.69</v>
      </c>
      <c r="J419" s="22" t="s">
        <v>613</v>
      </c>
      <c r="K419" s="11" t="n">
        <v>0</v>
      </c>
      <c r="L419" s="23" t="n">
        <v>2.9</v>
      </c>
      <c r="M419" s="24" t="b">
        <f aca="false">FALSE()</f>
        <v>0</v>
      </c>
      <c r="N419" s="11"/>
      <c r="O419" s="11" t="str">
        <f aca="false">IF(K419&lt;=StockP33,"Low",IF(K419&lt;=StockP67,"Moderate","High"))</f>
        <v>Low</v>
      </c>
      <c r="P419" s="11" t="str">
        <f aca="false">IF(H419=0,"Low",IF(H419&lt;=MarkdownP75,"Moderate","High"))</f>
        <v>Low</v>
      </c>
      <c r="Q419" s="11" t="str">
        <f aca="false">IF(ISBLANK(L419),"Unknown",IF(L419&gt;=4,"Good",IF(L419&lt;=2,"Poor","Neutral")))</f>
        <v>Neutral</v>
      </c>
      <c r="R419" s="11" t="str">
        <f aca="false">IF(AND(O419="Low",P419="Low",Q419="Good"),"BUY / PRIORITIZE",IF(AND(O419="High",P419="High",OR(Q419="Poor",M419=TRUE())),"HOLD / REVIEW","MONITOR"))</f>
        <v>MONITOR</v>
      </c>
      <c r="S419" s="11" t="n">
        <f aca="false">K419+(ROW()/10000000)</f>
        <v>4.19E-005</v>
      </c>
    </row>
    <row r="420" customFormat="false" ht="15" hidden="false" customHeight="false" outlineLevel="0" collapsed="false">
      <c r="A420" s="11" t="s">
        <v>614</v>
      </c>
      <c r="B420" s="11" t="s">
        <v>28</v>
      </c>
      <c r="C420" s="11" t="s">
        <v>116</v>
      </c>
      <c r="D420" s="11" t="s">
        <v>34</v>
      </c>
      <c r="E420" s="11" t="s">
        <v>102</v>
      </c>
      <c r="F420" s="11" t="s">
        <v>118</v>
      </c>
      <c r="G420" s="21" t="n">
        <v>175.7</v>
      </c>
      <c r="H420" s="19" t="n">
        <v>0</v>
      </c>
      <c r="I420" s="21" t="n">
        <v>175.7</v>
      </c>
      <c r="J420" s="22" t="s">
        <v>565</v>
      </c>
      <c r="K420" s="11" t="n">
        <v>20</v>
      </c>
      <c r="L420" s="23" t="n">
        <v>3</v>
      </c>
      <c r="M420" s="24" t="b">
        <f aca="false">FALSE()</f>
        <v>0</v>
      </c>
      <c r="N420" s="11"/>
      <c r="O420" s="11" t="str">
        <f aca="false">IF(K420&lt;=StockP33,"Low",IF(K420&lt;=StockP67,"Moderate","High"))</f>
        <v>Moderate</v>
      </c>
      <c r="P420" s="11" t="str">
        <f aca="false">IF(H420=0,"Low",IF(H420&lt;=MarkdownP75,"Moderate","High"))</f>
        <v>Low</v>
      </c>
      <c r="Q420" s="11" t="str">
        <f aca="false">IF(ISBLANK(L420),"Unknown",IF(L420&gt;=4,"Good",IF(L420&lt;=2,"Poor","Neutral")))</f>
        <v>Neutral</v>
      </c>
      <c r="R420" s="11" t="str">
        <f aca="false">IF(AND(O420="Low",P420="Low",Q420="Good"),"BUY / PRIORITIZE",IF(AND(O420="High",P420="High",OR(Q420="Poor",M420=TRUE())),"HOLD / REVIEW","MONITOR"))</f>
        <v>MONITOR</v>
      </c>
      <c r="S420" s="11" t="n">
        <f aca="false">K420+(ROW()/10000000)</f>
        <v>20.000042</v>
      </c>
    </row>
    <row r="421" customFormat="false" ht="15" hidden="false" customHeight="false" outlineLevel="0" collapsed="false">
      <c r="A421" s="11" t="s">
        <v>615</v>
      </c>
      <c r="B421" s="11" t="s">
        <v>29</v>
      </c>
      <c r="C421" s="11" t="s">
        <v>77</v>
      </c>
      <c r="D421" s="11" t="s">
        <v>35</v>
      </c>
      <c r="E421" s="11" t="s">
        <v>110</v>
      </c>
      <c r="F421" s="11" t="s">
        <v>82</v>
      </c>
      <c r="G421" s="21" t="n">
        <v>145.18</v>
      </c>
      <c r="H421" s="19" t="n">
        <v>35.7</v>
      </c>
      <c r="I421" s="21" t="n">
        <v>93.35</v>
      </c>
      <c r="J421" s="22" t="s">
        <v>80</v>
      </c>
      <c r="K421" s="11" t="n">
        <v>25</v>
      </c>
      <c r="L421" s="23" t="n">
        <v>2.2</v>
      </c>
      <c r="M421" s="24" t="b">
        <f aca="false">FALSE()</f>
        <v>0</v>
      </c>
      <c r="N421" s="11"/>
      <c r="O421" s="11" t="str">
        <f aca="false">IF(K421&lt;=StockP33,"Low",IF(K421&lt;=StockP67,"Moderate","High"))</f>
        <v>Moderate</v>
      </c>
      <c r="P421" s="11" t="str">
        <f aca="false">IF(H421=0,"Low",IF(H421&lt;=MarkdownP75,"Moderate","High"))</f>
        <v>High</v>
      </c>
      <c r="Q421" s="11" t="str">
        <f aca="false">IF(ISBLANK(L421),"Unknown",IF(L421&gt;=4,"Good",IF(L421&lt;=2,"Poor","Neutral")))</f>
        <v>Neutral</v>
      </c>
      <c r="R421" s="11" t="str">
        <f aca="false">IF(AND(O421="Low",P421="Low",Q421="Good"),"BUY / PRIORITIZE",IF(AND(O421="High",P421="High",OR(Q421="Poor",M421=TRUE())),"HOLD / REVIEW","MONITOR"))</f>
        <v>MONITOR</v>
      </c>
      <c r="S421" s="11" t="n">
        <f aca="false">K421+(ROW()/10000000)</f>
        <v>25.0000421</v>
      </c>
    </row>
    <row r="422" customFormat="false" ht="15" hidden="false" customHeight="false" outlineLevel="0" collapsed="false">
      <c r="A422" s="11" t="s">
        <v>616</v>
      </c>
      <c r="B422" s="11" t="s">
        <v>27</v>
      </c>
      <c r="C422" s="11" t="s">
        <v>95</v>
      </c>
      <c r="D422" s="11" t="s">
        <v>35</v>
      </c>
      <c r="E422" s="11" t="s">
        <v>113</v>
      </c>
      <c r="F422" s="11" t="s">
        <v>82</v>
      </c>
      <c r="G422" s="21" t="n">
        <v>169.34</v>
      </c>
      <c r="H422" s="19" t="n">
        <v>44.6</v>
      </c>
      <c r="I422" s="21" t="n">
        <v>93.81</v>
      </c>
      <c r="J422" s="22" t="s">
        <v>80</v>
      </c>
      <c r="K422" s="11" t="n">
        <v>37</v>
      </c>
      <c r="L422" s="23" t="n">
        <v>2.7</v>
      </c>
      <c r="M422" s="24" t="b">
        <f aca="false">FALSE()</f>
        <v>0</v>
      </c>
      <c r="N422" s="11"/>
      <c r="O422" s="11" t="str">
        <f aca="false">IF(K422&lt;=StockP33,"Low",IF(K422&lt;=StockP67,"Moderate","High"))</f>
        <v>High</v>
      </c>
      <c r="P422" s="11" t="str">
        <f aca="false">IF(H422=0,"Low",IF(H422&lt;=MarkdownP75,"Moderate","High"))</f>
        <v>High</v>
      </c>
      <c r="Q422" s="11" t="str">
        <f aca="false">IF(ISBLANK(L422),"Unknown",IF(L422&gt;=4,"Good",IF(L422&lt;=2,"Poor","Neutral")))</f>
        <v>Neutral</v>
      </c>
      <c r="R422" s="11" t="str">
        <f aca="false">IF(AND(O422="Low",P422="Low",Q422="Good"),"BUY / PRIORITIZE",IF(AND(O422="High",P422="High",OR(Q422="Poor",M422=TRUE())),"HOLD / REVIEW","MONITOR"))</f>
        <v>MONITOR</v>
      </c>
      <c r="S422" s="11" t="n">
        <f aca="false">K422+(ROW()/10000000)</f>
        <v>37.0000422</v>
      </c>
    </row>
    <row r="423" customFormat="false" ht="15" hidden="false" customHeight="false" outlineLevel="0" collapsed="false">
      <c r="A423" s="11" t="s">
        <v>617</v>
      </c>
      <c r="B423" s="11" t="s">
        <v>30</v>
      </c>
      <c r="C423" s="11" t="s">
        <v>77</v>
      </c>
      <c r="D423" s="11" t="s">
        <v>35</v>
      </c>
      <c r="E423" s="11" t="s">
        <v>78</v>
      </c>
      <c r="F423" s="11" t="s">
        <v>74</v>
      </c>
      <c r="G423" s="21" t="n">
        <v>103.14</v>
      </c>
      <c r="H423" s="19" t="n">
        <v>0</v>
      </c>
      <c r="I423" s="21" t="n">
        <v>103.14</v>
      </c>
      <c r="J423" s="22" t="s">
        <v>80</v>
      </c>
      <c r="K423" s="11" t="n">
        <v>13</v>
      </c>
      <c r="L423" s="23" t="n">
        <v>4.5</v>
      </c>
      <c r="M423" s="24" t="b">
        <f aca="false">FALSE()</f>
        <v>0</v>
      </c>
      <c r="N423" s="11"/>
      <c r="O423" s="11" t="str">
        <f aca="false">IF(K423&lt;=StockP33,"Low",IF(K423&lt;=StockP67,"Moderate","High"))</f>
        <v>Low</v>
      </c>
      <c r="P423" s="11" t="str">
        <f aca="false">IF(H423=0,"Low",IF(H423&lt;=MarkdownP75,"Moderate","High"))</f>
        <v>Low</v>
      </c>
      <c r="Q423" s="11" t="str">
        <f aca="false">IF(ISBLANK(L423),"Unknown",IF(L423&gt;=4,"Good",IF(L423&lt;=2,"Poor","Neutral")))</f>
        <v>Good</v>
      </c>
      <c r="R423" s="11" t="str">
        <f aca="false">IF(AND(O423="Low",P423="Low",Q423="Good"),"BUY / PRIORITIZE",IF(AND(O423="High",P423="High",OR(Q423="Poor",M423=TRUE())),"HOLD / REVIEW","MONITOR"))</f>
        <v>BUY / PRIORITIZE</v>
      </c>
      <c r="S423" s="11" t="n">
        <f aca="false">K423+(ROW()/10000000)</f>
        <v>13.0000423</v>
      </c>
    </row>
    <row r="424" customFormat="false" ht="15" hidden="false" customHeight="false" outlineLevel="0" collapsed="false">
      <c r="A424" s="11" t="s">
        <v>618</v>
      </c>
      <c r="B424" s="11" t="s">
        <v>30</v>
      </c>
      <c r="C424" s="11" t="s">
        <v>95</v>
      </c>
      <c r="D424" s="11" t="s">
        <v>36</v>
      </c>
      <c r="E424" s="11" t="s">
        <v>113</v>
      </c>
      <c r="F424" s="11" t="s">
        <v>111</v>
      </c>
      <c r="G424" s="21" t="n">
        <v>97.47</v>
      </c>
      <c r="H424" s="19" t="n">
        <v>32</v>
      </c>
      <c r="I424" s="21" t="n">
        <v>66.28</v>
      </c>
      <c r="J424" s="22" t="s">
        <v>80</v>
      </c>
      <c r="K424" s="11" t="n">
        <v>27</v>
      </c>
      <c r="L424" s="23" t="n">
        <v>3</v>
      </c>
      <c r="M424" s="24" t="b">
        <f aca="false">FALSE()</f>
        <v>0</v>
      </c>
      <c r="N424" s="11"/>
      <c r="O424" s="11" t="str">
        <f aca="false">IF(K424&lt;=StockP33,"Low",IF(K424&lt;=StockP67,"Moderate","High"))</f>
        <v>Moderate</v>
      </c>
      <c r="P424" s="11" t="str">
        <f aca="false">IF(H424=0,"Low",IF(H424&lt;=MarkdownP75,"Moderate","High"))</f>
        <v>High</v>
      </c>
      <c r="Q424" s="11" t="str">
        <f aca="false">IF(ISBLANK(L424),"Unknown",IF(L424&gt;=4,"Good",IF(L424&lt;=2,"Poor","Neutral")))</f>
        <v>Neutral</v>
      </c>
      <c r="R424" s="11" t="str">
        <f aca="false">IF(AND(O424="Low",P424="Low",Q424="Good"),"BUY / PRIORITIZE",IF(AND(O424="High",P424="High",OR(Q424="Poor",M424=TRUE())),"HOLD / REVIEW","MONITOR"))</f>
        <v>MONITOR</v>
      </c>
      <c r="S424" s="11" t="n">
        <f aca="false">K424+(ROW()/10000000)</f>
        <v>27.0000424</v>
      </c>
    </row>
    <row r="425" customFormat="false" ht="15" hidden="false" customHeight="false" outlineLevel="0" collapsed="false">
      <c r="A425" s="11" t="s">
        <v>619</v>
      </c>
      <c r="B425" s="11" t="s">
        <v>27</v>
      </c>
      <c r="C425" s="11" t="s">
        <v>107</v>
      </c>
      <c r="D425" s="11" t="s">
        <v>34</v>
      </c>
      <c r="E425" s="11" t="s">
        <v>113</v>
      </c>
      <c r="F425" s="11" t="s">
        <v>118</v>
      </c>
      <c r="G425" s="21" t="n">
        <v>50.69</v>
      </c>
      <c r="H425" s="19" t="n">
        <v>26.3</v>
      </c>
      <c r="I425" s="21" t="n">
        <v>37.36</v>
      </c>
      <c r="J425" s="22" t="s">
        <v>93</v>
      </c>
      <c r="K425" s="11" t="n">
        <v>37</v>
      </c>
      <c r="L425" s="23" t="n">
        <v>4.1</v>
      </c>
      <c r="M425" s="24" t="b">
        <f aca="false">FALSE()</f>
        <v>0</v>
      </c>
      <c r="N425" s="11"/>
      <c r="O425" s="11" t="str">
        <f aca="false">IF(K425&lt;=StockP33,"Low",IF(K425&lt;=StockP67,"Moderate","High"))</f>
        <v>High</v>
      </c>
      <c r="P425" s="11" t="str">
        <f aca="false">IF(H425=0,"Low",IF(H425&lt;=MarkdownP75,"Moderate","High"))</f>
        <v>High</v>
      </c>
      <c r="Q425" s="11" t="str">
        <f aca="false">IF(ISBLANK(L425),"Unknown",IF(L425&gt;=4,"Good",IF(L425&lt;=2,"Poor","Neutral")))</f>
        <v>Good</v>
      </c>
      <c r="R425" s="11" t="str">
        <f aca="false">IF(AND(O425="Low",P425="Low",Q425="Good"),"BUY / PRIORITIZE",IF(AND(O425="High",P425="High",OR(Q425="Poor",M425=TRUE())),"HOLD / REVIEW","MONITOR"))</f>
        <v>MONITOR</v>
      </c>
      <c r="S425" s="11" t="n">
        <f aca="false">K425+(ROW()/10000000)</f>
        <v>37.0000425</v>
      </c>
    </row>
    <row r="426" customFormat="false" ht="15" hidden="false" customHeight="false" outlineLevel="0" collapsed="false">
      <c r="A426" s="11" t="s">
        <v>620</v>
      </c>
      <c r="B426" s="11" t="s">
        <v>28</v>
      </c>
      <c r="C426" s="11" t="s">
        <v>86</v>
      </c>
      <c r="D426" s="11" t="s">
        <v>36</v>
      </c>
      <c r="E426" s="11" t="s">
        <v>73</v>
      </c>
      <c r="F426" s="11" t="s">
        <v>82</v>
      </c>
      <c r="G426" s="21" t="n">
        <v>127.75</v>
      </c>
      <c r="H426" s="19" t="n">
        <v>0</v>
      </c>
      <c r="I426" s="21" t="n">
        <v>127.75</v>
      </c>
      <c r="J426" s="22" t="s">
        <v>80</v>
      </c>
      <c r="K426" s="11" t="n">
        <v>32</v>
      </c>
      <c r="L426" s="23" t="n">
        <v>3.6</v>
      </c>
      <c r="M426" s="24" t="b">
        <f aca="false">FALSE()</f>
        <v>0</v>
      </c>
      <c r="N426" s="11"/>
      <c r="O426" s="11" t="str">
        <f aca="false">IF(K426&lt;=StockP33,"Low",IF(K426&lt;=StockP67,"Moderate","High"))</f>
        <v>Moderate</v>
      </c>
      <c r="P426" s="11" t="str">
        <f aca="false">IF(H426=0,"Low",IF(H426&lt;=MarkdownP75,"Moderate","High"))</f>
        <v>Low</v>
      </c>
      <c r="Q426" s="11" t="str">
        <f aca="false">IF(ISBLANK(L426),"Unknown",IF(L426&gt;=4,"Good",IF(L426&lt;=2,"Poor","Neutral")))</f>
        <v>Neutral</v>
      </c>
      <c r="R426" s="11" t="str">
        <f aca="false">IF(AND(O426="Low",P426="Low",Q426="Good"),"BUY / PRIORITIZE",IF(AND(O426="High",P426="High",OR(Q426="Poor",M426=TRUE())),"HOLD / REVIEW","MONITOR"))</f>
        <v>MONITOR</v>
      </c>
      <c r="S426" s="11" t="n">
        <f aca="false">K426+(ROW()/10000000)</f>
        <v>32.0000426</v>
      </c>
    </row>
    <row r="427" customFormat="false" ht="15" hidden="false" customHeight="false" outlineLevel="0" collapsed="false">
      <c r="A427" s="11" t="s">
        <v>621</v>
      </c>
      <c r="B427" s="11" t="s">
        <v>30</v>
      </c>
      <c r="C427" s="11" t="s">
        <v>130</v>
      </c>
      <c r="D427" s="11" t="s">
        <v>37</v>
      </c>
      <c r="E427" s="11" t="s">
        <v>73</v>
      </c>
      <c r="F427" s="11" t="s">
        <v>82</v>
      </c>
      <c r="G427" s="21" t="n">
        <v>111.64</v>
      </c>
      <c r="H427" s="19" t="n">
        <v>0</v>
      </c>
      <c r="I427" s="21" t="n">
        <v>111.64</v>
      </c>
      <c r="J427" s="22" t="s">
        <v>80</v>
      </c>
      <c r="K427" s="11" t="n">
        <v>13</v>
      </c>
      <c r="L427" s="23" t="n">
        <v>4.8</v>
      </c>
      <c r="M427" s="24" t="b">
        <f aca="false">FALSE()</f>
        <v>0</v>
      </c>
      <c r="N427" s="11"/>
      <c r="O427" s="11" t="str">
        <f aca="false">IF(K427&lt;=StockP33,"Low",IF(K427&lt;=StockP67,"Moderate","High"))</f>
        <v>Low</v>
      </c>
      <c r="P427" s="11" t="str">
        <f aca="false">IF(H427=0,"Low",IF(H427&lt;=MarkdownP75,"Moderate","High"))</f>
        <v>Low</v>
      </c>
      <c r="Q427" s="11" t="str">
        <f aca="false">IF(ISBLANK(L427),"Unknown",IF(L427&gt;=4,"Good",IF(L427&lt;=2,"Poor","Neutral")))</f>
        <v>Good</v>
      </c>
      <c r="R427" s="11" t="str">
        <f aca="false">IF(AND(O427="Low",P427="Low",Q427="Good"),"BUY / PRIORITIZE",IF(AND(O427="High",P427="High",OR(Q427="Poor",M427=TRUE())),"HOLD / REVIEW","MONITOR"))</f>
        <v>BUY / PRIORITIZE</v>
      </c>
      <c r="S427" s="11" t="n">
        <f aca="false">K427+(ROW()/10000000)</f>
        <v>13.0000427</v>
      </c>
    </row>
    <row r="428" customFormat="false" ht="15" hidden="false" customHeight="false" outlineLevel="0" collapsed="false">
      <c r="A428" s="11" t="s">
        <v>622</v>
      </c>
      <c r="B428" s="11" t="s">
        <v>29</v>
      </c>
      <c r="C428" s="11" t="s">
        <v>77</v>
      </c>
      <c r="D428" s="11" t="s">
        <v>36</v>
      </c>
      <c r="E428" s="11"/>
      <c r="F428" s="11" t="s">
        <v>120</v>
      </c>
      <c r="G428" s="21" t="n">
        <v>134.6</v>
      </c>
      <c r="H428" s="19" t="n">
        <v>11.6</v>
      </c>
      <c r="I428" s="21" t="n">
        <v>118.99</v>
      </c>
      <c r="J428" s="22" t="s">
        <v>80</v>
      </c>
      <c r="K428" s="11" t="n">
        <v>47</v>
      </c>
      <c r="L428" s="23" t="n">
        <v>3.9</v>
      </c>
      <c r="M428" s="24" t="b">
        <f aca="false">FALSE()</f>
        <v>0</v>
      </c>
      <c r="N428" s="11"/>
      <c r="O428" s="11" t="str">
        <f aca="false">IF(K428&lt;=StockP33,"Low",IF(K428&lt;=StockP67,"Moderate","High"))</f>
        <v>High</v>
      </c>
      <c r="P428" s="11" t="str">
        <f aca="false">IF(H428=0,"Low",IF(H428&lt;=MarkdownP75,"Moderate","High"))</f>
        <v>Moderate</v>
      </c>
      <c r="Q428" s="11" t="str">
        <f aca="false">IF(ISBLANK(L428),"Unknown",IF(L428&gt;=4,"Good",IF(L428&lt;=2,"Poor","Neutral")))</f>
        <v>Neutral</v>
      </c>
      <c r="R428" s="11" t="str">
        <f aca="false">IF(AND(O428="Low",P428="Low",Q428="Good"),"BUY / PRIORITIZE",IF(AND(O428="High",P428="High",OR(Q428="Poor",M428=TRUE())),"HOLD / REVIEW","MONITOR"))</f>
        <v>MONITOR</v>
      </c>
      <c r="S428" s="11" t="n">
        <f aca="false">K428+(ROW()/10000000)</f>
        <v>47.0000428</v>
      </c>
    </row>
    <row r="429" customFormat="false" ht="15" hidden="false" customHeight="false" outlineLevel="0" collapsed="false">
      <c r="A429" s="11" t="s">
        <v>623</v>
      </c>
      <c r="B429" s="11" t="s">
        <v>26</v>
      </c>
      <c r="C429" s="11" t="s">
        <v>72</v>
      </c>
      <c r="D429" s="11" t="s">
        <v>34</v>
      </c>
      <c r="E429" s="11" t="s">
        <v>102</v>
      </c>
      <c r="F429" s="11" t="s">
        <v>120</v>
      </c>
      <c r="G429" s="21" t="n">
        <v>56.05</v>
      </c>
      <c r="H429" s="19" t="n">
        <v>0</v>
      </c>
      <c r="I429" s="21" t="n">
        <v>56.05</v>
      </c>
      <c r="J429" s="22" t="s">
        <v>287</v>
      </c>
      <c r="K429" s="11" t="n">
        <v>9</v>
      </c>
      <c r="L429" s="23"/>
      <c r="M429" s="24" t="b">
        <f aca="false">FALSE()</f>
        <v>0</v>
      </c>
      <c r="N429" s="11"/>
      <c r="O429" s="11" t="str">
        <f aca="false">IF(K429&lt;=StockP33,"Low",IF(K429&lt;=StockP67,"Moderate","High"))</f>
        <v>Low</v>
      </c>
      <c r="P429" s="11" t="str">
        <f aca="false">IF(H429=0,"Low",IF(H429&lt;=MarkdownP75,"Moderate","High"))</f>
        <v>Low</v>
      </c>
      <c r="Q429" s="11" t="str">
        <f aca="false">IF(ISBLANK(L429),"Unknown",IF(L429&gt;=4,"Good",IF(L429&lt;=2,"Poor","Neutral")))</f>
        <v>Unknown</v>
      </c>
      <c r="R429" s="11" t="str">
        <f aca="false">IF(AND(O429="Low",P429="Low",Q429="Good"),"BUY / PRIORITIZE",IF(AND(O429="High",P429="High",OR(Q429="Poor",M429=TRUE())),"HOLD / REVIEW","MONITOR"))</f>
        <v>MONITOR</v>
      </c>
      <c r="S429" s="11" t="n">
        <f aca="false">K429+(ROW()/10000000)</f>
        <v>9.0000429</v>
      </c>
    </row>
    <row r="430" customFormat="false" ht="15" hidden="false" customHeight="false" outlineLevel="0" collapsed="false">
      <c r="A430" s="11" t="s">
        <v>624</v>
      </c>
      <c r="B430" s="11" t="s">
        <v>27</v>
      </c>
      <c r="C430" s="11" t="s">
        <v>86</v>
      </c>
      <c r="D430" s="11" t="s">
        <v>36</v>
      </c>
      <c r="E430" s="11" t="s">
        <v>73</v>
      </c>
      <c r="F430" s="11" t="s">
        <v>120</v>
      </c>
      <c r="G430" s="21" t="n">
        <v>106.2</v>
      </c>
      <c r="H430" s="19" t="n">
        <v>0</v>
      </c>
      <c r="I430" s="21" t="n">
        <v>106.2</v>
      </c>
      <c r="J430" s="22" t="s">
        <v>80</v>
      </c>
      <c r="K430" s="11" t="n">
        <v>35</v>
      </c>
      <c r="L430" s="23" t="n">
        <v>4.5</v>
      </c>
      <c r="M430" s="24" t="b">
        <f aca="false">FALSE()</f>
        <v>0</v>
      </c>
      <c r="N430" s="11"/>
      <c r="O430" s="11" t="str">
        <f aca="false">IF(K430&lt;=StockP33,"Low",IF(K430&lt;=StockP67,"Moderate","High"))</f>
        <v>High</v>
      </c>
      <c r="P430" s="11" t="str">
        <f aca="false">IF(H430=0,"Low",IF(H430&lt;=MarkdownP75,"Moderate","High"))</f>
        <v>Low</v>
      </c>
      <c r="Q430" s="11" t="str">
        <f aca="false">IF(ISBLANK(L430),"Unknown",IF(L430&gt;=4,"Good",IF(L430&lt;=2,"Poor","Neutral")))</f>
        <v>Good</v>
      </c>
      <c r="R430" s="11" t="str">
        <f aca="false">IF(AND(O430="Low",P430="Low",Q430="Good"),"BUY / PRIORITIZE",IF(AND(O430="High",P430="High",OR(Q430="Poor",M430=TRUE())),"HOLD / REVIEW","MONITOR"))</f>
        <v>MONITOR</v>
      </c>
      <c r="S430" s="11" t="n">
        <f aca="false">K430+(ROW()/10000000)</f>
        <v>35.000043</v>
      </c>
    </row>
    <row r="431" customFormat="false" ht="15" hidden="false" customHeight="false" outlineLevel="0" collapsed="false">
      <c r="A431" s="11" t="s">
        <v>625</v>
      </c>
      <c r="B431" s="11" t="s">
        <v>29</v>
      </c>
      <c r="C431" s="11" t="s">
        <v>95</v>
      </c>
      <c r="D431" s="11" t="s">
        <v>36</v>
      </c>
      <c r="E431" s="11"/>
      <c r="F431" s="11" t="s">
        <v>98</v>
      </c>
      <c r="G431" s="21" t="n">
        <v>104.26</v>
      </c>
      <c r="H431" s="19" t="n">
        <v>20.6</v>
      </c>
      <c r="I431" s="21" t="n">
        <v>82.78</v>
      </c>
      <c r="J431" s="22" t="s">
        <v>80</v>
      </c>
      <c r="K431" s="11" t="n">
        <v>31</v>
      </c>
      <c r="L431" s="23" t="n">
        <v>3</v>
      </c>
      <c r="M431" s="24" t="b">
        <f aca="false">FALSE()</f>
        <v>0</v>
      </c>
      <c r="N431" s="11"/>
      <c r="O431" s="11" t="str">
        <f aca="false">IF(K431&lt;=StockP33,"Low",IF(K431&lt;=StockP67,"Moderate","High"))</f>
        <v>Moderate</v>
      </c>
      <c r="P431" s="11" t="str">
        <f aca="false">IF(H431=0,"Low",IF(H431&lt;=MarkdownP75,"Moderate","High"))</f>
        <v>Moderate</v>
      </c>
      <c r="Q431" s="11" t="str">
        <f aca="false">IF(ISBLANK(L431),"Unknown",IF(L431&gt;=4,"Good",IF(L431&lt;=2,"Poor","Neutral")))</f>
        <v>Neutral</v>
      </c>
      <c r="R431" s="11" t="str">
        <f aca="false">IF(AND(O431="Low",P431="Low",Q431="Good"),"BUY / PRIORITIZE",IF(AND(O431="High",P431="High",OR(Q431="Poor",M431=TRUE())),"HOLD / REVIEW","MONITOR"))</f>
        <v>MONITOR</v>
      </c>
      <c r="S431" s="11" t="n">
        <f aca="false">K431+(ROW()/10000000)</f>
        <v>31.0000431</v>
      </c>
    </row>
    <row r="432" customFormat="false" ht="15" hidden="false" customHeight="false" outlineLevel="0" collapsed="false">
      <c r="A432" s="11" t="s">
        <v>626</v>
      </c>
      <c r="B432" s="11" t="s">
        <v>8</v>
      </c>
      <c r="C432" s="11" t="s">
        <v>77</v>
      </c>
      <c r="D432" s="11" t="s">
        <v>34</v>
      </c>
      <c r="E432" s="11"/>
      <c r="F432" s="11" t="s">
        <v>120</v>
      </c>
      <c r="G432" s="21" t="n">
        <v>24.53</v>
      </c>
      <c r="H432" s="19" t="n">
        <v>0</v>
      </c>
      <c r="I432" s="21" t="n">
        <v>24.53</v>
      </c>
      <c r="J432" s="22" t="s">
        <v>627</v>
      </c>
      <c r="K432" s="11" t="n">
        <v>44</v>
      </c>
      <c r="L432" s="23" t="n">
        <v>4.2</v>
      </c>
      <c r="M432" s="24" t="b">
        <f aca="false">FALSE()</f>
        <v>0</v>
      </c>
      <c r="N432" s="11"/>
      <c r="O432" s="11" t="str">
        <f aca="false">IF(K432&lt;=StockP33,"Low",IF(K432&lt;=StockP67,"Moderate","High"))</f>
        <v>High</v>
      </c>
      <c r="P432" s="11" t="str">
        <f aca="false">IF(H432=0,"Low",IF(H432&lt;=MarkdownP75,"Moderate","High"))</f>
        <v>Low</v>
      </c>
      <c r="Q432" s="11" t="str">
        <f aca="false">IF(ISBLANK(L432),"Unknown",IF(L432&gt;=4,"Good",IF(L432&lt;=2,"Poor","Neutral")))</f>
        <v>Good</v>
      </c>
      <c r="R432" s="11" t="str">
        <f aca="false">IF(AND(O432="Low",P432="Low",Q432="Good"),"BUY / PRIORITIZE",IF(AND(O432="High",P432="High",OR(Q432="Poor",M432=TRUE())),"HOLD / REVIEW","MONITOR"))</f>
        <v>MONITOR</v>
      </c>
      <c r="S432" s="11" t="n">
        <f aca="false">K432+(ROW()/10000000)</f>
        <v>44.0000432</v>
      </c>
    </row>
    <row r="433" customFormat="false" ht="15" hidden="false" customHeight="false" outlineLevel="0" collapsed="false">
      <c r="A433" s="11" t="s">
        <v>628</v>
      </c>
      <c r="B433" s="11" t="s">
        <v>29</v>
      </c>
      <c r="C433" s="11" t="s">
        <v>95</v>
      </c>
      <c r="D433" s="11" t="s">
        <v>34</v>
      </c>
      <c r="E433" s="11" t="s">
        <v>78</v>
      </c>
      <c r="F433" s="11" t="s">
        <v>98</v>
      </c>
      <c r="G433" s="21" t="n">
        <v>131.25</v>
      </c>
      <c r="H433" s="19" t="n">
        <v>0</v>
      </c>
      <c r="I433" s="21" t="n">
        <v>131.25</v>
      </c>
      <c r="J433" s="22" t="s">
        <v>629</v>
      </c>
      <c r="K433" s="11" t="n">
        <v>12</v>
      </c>
      <c r="L433" s="23" t="n">
        <v>1.6</v>
      </c>
      <c r="M433" s="24" t="b">
        <f aca="false">FALSE()</f>
        <v>0</v>
      </c>
      <c r="N433" s="11"/>
      <c r="O433" s="11" t="str">
        <f aca="false">IF(K433&lt;=StockP33,"Low",IF(K433&lt;=StockP67,"Moderate","High"))</f>
        <v>Low</v>
      </c>
      <c r="P433" s="11" t="str">
        <f aca="false">IF(H433=0,"Low",IF(H433&lt;=MarkdownP75,"Moderate","High"))</f>
        <v>Low</v>
      </c>
      <c r="Q433" s="11" t="str">
        <f aca="false">IF(ISBLANK(L433),"Unknown",IF(L433&gt;=4,"Good",IF(L433&lt;=2,"Poor","Neutral")))</f>
        <v>Poor</v>
      </c>
      <c r="R433" s="11" t="str">
        <f aca="false">IF(AND(O433="Low",P433="Low",Q433="Good"),"BUY / PRIORITIZE",IF(AND(O433="High",P433="High",OR(Q433="Poor",M433=TRUE())),"HOLD / REVIEW","MONITOR"))</f>
        <v>MONITOR</v>
      </c>
      <c r="S433" s="11" t="n">
        <f aca="false">K433+(ROW()/10000000)</f>
        <v>12.0000433</v>
      </c>
    </row>
    <row r="434" customFormat="false" ht="15" hidden="false" customHeight="false" outlineLevel="0" collapsed="false">
      <c r="A434" s="11" t="s">
        <v>630</v>
      </c>
      <c r="B434" s="11" t="s">
        <v>26</v>
      </c>
      <c r="C434" s="11" t="s">
        <v>130</v>
      </c>
      <c r="D434" s="11" t="s">
        <v>36</v>
      </c>
      <c r="E434" s="11" t="s">
        <v>113</v>
      </c>
      <c r="F434" s="11" t="s">
        <v>74</v>
      </c>
      <c r="G434" s="21" t="n">
        <v>72.85</v>
      </c>
      <c r="H434" s="19" t="n">
        <v>0</v>
      </c>
      <c r="I434" s="21" t="n">
        <v>72.85</v>
      </c>
      <c r="J434" s="22" t="s">
        <v>80</v>
      </c>
      <c r="K434" s="11" t="n">
        <v>25</v>
      </c>
      <c r="L434" s="23" t="n">
        <v>3.8</v>
      </c>
      <c r="M434" s="24" t="b">
        <f aca="false">FALSE()</f>
        <v>0</v>
      </c>
      <c r="N434" s="11"/>
      <c r="O434" s="11" t="str">
        <f aca="false">IF(K434&lt;=StockP33,"Low",IF(K434&lt;=StockP67,"Moderate","High"))</f>
        <v>Moderate</v>
      </c>
      <c r="P434" s="11" t="str">
        <f aca="false">IF(H434=0,"Low",IF(H434&lt;=MarkdownP75,"Moderate","High"))</f>
        <v>Low</v>
      </c>
      <c r="Q434" s="11" t="str">
        <f aca="false">IF(ISBLANK(L434),"Unknown",IF(L434&gt;=4,"Good",IF(L434&lt;=2,"Poor","Neutral")))</f>
        <v>Neutral</v>
      </c>
      <c r="R434" s="11" t="str">
        <f aca="false">IF(AND(O434="Low",P434="Low",Q434="Good"),"BUY / PRIORITIZE",IF(AND(O434="High",P434="High",OR(Q434="Poor",M434=TRUE())),"HOLD / REVIEW","MONITOR"))</f>
        <v>MONITOR</v>
      </c>
      <c r="S434" s="11" t="n">
        <f aca="false">K434+(ROW()/10000000)</f>
        <v>25.0000434</v>
      </c>
    </row>
    <row r="435" customFormat="false" ht="15" hidden="false" customHeight="false" outlineLevel="0" collapsed="false">
      <c r="A435" s="11" t="s">
        <v>631</v>
      </c>
      <c r="B435" s="11" t="s">
        <v>29</v>
      </c>
      <c r="C435" s="11" t="s">
        <v>72</v>
      </c>
      <c r="D435" s="11" t="s">
        <v>37</v>
      </c>
      <c r="E435" s="11" t="s">
        <v>110</v>
      </c>
      <c r="F435" s="11" t="s">
        <v>98</v>
      </c>
      <c r="G435" s="21" t="n">
        <v>135.39</v>
      </c>
      <c r="H435" s="19" t="n">
        <v>0</v>
      </c>
      <c r="I435" s="21" t="n">
        <v>135.39</v>
      </c>
      <c r="J435" s="22" t="s">
        <v>80</v>
      </c>
      <c r="K435" s="11" t="n">
        <v>26</v>
      </c>
      <c r="L435" s="23" t="n">
        <v>3.9</v>
      </c>
      <c r="M435" s="24" t="b">
        <f aca="false">FALSE()</f>
        <v>0</v>
      </c>
      <c r="N435" s="11"/>
      <c r="O435" s="11" t="str">
        <f aca="false">IF(K435&lt;=StockP33,"Low",IF(K435&lt;=StockP67,"Moderate","High"))</f>
        <v>Moderate</v>
      </c>
      <c r="P435" s="11" t="str">
        <f aca="false">IF(H435=0,"Low",IF(H435&lt;=MarkdownP75,"Moderate","High"))</f>
        <v>Low</v>
      </c>
      <c r="Q435" s="11" t="str">
        <f aca="false">IF(ISBLANK(L435),"Unknown",IF(L435&gt;=4,"Good",IF(L435&lt;=2,"Poor","Neutral")))</f>
        <v>Neutral</v>
      </c>
      <c r="R435" s="11" t="str">
        <f aca="false">IF(AND(O435="Low",P435="Low",Q435="Good"),"BUY / PRIORITIZE",IF(AND(O435="High",P435="High",OR(Q435="Poor",M435=TRUE())),"HOLD / REVIEW","MONITOR"))</f>
        <v>MONITOR</v>
      </c>
      <c r="S435" s="11" t="n">
        <f aca="false">K435+(ROW()/10000000)</f>
        <v>26.0000435</v>
      </c>
    </row>
    <row r="436" customFormat="false" ht="15" hidden="false" customHeight="false" outlineLevel="0" collapsed="false">
      <c r="A436" s="11" t="s">
        <v>632</v>
      </c>
      <c r="B436" s="11" t="s">
        <v>29</v>
      </c>
      <c r="C436" s="11" t="s">
        <v>72</v>
      </c>
      <c r="D436" s="11" t="s">
        <v>37</v>
      </c>
      <c r="E436" s="11" t="s">
        <v>73</v>
      </c>
      <c r="F436" s="11" t="s">
        <v>118</v>
      </c>
      <c r="G436" s="21" t="n">
        <v>166.94</v>
      </c>
      <c r="H436" s="19" t="n">
        <v>4.2</v>
      </c>
      <c r="I436" s="21" t="n">
        <v>159.93</v>
      </c>
      <c r="J436" s="22" t="s">
        <v>80</v>
      </c>
      <c r="K436" s="11" t="n">
        <v>17</v>
      </c>
      <c r="L436" s="23" t="n">
        <v>2.6</v>
      </c>
      <c r="M436" s="24" t="b">
        <f aca="false">TRUE()</f>
        <v>1</v>
      </c>
      <c r="N436" s="11" t="s">
        <v>89</v>
      </c>
      <c r="O436" s="11" t="str">
        <f aca="false">IF(K436&lt;=StockP33,"Low",IF(K436&lt;=StockP67,"Moderate","High"))</f>
        <v>Low</v>
      </c>
      <c r="P436" s="11" t="str">
        <f aca="false">IF(H436=0,"Low",IF(H436&lt;=MarkdownP75,"Moderate","High"))</f>
        <v>Moderate</v>
      </c>
      <c r="Q436" s="11" t="str">
        <f aca="false">IF(ISBLANK(L436),"Unknown",IF(L436&gt;=4,"Good",IF(L436&lt;=2,"Poor","Neutral")))</f>
        <v>Neutral</v>
      </c>
      <c r="R436" s="11" t="str">
        <f aca="false">IF(AND(O436="Low",P436="Low",Q436="Good"),"BUY / PRIORITIZE",IF(AND(O436="High",P436="High",OR(Q436="Poor",M436=TRUE())),"HOLD / REVIEW","MONITOR"))</f>
        <v>MONITOR</v>
      </c>
      <c r="S436" s="11" t="n">
        <f aca="false">K436+(ROW()/10000000)</f>
        <v>17.0000436</v>
      </c>
    </row>
    <row r="437" customFormat="false" ht="15" hidden="false" customHeight="false" outlineLevel="0" collapsed="false">
      <c r="A437" s="11" t="s">
        <v>633</v>
      </c>
      <c r="B437" s="11" t="s">
        <v>29</v>
      </c>
      <c r="C437" s="11" t="s">
        <v>86</v>
      </c>
      <c r="D437" s="11" t="s">
        <v>34</v>
      </c>
      <c r="E437" s="11" t="s">
        <v>73</v>
      </c>
      <c r="F437" s="11" t="s">
        <v>98</v>
      </c>
      <c r="G437" s="21" t="n">
        <v>135.36</v>
      </c>
      <c r="H437" s="19" t="n">
        <v>41.7</v>
      </c>
      <c r="I437" s="21" t="n">
        <v>78.91</v>
      </c>
      <c r="J437" s="22" t="s">
        <v>634</v>
      </c>
      <c r="K437" s="11" t="n">
        <v>17</v>
      </c>
      <c r="L437" s="23" t="n">
        <v>4.3</v>
      </c>
      <c r="M437" s="24" t="b">
        <f aca="false">FALSE()</f>
        <v>0</v>
      </c>
      <c r="N437" s="11"/>
      <c r="O437" s="11" t="str">
        <f aca="false">IF(K437&lt;=StockP33,"Low",IF(K437&lt;=StockP67,"Moderate","High"))</f>
        <v>Low</v>
      </c>
      <c r="P437" s="11" t="str">
        <f aca="false">IF(H437=0,"Low",IF(H437&lt;=MarkdownP75,"Moderate","High"))</f>
        <v>High</v>
      </c>
      <c r="Q437" s="11" t="str">
        <f aca="false">IF(ISBLANK(L437),"Unknown",IF(L437&gt;=4,"Good",IF(L437&lt;=2,"Poor","Neutral")))</f>
        <v>Good</v>
      </c>
      <c r="R437" s="11" t="str">
        <f aca="false">IF(AND(O437="Low",P437="Low",Q437="Good"),"BUY / PRIORITIZE",IF(AND(O437="High",P437="High",OR(Q437="Poor",M437=TRUE())),"HOLD / REVIEW","MONITOR"))</f>
        <v>MONITOR</v>
      </c>
      <c r="S437" s="11" t="n">
        <f aca="false">K437+(ROW()/10000000)</f>
        <v>17.0000437</v>
      </c>
    </row>
    <row r="438" customFormat="false" ht="15" hidden="false" customHeight="false" outlineLevel="0" collapsed="false">
      <c r="A438" s="11" t="s">
        <v>635</v>
      </c>
      <c r="B438" s="11" t="s">
        <v>26</v>
      </c>
      <c r="C438" s="11" t="s">
        <v>107</v>
      </c>
      <c r="D438" s="11" t="s">
        <v>34</v>
      </c>
      <c r="E438" s="11" t="s">
        <v>78</v>
      </c>
      <c r="F438" s="11" t="s">
        <v>96</v>
      </c>
      <c r="G438" s="21" t="n">
        <v>96.05</v>
      </c>
      <c r="H438" s="19" t="n">
        <v>0</v>
      </c>
      <c r="I438" s="21" t="n">
        <v>96.05</v>
      </c>
      <c r="J438" s="22" t="s">
        <v>218</v>
      </c>
      <c r="K438" s="11" t="n">
        <v>15</v>
      </c>
      <c r="L438" s="23" t="n">
        <v>4</v>
      </c>
      <c r="M438" s="24" t="b">
        <f aca="false">FALSE()</f>
        <v>0</v>
      </c>
      <c r="N438" s="11"/>
      <c r="O438" s="11" t="str">
        <f aca="false">IF(K438&lt;=StockP33,"Low",IF(K438&lt;=StockP67,"Moderate","High"))</f>
        <v>Low</v>
      </c>
      <c r="P438" s="11" t="str">
        <f aca="false">IF(H438=0,"Low",IF(H438&lt;=MarkdownP75,"Moderate","High"))</f>
        <v>Low</v>
      </c>
      <c r="Q438" s="11" t="str">
        <f aca="false">IF(ISBLANK(L438),"Unknown",IF(L438&gt;=4,"Good",IF(L438&lt;=2,"Poor","Neutral")))</f>
        <v>Good</v>
      </c>
      <c r="R438" s="11" t="str">
        <f aca="false">IF(AND(O438="Low",P438="Low",Q438="Good"),"BUY / PRIORITIZE",IF(AND(O438="High",P438="High",OR(Q438="Poor",M438=TRUE())),"HOLD / REVIEW","MONITOR"))</f>
        <v>BUY / PRIORITIZE</v>
      </c>
      <c r="S438" s="11" t="n">
        <f aca="false">K438+(ROW()/10000000)</f>
        <v>15.0000438</v>
      </c>
    </row>
    <row r="439" customFormat="false" ht="15" hidden="false" customHeight="false" outlineLevel="0" collapsed="false">
      <c r="A439" s="11" t="s">
        <v>636</v>
      </c>
      <c r="B439" s="11" t="s">
        <v>28</v>
      </c>
      <c r="C439" s="11" t="s">
        <v>101</v>
      </c>
      <c r="D439" s="11" t="s">
        <v>35</v>
      </c>
      <c r="E439" s="11" t="s">
        <v>78</v>
      </c>
      <c r="F439" s="11" t="s">
        <v>74</v>
      </c>
      <c r="G439" s="21" t="n">
        <v>116.1</v>
      </c>
      <c r="H439" s="19" t="n">
        <v>0</v>
      </c>
      <c r="I439" s="21" t="n">
        <v>116.1</v>
      </c>
      <c r="J439" s="22" t="s">
        <v>80</v>
      </c>
      <c r="K439" s="11" t="n">
        <v>27</v>
      </c>
      <c r="L439" s="23" t="n">
        <v>3.6</v>
      </c>
      <c r="M439" s="24" t="b">
        <f aca="false">TRUE()</f>
        <v>1</v>
      </c>
      <c r="N439" s="11" t="s">
        <v>178</v>
      </c>
      <c r="O439" s="11" t="str">
        <f aca="false">IF(K439&lt;=StockP33,"Low",IF(K439&lt;=StockP67,"Moderate","High"))</f>
        <v>Moderate</v>
      </c>
      <c r="P439" s="11" t="str">
        <f aca="false">IF(H439=0,"Low",IF(H439&lt;=MarkdownP75,"Moderate","High"))</f>
        <v>Low</v>
      </c>
      <c r="Q439" s="11" t="str">
        <f aca="false">IF(ISBLANK(L439),"Unknown",IF(L439&gt;=4,"Good",IF(L439&lt;=2,"Poor","Neutral")))</f>
        <v>Neutral</v>
      </c>
      <c r="R439" s="11" t="str">
        <f aca="false">IF(AND(O439="Low",P439="Low",Q439="Good"),"BUY / PRIORITIZE",IF(AND(O439="High",P439="High",OR(Q439="Poor",M439=TRUE())),"HOLD / REVIEW","MONITOR"))</f>
        <v>MONITOR</v>
      </c>
      <c r="S439" s="11" t="n">
        <f aca="false">K439+(ROW()/10000000)</f>
        <v>27.0000439</v>
      </c>
    </row>
    <row r="440" customFormat="false" ht="15" hidden="false" customHeight="false" outlineLevel="0" collapsed="false">
      <c r="A440" s="11" t="s">
        <v>637</v>
      </c>
      <c r="B440" s="11" t="s">
        <v>29</v>
      </c>
      <c r="C440" s="11" t="s">
        <v>95</v>
      </c>
      <c r="D440" s="11" t="s">
        <v>36</v>
      </c>
      <c r="E440" s="11" t="s">
        <v>78</v>
      </c>
      <c r="F440" s="11" t="s">
        <v>82</v>
      </c>
      <c r="G440" s="21" t="n">
        <v>91.53</v>
      </c>
      <c r="H440" s="19" t="n">
        <v>0</v>
      </c>
      <c r="I440" s="21" t="n">
        <v>91.53</v>
      </c>
      <c r="J440" s="22" t="s">
        <v>80</v>
      </c>
      <c r="K440" s="11" t="n">
        <v>8</v>
      </c>
      <c r="L440" s="23" t="n">
        <v>1.5</v>
      </c>
      <c r="M440" s="24" t="b">
        <f aca="false">FALSE()</f>
        <v>0</v>
      </c>
      <c r="N440" s="11"/>
      <c r="O440" s="11" t="str">
        <f aca="false">IF(K440&lt;=StockP33,"Low",IF(K440&lt;=StockP67,"Moderate","High"))</f>
        <v>Low</v>
      </c>
      <c r="P440" s="11" t="str">
        <f aca="false">IF(H440=0,"Low",IF(H440&lt;=MarkdownP75,"Moderate","High"))</f>
        <v>Low</v>
      </c>
      <c r="Q440" s="11" t="str">
        <f aca="false">IF(ISBLANK(L440),"Unknown",IF(L440&gt;=4,"Good",IF(L440&lt;=2,"Poor","Neutral")))</f>
        <v>Poor</v>
      </c>
      <c r="R440" s="11" t="str">
        <f aca="false">IF(AND(O440="Low",P440="Low",Q440="Good"),"BUY / PRIORITIZE",IF(AND(O440="High",P440="High",OR(Q440="Poor",M440=TRUE())),"HOLD / REVIEW","MONITOR"))</f>
        <v>MONITOR</v>
      </c>
      <c r="S440" s="11" t="n">
        <f aca="false">K440+(ROW()/10000000)</f>
        <v>8.000044</v>
      </c>
    </row>
    <row r="441" customFormat="false" ht="15" hidden="false" customHeight="false" outlineLevel="0" collapsed="false">
      <c r="A441" s="11" t="s">
        <v>638</v>
      </c>
      <c r="B441" s="11" t="s">
        <v>26</v>
      </c>
      <c r="C441" s="11" t="s">
        <v>72</v>
      </c>
      <c r="D441" s="11" t="s">
        <v>37</v>
      </c>
      <c r="E441" s="11" t="s">
        <v>110</v>
      </c>
      <c r="F441" s="11" t="s">
        <v>92</v>
      </c>
      <c r="G441" s="21" t="n">
        <v>102.16</v>
      </c>
      <c r="H441" s="19" t="n">
        <v>0</v>
      </c>
      <c r="I441" s="21" t="n">
        <v>102.16</v>
      </c>
      <c r="J441" s="22" t="s">
        <v>80</v>
      </c>
      <c r="K441" s="11" t="n">
        <v>50</v>
      </c>
      <c r="L441" s="23"/>
      <c r="M441" s="24" t="b">
        <f aca="false">FALSE()</f>
        <v>0</v>
      </c>
      <c r="N441" s="11"/>
      <c r="O441" s="11" t="str">
        <f aca="false">IF(K441&lt;=StockP33,"Low",IF(K441&lt;=StockP67,"Moderate","High"))</f>
        <v>High</v>
      </c>
      <c r="P441" s="11" t="str">
        <f aca="false">IF(H441=0,"Low",IF(H441&lt;=MarkdownP75,"Moderate","High"))</f>
        <v>Low</v>
      </c>
      <c r="Q441" s="11" t="str">
        <f aca="false">IF(ISBLANK(L441),"Unknown",IF(L441&gt;=4,"Good",IF(L441&lt;=2,"Poor","Neutral")))</f>
        <v>Unknown</v>
      </c>
      <c r="R441" s="11" t="str">
        <f aca="false">IF(AND(O441="Low",P441="Low",Q441="Good"),"BUY / PRIORITIZE",IF(AND(O441="High",P441="High",OR(Q441="Poor",M441=TRUE())),"HOLD / REVIEW","MONITOR"))</f>
        <v>MONITOR</v>
      </c>
      <c r="S441" s="11" t="n">
        <f aca="false">K441+(ROW()/10000000)</f>
        <v>50.0000441</v>
      </c>
    </row>
    <row r="442" customFormat="false" ht="15" hidden="false" customHeight="false" outlineLevel="0" collapsed="false">
      <c r="A442" s="11" t="s">
        <v>639</v>
      </c>
      <c r="B442" s="11" t="s">
        <v>29</v>
      </c>
      <c r="C442" s="11" t="s">
        <v>77</v>
      </c>
      <c r="D442" s="11" t="s">
        <v>37</v>
      </c>
      <c r="E442" s="11" t="s">
        <v>78</v>
      </c>
      <c r="F442" s="11" t="s">
        <v>92</v>
      </c>
      <c r="G442" s="21" t="n">
        <v>67.74</v>
      </c>
      <c r="H442" s="19" t="n">
        <v>3.3</v>
      </c>
      <c r="I442" s="21" t="n">
        <v>65.5</v>
      </c>
      <c r="J442" s="22" t="s">
        <v>80</v>
      </c>
      <c r="K442" s="11" t="n">
        <v>23</v>
      </c>
      <c r="L442" s="23" t="n">
        <v>1.5</v>
      </c>
      <c r="M442" s="24" t="b">
        <f aca="false">FALSE()</f>
        <v>0</v>
      </c>
      <c r="N442" s="11"/>
      <c r="O442" s="11" t="str">
        <f aca="false">IF(K442&lt;=StockP33,"Low",IF(K442&lt;=StockP67,"Moderate","High"))</f>
        <v>Moderate</v>
      </c>
      <c r="P442" s="11" t="str">
        <f aca="false">IF(H442=0,"Low",IF(H442&lt;=MarkdownP75,"Moderate","High"))</f>
        <v>Moderate</v>
      </c>
      <c r="Q442" s="11" t="str">
        <f aca="false">IF(ISBLANK(L442),"Unknown",IF(L442&gt;=4,"Good",IF(L442&lt;=2,"Poor","Neutral")))</f>
        <v>Poor</v>
      </c>
      <c r="R442" s="11" t="str">
        <f aca="false">IF(AND(O442="Low",P442="Low",Q442="Good"),"BUY / PRIORITIZE",IF(AND(O442="High",P442="High",OR(Q442="Poor",M442=TRUE())),"HOLD / REVIEW","MONITOR"))</f>
        <v>MONITOR</v>
      </c>
      <c r="S442" s="11" t="n">
        <f aca="false">K442+(ROW()/10000000)</f>
        <v>23.0000442</v>
      </c>
    </row>
    <row r="443" customFormat="false" ht="15" hidden="false" customHeight="false" outlineLevel="0" collapsed="false">
      <c r="A443" s="11" t="s">
        <v>640</v>
      </c>
      <c r="B443" s="11" t="s">
        <v>8</v>
      </c>
      <c r="C443" s="11" t="s">
        <v>86</v>
      </c>
      <c r="D443" s="11" t="s">
        <v>37</v>
      </c>
      <c r="E443" s="11"/>
      <c r="F443" s="11" t="s">
        <v>98</v>
      </c>
      <c r="G443" s="21" t="n">
        <v>38.34</v>
      </c>
      <c r="H443" s="19" t="n">
        <v>0</v>
      </c>
      <c r="I443" s="21" t="n">
        <v>38.34</v>
      </c>
      <c r="J443" s="22" t="s">
        <v>80</v>
      </c>
      <c r="K443" s="11" t="n">
        <v>14</v>
      </c>
      <c r="L443" s="23" t="n">
        <v>1.4</v>
      </c>
      <c r="M443" s="24" t="b">
        <f aca="false">FALSE()</f>
        <v>0</v>
      </c>
      <c r="N443" s="11"/>
      <c r="O443" s="11" t="str">
        <f aca="false">IF(K443&lt;=StockP33,"Low",IF(K443&lt;=StockP67,"Moderate","High"))</f>
        <v>Low</v>
      </c>
      <c r="P443" s="11" t="str">
        <f aca="false">IF(H443=0,"Low",IF(H443&lt;=MarkdownP75,"Moderate","High"))</f>
        <v>Low</v>
      </c>
      <c r="Q443" s="11" t="str">
        <f aca="false">IF(ISBLANK(L443),"Unknown",IF(L443&gt;=4,"Good",IF(L443&lt;=2,"Poor","Neutral")))</f>
        <v>Poor</v>
      </c>
      <c r="R443" s="11" t="str">
        <f aca="false">IF(AND(O443="Low",P443="Low",Q443="Good"),"BUY / PRIORITIZE",IF(AND(O443="High",P443="High",OR(Q443="Poor",M443=TRUE())),"HOLD / REVIEW","MONITOR"))</f>
        <v>MONITOR</v>
      </c>
      <c r="S443" s="11" t="n">
        <f aca="false">K443+(ROW()/10000000)</f>
        <v>14.0000443</v>
      </c>
    </row>
    <row r="444" customFormat="false" ht="15" hidden="false" customHeight="false" outlineLevel="0" collapsed="false">
      <c r="A444" s="11" t="s">
        <v>641</v>
      </c>
      <c r="B444" s="11" t="s">
        <v>8</v>
      </c>
      <c r="C444" s="11" t="s">
        <v>72</v>
      </c>
      <c r="D444" s="11" t="s">
        <v>37</v>
      </c>
      <c r="E444" s="11"/>
      <c r="F444" s="11" t="s">
        <v>92</v>
      </c>
      <c r="G444" s="21" t="n">
        <v>60.49</v>
      </c>
      <c r="H444" s="19" t="n">
        <v>0</v>
      </c>
      <c r="I444" s="21" t="n">
        <v>60.49</v>
      </c>
      <c r="J444" s="22" t="s">
        <v>80</v>
      </c>
      <c r="K444" s="11" t="n">
        <v>30</v>
      </c>
      <c r="L444" s="23" t="n">
        <v>2.5</v>
      </c>
      <c r="M444" s="24" t="b">
        <f aca="false">FALSE()</f>
        <v>0</v>
      </c>
      <c r="N444" s="11"/>
      <c r="O444" s="11" t="str">
        <f aca="false">IF(K444&lt;=StockP33,"Low",IF(K444&lt;=StockP67,"Moderate","High"))</f>
        <v>Moderate</v>
      </c>
      <c r="P444" s="11" t="str">
        <f aca="false">IF(H444=0,"Low",IF(H444&lt;=MarkdownP75,"Moderate","High"))</f>
        <v>Low</v>
      </c>
      <c r="Q444" s="11" t="str">
        <f aca="false">IF(ISBLANK(L444),"Unknown",IF(L444&gt;=4,"Good",IF(L444&lt;=2,"Poor","Neutral")))</f>
        <v>Neutral</v>
      </c>
      <c r="R444" s="11" t="str">
        <f aca="false">IF(AND(O444="Low",P444="Low",Q444="Good"),"BUY / PRIORITIZE",IF(AND(O444="High",P444="High",OR(Q444="Poor",M444=TRUE())),"HOLD / REVIEW","MONITOR"))</f>
        <v>MONITOR</v>
      </c>
      <c r="S444" s="11" t="n">
        <f aca="false">K444+(ROW()/10000000)</f>
        <v>30.0000444</v>
      </c>
    </row>
    <row r="445" customFormat="false" ht="15" hidden="false" customHeight="false" outlineLevel="0" collapsed="false">
      <c r="A445" s="11" t="s">
        <v>642</v>
      </c>
      <c r="B445" s="11" t="s">
        <v>28</v>
      </c>
      <c r="C445" s="11" t="s">
        <v>86</v>
      </c>
      <c r="D445" s="11" t="s">
        <v>34</v>
      </c>
      <c r="E445" s="11" t="s">
        <v>78</v>
      </c>
      <c r="F445" s="11" t="s">
        <v>118</v>
      </c>
      <c r="G445" s="21" t="n">
        <v>90.27</v>
      </c>
      <c r="H445" s="19" t="n">
        <v>0</v>
      </c>
      <c r="I445" s="21" t="n">
        <v>90.27</v>
      </c>
      <c r="J445" s="22" t="s">
        <v>142</v>
      </c>
      <c r="K445" s="11" t="n">
        <v>35</v>
      </c>
      <c r="L445" s="23" t="n">
        <v>4.2</v>
      </c>
      <c r="M445" s="24" t="b">
        <f aca="false">FALSE()</f>
        <v>0</v>
      </c>
      <c r="N445" s="11"/>
      <c r="O445" s="11" t="str">
        <f aca="false">IF(K445&lt;=StockP33,"Low",IF(K445&lt;=StockP67,"Moderate","High"))</f>
        <v>High</v>
      </c>
      <c r="P445" s="11" t="str">
        <f aca="false">IF(H445=0,"Low",IF(H445&lt;=MarkdownP75,"Moderate","High"))</f>
        <v>Low</v>
      </c>
      <c r="Q445" s="11" t="str">
        <f aca="false">IF(ISBLANK(L445),"Unknown",IF(L445&gt;=4,"Good",IF(L445&lt;=2,"Poor","Neutral")))</f>
        <v>Good</v>
      </c>
      <c r="R445" s="11" t="str">
        <f aca="false">IF(AND(O445="Low",P445="Low",Q445="Good"),"BUY / PRIORITIZE",IF(AND(O445="High",P445="High",OR(Q445="Poor",M445=TRUE())),"HOLD / REVIEW","MONITOR"))</f>
        <v>MONITOR</v>
      </c>
      <c r="S445" s="11" t="n">
        <f aca="false">K445+(ROW()/10000000)</f>
        <v>35.0000445</v>
      </c>
    </row>
    <row r="446" customFormat="false" ht="15" hidden="false" customHeight="false" outlineLevel="0" collapsed="false">
      <c r="A446" s="11" t="s">
        <v>643</v>
      </c>
      <c r="B446" s="11" t="s">
        <v>8</v>
      </c>
      <c r="C446" s="11" t="s">
        <v>86</v>
      </c>
      <c r="D446" s="11" t="s">
        <v>35</v>
      </c>
      <c r="E446" s="11"/>
      <c r="F446" s="11" t="s">
        <v>74</v>
      </c>
      <c r="G446" s="21" t="n">
        <v>45.42</v>
      </c>
      <c r="H446" s="19" t="n">
        <v>0</v>
      </c>
      <c r="I446" s="21" t="n">
        <v>45.42</v>
      </c>
      <c r="J446" s="22" t="s">
        <v>80</v>
      </c>
      <c r="K446" s="11" t="n">
        <v>36</v>
      </c>
      <c r="L446" s="23" t="n">
        <v>1.3</v>
      </c>
      <c r="M446" s="24" t="b">
        <f aca="false">FALSE()</f>
        <v>0</v>
      </c>
      <c r="N446" s="11"/>
      <c r="O446" s="11" t="str">
        <f aca="false">IF(K446&lt;=StockP33,"Low",IF(K446&lt;=StockP67,"Moderate","High"))</f>
        <v>High</v>
      </c>
      <c r="P446" s="11" t="str">
        <f aca="false">IF(H446=0,"Low",IF(H446&lt;=MarkdownP75,"Moderate","High"))</f>
        <v>Low</v>
      </c>
      <c r="Q446" s="11" t="str">
        <f aca="false">IF(ISBLANK(L446),"Unknown",IF(L446&gt;=4,"Good",IF(L446&lt;=2,"Poor","Neutral")))</f>
        <v>Poor</v>
      </c>
      <c r="R446" s="11" t="str">
        <f aca="false">IF(AND(O446="Low",P446="Low",Q446="Good"),"BUY / PRIORITIZE",IF(AND(O446="High",P446="High",OR(Q446="Poor",M446=TRUE())),"HOLD / REVIEW","MONITOR"))</f>
        <v>MONITOR</v>
      </c>
      <c r="S446" s="11" t="n">
        <f aca="false">K446+(ROW()/10000000)</f>
        <v>36.0000446</v>
      </c>
    </row>
    <row r="447" customFormat="false" ht="15" hidden="false" customHeight="false" outlineLevel="0" collapsed="false">
      <c r="A447" s="11" t="s">
        <v>644</v>
      </c>
      <c r="B447" s="11" t="s">
        <v>30</v>
      </c>
      <c r="C447" s="11" t="s">
        <v>107</v>
      </c>
      <c r="D447" s="11" t="s">
        <v>34</v>
      </c>
      <c r="E447" s="11"/>
      <c r="F447" s="11" t="s">
        <v>120</v>
      </c>
      <c r="G447" s="21" t="n">
        <v>58.56</v>
      </c>
      <c r="H447" s="19" t="n">
        <v>0</v>
      </c>
      <c r="I447" s="21" t="n">
        <v>58.56</v>
      </c>
      <c r="J447" s="22" t="s">
        <v>645</v>
      </c>
      <c r="K447" s="11" t="n">
        <v>21</v>
      </c>
      <c r="L447" s="23" t="n">
        <v>2.3</v>
      </c>
      <c r="M447" s="24" t="b">
        <f aca="false">FALSE()</f>
        <v>0</v>
      </c>
      <c r="N447" s="11"/>
      <c r="O447" s="11" t="str">
        <f aca="false">IF(K447&lt;=StockP33,"Low",IF(K447&lt;=StockP67,"Moderate","High"))</f>
        <v>Moderate</v>
      </c>
      <c r="P447" s="11" t="str">
        <f aca="false">IF(H447=0,"Low",IF(H447&lt;=MarkdownP75,"Moderate","High"))</f>
        <v>Low</v>
      </c>
      <c r="Q447" s="11" t="str">
        <f aca="false">IF(ISBLANK(L447),"Unknown",IF(L447&gt;=4,"Good",IF(L447&lt;=2,"Poor","Neutral")))</f>
        <v>Neutral</v>
      </c>
      <c r="R447" s="11" t="str">
        <f aca="false">IF(AND(O447="Low",P447="Low",Q447="Good"),"BUY / PRIORITIZE",IF(AND(O447="High",P447="High",OR(Q447="Poor",M447=TRUE())),"HOLD / REVIEW","MONITOR"))</f>
        <v>MONITOR</v>
      </c>
      <c r="S447" s="11" t="n">
        <f aca="false">K447+(ROW()/10000000)</f>
        <v>21.0000447</v>
      </c>
    </row>
    <row r="448" customFormat="false" ht="15" hidden="false" customHeight="false" outlineLevel="0" collapsed="false">
      <c r="A448" s="11" t="s">
        <v>646</v>
      </c>
      <c r="B448" s="11" t="s">
        <v>27</v>
      </c>
      <c r="C448" s="11" t="s">
        <v>101</v>
      </c>
      <c r="D448" s="11" t="s">
        <v>35</v>
      </c>
      <c r="E448" s="11" t="s">
        <v>78</v>
      </c>
      <c r="F448" s="11" t="s">
        <v>79</v>
      </c>
      <c r="G448" s="21" t="n">
        <v>167.64</v>
      </c>
      <c r="H448" s="19" t="n">
        <v>0</v>
      </c>
      <c r="I448" s="21" t="n">
        <v>167.64</v>
      </c>
      <c r="J448" s="22" t="s">
        <v>80</v>
      </c>
      <c r="K448" s="11" t="n">
        <v>18</v>
      </c>
      <c r="L448" s="23" t="n">
        <v>4.1</v>
      </c>
      <c r="M448" s="24" t="b">
        <f aca="false">FALSE()</f>
        <v>0</v>
      </c>
      <c r="N448" s="11"/>
      <c r="O448" s="11" t="str">
        <f aca="false">IF(K448&lt;=StockP33,"Low",IF(K448&lt;=StockP67,"Moderate","High"))</f>
        <v>Moderate</v>
      </c>
      <c r="P448" s="11" t="str">
        <f aca="false">IF(H448=0,"Low",IF(H448&lt;=MarkdownP75,"Moderate","High"))</f>
        <v>Low</v>
      </c>
      <c r="Q448" s="11" t="str">
        <f aca="false">IF(ISBLANK(L448),"Unknown",IF(L448&gt;=4,"Good",IF(L448&lt;=2,"Poor","Neutral")))</f>
        <v>Good</v>
      </c>
      <c r="R448" s="11" t="str">
        <f aca="false">IF(AND(O448="Low",P448="Low",Q448="Good"),"BUY / PRIORITIZE",IF(AND(O448="High",P448="High",OR(Q448="Poor",M448=TRUE())),"HOLD / REVIEW","MONITOR"))</f>
        <v>MONITOR</v>
      </c>
      <c r="S448" s="11" t="n">
        <f aca="false">K448+(ROW()/10000000)</f>
        <v>18.0000448</v>
      </c>
    </row>
    <row r="449" customFormat="false" ht="15" hidden="false" customHeight="false" outlineLevel="0" collapsed="false">
      <c r="A449" s="11" t="s">
        <v>647</v>
      </c>
      <c r="B449" s="11" t="s">
        <v>28</v>
      </c>
      <c r="C449" s="11" t="s">
        <v>72</v>
      </c>
      <c r="D449" s="11" t="s">
        <v>36</v>
      </c>
      <c r="E449" s="11" t="s">
        <v>102</v>
      </c>
      <c r="F449" s="11" t="s">
        <v>74</v>
      </c>
      <c r="G449" s="21" t="n">
        <v>193.14</v>
      </c>
      <c r="H449" s="19" t="n">
        <v>0</v>
      </c>
      <c r="I449" s="21" t="n">
        <v>193.14</v>
      </c>
      <c r="J449" s="22" t="s">
        <v>80</v>
      </c>
      <c r="K449" s="11" t="n">
        <v>7</v>
      </c>
      <c r="L449" s="23" t="n">
        <v>3.5</v>
      </c>
      <c r="M449" s="24" t="b">
        <f aca="false">FALSE()</f>
        <v>0</v>
      </c>
      <c r="N449" s="11"/>
      <c r="O449" s="11" t="str">
        <f aca="false">IF(K449&lt;=StockP33,"Low",IF(K449&lt;=StockP67,"Moderate","High"))</f>
        <v>Low</v>
      </c>
      <c r="P449" s="11" t="str">
        <f aca="false">IF(H449=0,"Low",IF(H449&lt;=MarkdownP75,"Moderate","High"))</f>
        <v>Low</v>
      </c>
      <c r="Q449" s="11" t="str">
        <f aca="false">IF(ISBLANK(L449),"Unknown",IF(L449&gt;=4,"Good",IF(L449&lt;=2,"Poor","Neutral")))</f>
        <v>Neutral</v>
      </c>
      <c r="R449" s="11" t="str">
        <f aca="false">IF(AND(O449="Low",P449="Low",Q449="Good"),"BUY / PRIORITIZE",IF(AND(O449="High",P449="High",OR(Q449="Poor",M449=TRUE())),"HOLD / REVIEW","MONITOR"))</f>
        <v>MONITOR</v>
      </c>
      <c r="S449" s="11" t="n">
        <f aca="false">K449+(ROW()/10000000)</f>
        <v>7.0000449</v>
      </c>
    </row>
    <row r="450" customFormat="false" ht="15" hidden="false" customHeight="false" outlineLevel="0" collapsed="false">
      <c r="A450" s="11" t="s">
        <v>648</v>
      </c>
      <c r="B450" s="11" t="s">
        <v>8</v>
      </c>
      <c r="C450" s="11" t="s">
        <v>116</v>
      </c>
      <c r="D450" s="11" t="s">
        <v>37</v>
      </c>
      <c r="E450" s="11"/>
      <c r="F450" s="11" t="s">
        <v>92</v>
      </c>
      <c r="G450" s="21" t="n">
        <v>60.06</v>
      </c>
      <c r="H450" s="19" t="n">
        <v>15.6</v>
      </c>
      <c r="I450" s="21" t="n">
        <v>50.69</v>
      </c>
      <c r="J450" s="22" t="s">
        <v>80</v>
      </c>
      <c r="K450" s="11" t="n">
        <v>49</v>
      </c>
      <c r="L450" s="23" t="n">
        <v>2</v>
      </c>
      <c r="M450" s="24" t="b">
        <f aca="false">TRUE()</f>
        <v>1</v>
      </c>
      <c r="N450" s="11" t="s">
        <v>89</v>
      </c>
      <c r="O450" s="11" t="str">
        <f aca="false">IF(K450&lt;=StockP33,"Low",IF(K450&lt;=StockP67,"Moderate","High"))</f>
        <v>High</v>
      </c>
      <c r="P450" s="11" t="str">
        <f aca="false">IF(H450=0,"Low",IF(H450&lt;=MarkdownP75,"Moderate","High"))</f>
        <v>Moderate</v>
      </c>
      <c r="Q450" s="11" t="str">
        <f aca="false">IF(ISBLANK(L450),"Unknown",IF(L450&gt;=4,"Good",IF(L450&lt;=2,"Poor","Neutral")))</f>
        <v>Poor</v>
      </c>
      <c r="R450" s="11" t="str">
        <f aca="false">IF(AND(O450="Low",P450="Low",Q450="Good"),"BUY / PRIORITIZE",IF(AND(O450="High",P450="High",OR(Q450="Poor",M450=TRUE())),"HOLD / REVIEW","MONITOR"))</f>
        <v>MONITOR</v>
      </c>
      <c r="S450" s="11" t="n">
        <f aca="false">K450+(ROW()/10000000)</f>
        <v>49.000045</v>
      </c>
    </row>
    <row r="451" customFormat="false" ht="15" hidden="false" customHeight="false" outlineLevel="0" collapsed="false">
      <c r="A451" s="11" t="s">
        <v>649</v>
      </c>
      <c r="B451" s="11" t="s">
        <v>26</v>
      </c>
      <c r="C451" s="11" t="s">
        <v>86</v>
      </c>
      <c r="D451" s="11" t="s">
        <v>36</v>
      </c>
      <c r="E451" s="11" t="s">
        <v>113</v>
      </c>
      <c r="F451" s="11" t="s">
        <v>92</v>
      </c>
      <c r="G451" s="21" t="n">
        <v>35.37</v>
      </c>
      <c r="H451" s="19" t="n">
        <v>0</v>
      </c>
      <c r="I451" s="21" t="n">
        <v>35.37</v>
      </c>
      <c r="J451" s="22" t="s">
        <v>80</v>
      </c>
      <c r="K451" s="11" t="n">
        <v>29</v>
      </c>
      <c r="L451" s="23" t="n">
        <v>4.7</v>
      </c>
      <c r="M451" s="24" t="b">
        <f aca="false">FALSE()</f>
        <v>0</v>
      </c>
      <c r="N451" s="11"/>
      <c r="O451" s="11" t="str">
        <f aca="false">IF(K451&lt;=StockP33,"Low",IF(K451&lt;=StockP67,"Moderate","High"))</f>
        <v>Moderate</v>
      </c>
      <c r="P451" s="11" t="str">
        <f aca="false">IF(H451=0,"Low",IF(H451&lt;=MarkdownP75,"Moderate","High"))</f>
        <v>Low</v>
      </c>
      <c r="Q451" s="11" t="str">
        <f aca="false">IF(ISBLANK(L451),"Unknown",IF(L451&gt;=4,"Good",IF(L451&lt;=2,"Poor","Neutral")))</f>
        <v>Good</v>
      </c>
      <c r="R451" s="11" t="str">
        <f aca="false">IF(AND(O451="Low",P451="Low",Q451="Good"),"BUY / PRIORITIZE",IF(AND(O451="High",P451="High",OR(Q451="Poor",M451=TRUE())),"HOLD / REVIEW","MONITOR"))</f>
        <v>MONITOR</v>
      </c>
      <c r="S451" s="11" t="n">
        <f aca="false">K451+(ROW()/10000000)</f>
        <v>29.0000451</v>
      </c>
    </row>
    <row r="452" customFormat="false" ht="15" hidden="false" customHeight="false" outlineLevel="0" collapsed="false">
      <c r="A452" s="11" t="s">
        <v>650</v>
      </c>
      <c r="B452" s="11" t="s">
        <v>8</v>
      </c>
      <c r="C452" s="11" t="s">
        <v>95</v>
      </c>
      <c r="D452" s="11" t="s">
        <v>35</v>
      </c>
      <c r="E452" s="11"/>
      <c r="F452" s="11" t="s">
        <v>120</v>
      </c>
      <c r="G452" s="21" t="n">
        <v>39.85</v>
      </c>
      <c r="H452" s="19" t="n">
        <v>0</v>
      </c>
      <c r="I452" s="21" t="n">
        <v>39.85</v>
      </c>
      <c r="J452" s="22" t="s">
        <v>80</v>
      </c>
      <c r="K452" s="11" t="n">
        <v>28</v>
      </c>
      <c r="L452" s="23" t="n">
        <v>2.4</v>
      </c>
      <c r="M452" s="24" t="b">
        <f aca="false">FALSE()</f>
        <v>0</v>
      </c>
      <c r="N452" s="11"/>
      <c r="O452" s="11" t="str">
        <f aca="false">IF(K452&lt;=StockP33,"Low",IF(K452&lt;=StockP67,"Moderate","High"))</f>
        <v>Moderate</v>
      </c>
      <c r="P452" s="11" t="str">
        <f aca="false">IF(H452=0,"Low",IF(H452&lt;=MarkdownP75,"Moderate","High"))</f>
        <v>Low</v>
      </c>
      <c r="Q452" s="11" t="str">
        <f aca="false">IF(ISBLANK(L452),"Unknown",IF(L452&gt;=4,"Good",IF(L452&lt;=2,"Poor","Neutral")))</f>
        <v>Neutral</v>
      </c>
      <c r="R452" s="11" t="str">
        <f aca="false">IF(AND(O452="Low",P452="Low",Q452="Good"),"BUY / PRIORITIZE",IF(AND(O452="High",P452="High",OR(Q452="Poor",M452=TRUE())),"HOLD / REVIEW","MONITOR"))</f>
        <v>MONITOR</v>
      </c>
      <c r="S452" s="11" t="n">
        <f aca="false">K452+(ROW()/10000000)</f>
        <v>28.0000452</v>
      </c>
    </row>
    <row r="453" customFormat="false" ht="15" hidden="false" customHeight="false" outlineLevel="0" collapsed="false">
      <c r="A453" s="11" t="s">
        <v>651</v>
      </c>
      <c r="B453" s="11" t="s">
        <v>30</v>
      </c>
      <c r="C453" s="11" t="s">
        <v>72</v>
      </c>
      <c r="D453" s="11" t="s">
        <v>37</v>
      </c>
      <c r="E453" s="11" t="s">
        <v>73</v>
      </c>
      <c r="F453" s="11" t="s">
        <v>82</v>
      </c>
      <c r="G453" s="21" t="n">
        <v>85.34</v>
      </c>
      <c r="H453" s="19" t="n">
        <v>59.4</v>
      </c>
      <c r="I453" s="21" t="n">
        <v>34.65</v>
      </c>
      <c r="J453" s="22" t="s">
        <v>80</v>
      </c>
      <c r="K453" s="11" t="n">
        <v>5</v>
      </c>
      <c r="L453" s="23" t="n">
        <v>4.9</v>
      </c>
      <c r="M453" s="24" t="b">
        <f aca="false">FALSE()</f>
        <v>0</v>
      </c>
      <c r="N453" s="11"/>
      <c r="O453" s="11" t="str">
        <f aca="false">IF(K453&lt;=StockP33,"Low",IF(K453&lt;=StockP67,"Moderate","High"))</f>
        <v>Low</v>
      </c>
      <c r="P453" s="11" t="str">
        <f aca="false">IF(H453=0,"Low",IF(H453&lt;=MarkdownP75,"Moderate","High"))</f>
        <v>High</v>
      </c>
      <c r="Q453" s="11" t="str">
        <f aca="false">IF(ISBLANK(L453),"Unknown",IF(L453&gt;=4,"Good",IF(L453&lt;=2,"Poor","Neutral")))</f>
        <v>Good</v>
      </c>
      <c r="R453" s="11" t="str">
        <f aca="false">IF(AND(O453="Low",P453="Low",Q453="Good"),"BUY / PRIORITIZE",IF(AND(O453="High",P453="High",OR(Q453="Poor",M453=TRUE())),"HOLD / REVIEW","MONITOR"))</f>
        <v>MONITOR</v>
      </c>
      <c r="S453" s="11" t="n">
        <f aca="false">K453+(ROW()/10000000)</f>
        <v>5.0000453</v>
      </c>
    </row>
    <row r="454" customFormat="false" ht="15" hidden="false" customHeight="false" outlineLevel="0" collapsed="false">
      <c r="A454" s="11" t="s">
        <v>652</v>
      </c>
      <c r="B454" s="11" t="s">
        <v>26</v>
      </c>
      <c r="C454" s="11" t="s">
        <v>130</v>
      </c>
      <c r="D454" s="11" t="s">
        <v>36</v>
      </c>
      <c r="E454" s="11" t="s">
        <v>102</v>
      </c>
      <c r="F454" s="11" t="s">
        <v>88</v>
      </c>
      <c r="G454" s="21" t="n">
        <v>81.17</v>
      </c>
      <c r="H454" s="19" t="n">
        <v>0</v>
      </c>
      <c r="I454" s="21" t="n">
        <v>81.17</v>
      </c>
      <c r="J454" s="22" t="s">
        <v>80</v>
      </c>
      <c r="K454" s="11" t="n">
        <v>21</v>
      </c>
      <c r="L454" s="23" t="n">
        <v>1.2</v>
      </c>
      <c r="M454" s="24" t="b">
        <f aca="false">FALSE()</f>
        <v>0</v>
      </c>
      <c r="N454" s="11"/>
      <c r="O454" s="11" t="str">
        <f aca="false">IF(K454&lt;=StockP33,"Low",IF(K454&lt;=StockP67,"Moderate","High"))</f>
        <v>Moderate</v>
      </c>
      <c r="P454" s="11" t="str">
        <f aca="false">IF(H454=0,"Low",IF(H454&lt;=MarkdownP75,"Moderate","High"))</f>
        <v>Low</v>
      </c>
      <c r="Q454" s="11" t="str">
        <f aca="false">IF(ISBLANK(L454),"Unknown",IF(L454&gt;=4,"Good",IF(L454&lt;=2,"Poor","Neutral")))</f>
        <v>Poor</v>
      </c>
      <c r="R454" s="11" t="str">
        <f aca="false">IF(AND(O454="Low",P454="Low",Q454="Good"),"BUY / PRIORITIZE",IF(AND(O454="High",P454="High",OR(Q454="Poor",M454=TRUE())),"HOLD / REVIEW","MONITOR"))</f>
        <v>MONITOR</v>
      </c>
      <c r="S454" s="11" t="n">
        <f aca="false">K454+(ROW()/10000000)</f>
        <v>21.0000454</v>
      </c>
    </row>
    <row r="455" customFormat="false" ht="15" hidden="false" customHeight="false" outlineLevel="0" collapsed="false">
      <c r="A455" s="11" t="s">
        <v>653</v>
      </c>
      <c r="B455" s="11" t="s">
        <v>8</v>
      </c>
      <c r="C455" s="11" t="s">
        <v>107</v>
      </c>
      <c r="D455" s="11" t="s">
        <v>34</v>
      </c>
      <c r="E455" s="11"/>
      <c r="F455" s="11" t="s">
        <v>88</v>
      </c>
      <c r="G455" s="21" t="n">
        <v>16.81</v>
      </c>
      <c r="H455" s="19" t="n">
        <v>0</v>
      </c>
      <c r="I455" s="21" t="n">
        <v>16.81</v>
      </c>
      <c r="J455" s="22" t="s">
        <v>654</v>
      </c>
      <c r="K455" s="11" t="n">
        <v>16</v>
      </c>
      <c r="L455" s="23" t="n">
        <v>2.8</v>
      </c>
      <c r="M455" s="24" t="b">
        <f aca="false">FALSE()</f>
        <v>0</v>
      </c>
      <c r="N455" s="11"/>
      <c r="O455" s="11" t="str">
        <f aca="false">IF(K455&lt;=StockP33,"Low",IF(K455&lt;=StockP67,"Moderate","High"))</f>
        <v>Low</v>
      </c>
      <c r="P455" s="11" t="str">
        <f aca="false">IF(H455=0,"Low",IF(H455&lt;=MarkdownP75,"Moderate","High"))</f>
        <v>Low</v>
      </c>
      <c r="Q455" s="11" t="str">
        <f aca="false">IF(ISBLANK(L455),"Unknown",IF(L455&gt;=4,"Good",IF(L455&lt;=2,"Poor","Neutral")))</f>
        <v>Neutral</v>
      </c>
      <c r="R455" s="11" t="str">
        <f aca="false">IF(AND(O455="Low",P455="Low",Q455="Good"),"BUY / PRIORITIZE",IF(AND(O455="High",P455="High",OR(Q455="Poor",M455=TRUE())),"HOLD / REVIEW","MONITOR"))</f>
        <v>MONITOR</v>
      </c>
      <c r="S455" s="11" t="n">
        <f aca="false">K455+(ROW()/10000000)</f>
        <v>16.0000455</v>
      </c>
    </row>
    <row r="456" customFormat="false" ht="15" hidden="false" customHeight="false" outlineLevel="0" collapsed="false">
      <c r="A456" s="11" t="s">
        <v>655</v>
      </c>
      <c r="B456" s="11" t="s">
        <v>30</v>
      </c>
      <c r="C456" s="11" t="s">
        <v>107</v>
      </c>
      <c r="D456" s="11" t="s">
        <v>37</v>
      </c>
      <c r="E456" s="11" t="s">
        <v>73</v>
      </c>
      <c r="F456" s="11" t="s">
        <v>82</v>
      </c>
      <c r="G456" s="21" t="n">
        <v>115.71</v>
      </c>
      <c r="H456" s="19" t="n">
        <v>55</v>
      </c>
      <c r="I456" s="21" t="n">
        <v>52.07</v>
      </c>
      <c r="J456" s="22" t="s">
        <v>80</v>
      </c>
      <c r="K456" s="11" t="n">
        <v>6</v>
      </c>
      <c r="L456" s="23" t="n">
        <v>1.6</v>
      </c>
      <c r="M456" s="24" t="b">
        <f aca="false">FALSE()</f>
        <v>0</v>
      </c>
      <c r="N456" s="11"/>
      <c r="O456" s="11" t="str">
        <f aca="false">IF(K456&lt;=StockP33,"Low",IF(K456&lt;=StockP67,"Moderate","High"))</f>
        <v>Low</v>
      </c>
      <c r="P456" s="11" t="str">
        <f aca="false">IF(H456=0,"Low",IF(H456&lt;=MarkdownP75,"Moderate","High"))</f>
        <v>High</v>
      </c>
      <c r="Q456" s="11" t="str">
        <f aca="false">IF(ISBLANK(L456),"Unknown",IF(L456&gt;=4,"Good",IF(L456&lt;=2,"Poor","Neutral")))</f>
        <v>Poor</v>
      </c>
      <c r="R456" s="11" t="str">
        <f aca="false">IF(AND(O456="Low",P456="Low",Q456="Good"),"BUY / PRIORITIZE",IF(AND(O456="High",P456="High",OR(Q456="Poor",M456=TRUE())),"HOLD / REVIEW","MONITOR"))</f>
        <v>MONITOR</v>
      </c>
      <c r="S456" s="11" t="n">
        <f aca="false">K456+(ROW()/10000000)</f>
        <v>6.0000456</v>
      </c>
    </row>
    <row r="457" customFormat="false" ht="15" hidden="false" customHeight="false" outlineLevel="0" collapsed="false">
      <c r="A457" s="11" t="s">
        <v>656</v>
      </c>
      <c r="B457" s="11" t="s">
        <v>26</v>
      </c>
      <c r="C457" s="11" t="s">
        <v>95</v>
      </c>
      <c r="D457" s="11" t="s">
        <v>35</v>
      </c>
      <c r="E457" s="11" t="s">
        <v>102</v>
      </c>
      <c r="F457" s="11" t="s">
        <v>79</v>
      </c>
      <c r="G457" s="21" t="n">
        <v>49.87</v>
      </c>
      <c r="H457" s="19" t="n">
        <v>0</v>
      </c>
      <c r="I457" s="21" t="n">
        <v>49.87</v>
      </c>
      <c r="J457" s="22" t="s">
        <v>80</v>
      </c>
      <c r="K457" s="11" t="n">
        <v>17</v>
      </c>
      <c r="L457" s="23" t="n">
        <v>2.1</v>
      </c>
      <c r="M457" s="24" t="b">
        <f aca="false">FALSE()</f>
        <v>0</v>
      </c>
      <c r="N457" s="11"/>
      <c r="O457" s="11" t="str">
        <f aca="false">IF(K457&lt;=StockP33,"Low",IF(K457&lt;=StockP67,"Moderate","High"))</f>
        <v>Low</v>
      </c>
      <c r="P457" s="11" t="str">
        <f aca="false">IF(H457=0,"Low",IF(H457&lt;=MarkdownP75,"Moderate","High"))</f>
        <v>Low</v>
      </c>
      <c r="Q457" s="11" t="str">
        <f aca="false">IF(ISBLANK(L457),"Unknown",IF(L457&gt;=4,"Good",IF(L457&lt;=2,"Poor","Neutral")))</f>
        <v>Neutral</v>
      </c>
      <c r="R457" s="11" t="str">
        <f aca="false">IF(AND(O457="Low",P457="Low",Q457="Good"),"BUY / PRIORITIZE",IF(AND(O457="High",P457="High",OR(Q457="Poor",M457=TRUE())),"HOLD / REVIEW","MONITOR"))</f>
        <v>MONITOR</v>
      </c>
      <c r="S457" s="11" t="n">
        <f aca="false">K457+(ROW()/10000000)</f>
        <v>17.0000457</v>
      </c>
    </row>
    <row r="458" customFormat="false" ht="15" hidden="false" customHeight="false" outlineLevel="0" collapsed="false">
      <c r="A458" s="11" t="s">
        <v>657</v>
      </c>
      <c r="B458" s="11" t="s">
        <v>29</v>
      </c>
      <c r="C458" s="11" t="s">
        <v>95</v>
      </c>
      <c r="D458" s="11" t="s">
        <v>36</v>
      </c>
      <c r="E458" s="11" t="s">
        <v>110</v>
      </c>
      <c r="F458" s="11" t="s">
        <v>111</v>
      </c>
      <c r="G458" s="21" t="n">
        <v>107.96</v>
      </c>
      <c r="H458" s="19" t="n">
        <v>52.9</v>
      </c>
      <c r="I458" s="21" t="n">
        <v>50.85</v>
      </c>
      <c r="J458" s="22" t="s">
        <v>80</v>
      </c>
      <c r="K458" s="11" t="n">
        <v>2</v>
      </c>
      <c r="L458" s="23" t="n">
        <v>4.9</v>
      </c>
      <c r="M458" s="24" t="b">
        <f aca="false">FALSE()</f>
        <v>0</v>
      </c>
      <c r="N458" s="11"/>
      <c r="O458" s="11" t="str">
        <f aca="false">IF(K458&lt;=StockP33,"Low",IF(K458&lt;=StockP67,"Moderate","High"))</f>
        <v>Low</v>
      </c>
      <c r="P458" s="11" t="str">
        <f aca="false">IF(H458=0,"Low",IF(H458&lt;=MarkdownP75,"Moderate","High"))</f>
        <v>High</v>
      </c>
      <c r="Q458" s="11" t="str">
        <f aca="false">IF(ISBLANK(L458),"Unknown",IF(L458&gt;=4,"Good",IF(L458&lt;=2,"Poor","Neutral")))</f>
        <v>Good</v>
      </c>
      <c r="R458" s="11" t="str">
        <f aca="false">IF(AND(O458="Low",P458="Low",Q458="Good"),"BUY / PRIORITIZE",IF(AND(O458="High",P458="High",OR(Q458="Poor",M458=TRUE())),"HOLD / REVIEW","MONITOR"))</f>
        <v>MONITOR</v>
      </c>
      <c r="S458" s="11" t="n">
        <f aca="false">K458+(ROW()/10000000)</f>
        <v>2.0000458</v>
      </c>
    </row>
    <row r="459" customFormat="false" ht="15" hidden="false" customHeight="false" outlineLevel="0" collapsed="false">
      <c r="A459" s="11" t="s">
        <v>658</v>
      </c>
      <c r="B459" s="11" t="s">
        <v>29</v>
      </c>
      <c r="C459" s="11" t="s">
        <v>95</v>
      </c>
      <c r="D459" s="11" t="s">
        <v>35</v>
      </c>
      <c r="E459" s="11" t="s">
        <v>113</v>
      </c>
      <c r="F459" s="11" t="s">
        <v>82</v>
      </c>
      <c r="G459" s="21" t="n">
        <v>138.35</v>
      </c>
      <c r="H459" s="19" t="n">
        <v>31.7</v>
      </c>
      <c r="I459" s="21" t="n">
        <v>94.49</v>
      </c>
      <c r="J459" s="22" t="s">
        <v>80</v>
      </c>
      <c r="K459" s="11" t="n">
        <v>3</v>
      </c>
      <c r="L459" s="23" t="n">
        <v>2.5</v>
      </c>
      <c r="M459" s="24" t="b">
        <f aca="false">FALSE()</f>
        <v>0</v>
      </c>
      <c r="N459" s="11"/>
      <c r="O459" s="11" t="str">
        <f aca="false">IF(K459&lt;=StockP33,"Low",IF(K459&lt;=StockP67,"Moderate","High"))</f>
        <v>Low</v>
      </c>
      <c r="P459" s="11" t="str">
        <f aca="false">IF(H459=0,"Low",IF(H459&lt;=MarkdownP75,"Moderate","High"))</f>
        <v>High</v>
      </c>
      <c r="Q459" s="11" t="str">
        <f aca="false">IF(ISBLANK(L459),"Unknown",IF(L459&gt;=4,"Good",IF(L459&lt;=2,"Poor","Neutral")))</f>
        <v>Neutral</v>
      </c>
      <c r="R459" s="11" t="str">
        <f aca="false">IF(AND(O459="Low",P459="Low",Q459="Good"),"BUY / PRIORITIZE",IF(AND(O459="High",P459="High",OR(Q459="Poor",M459=TRUE())),"HOLD / REVIEW","MONITOR"))</f>
        <v>MONITOR</v>
      </c>
      <c r="S459" s="11" t="n">
        <f aca="false">K459+(ROW()/10000000)</f>
        <v>3.0000459</v>
      </c>
    </row>
    <row r="460" customFormat="false" ht="15" hidden="false" customHeight="false" outlineLevel="0" collapsed="false">
      <c r="A460" s="11" t="s">
        <v>659</v>
      </c>
      <c r="B460" s="11" t="s">
        <v>30</v>
      </c>
      <c r="C460" s="11" t="s">
        <v>116</v>
      </c>
      <c r="D460" s="11" t="s">
        <v>34</v>
      </c>
      <c r="E460" s="11" t="s">
        <v>110</v>
      </c>
      <c r="F460" s="11" t="s">
        <v>74</v>
      </c>
      <c r="G460" s="21" t="n">
        <v>32.01</v>
      </c>
      <c r="H460" s="19" t="n">
        <v>0</v>
      </c>
      <c r="I460" s="21" t="n">
        <v>32.01</v>
      </c>
      <c r="J460" s="22" t="s">
        <v>517</v>
      </c>
      <c r="K460" s="11" t="n">
        <v>43</v>
      </c>
      <c r="L460" s="23" t="n">
        <v>3.4</v>
      </c>
      <c r="M460" s="24" t="b">
        <f aca="false">TRUE()</f>
        <v>1</v>
      </c>
      <c r="N460" s="11" t="s">
        <v>191</v>
      </c>
      <c r="O460" s="11" t="str">
        <f aca="false">IF(K460&lt;=StockP33,"Low",IF(K460&lt;=StockP67,"Moderate","High"))</f>
        <v>High</v>
      </c>
      <c r="P460" s="11" t="str">
        <f aca="false">IF(H460=0,"Low",IF(H460&lt;=MarkdownP75,"Moderate","High"))</f>
        <v>Low</v>
      </c>
      <c r="Q460" s="11" t="str">
        <f aca="false">IF(ISBLANK(L460),"Unknown",IF(L460&gt;=4,"Good",IF(L460&lt;=2,"Poor","Neutral")))</f>
        <v>Neutral</v>
      </c>
      <c r="R460" s="11" t="str">
        <f aca="false">IF(AND(O460="Low",P460="Low",Q460="Good"),"BUY / PRIORITIZE",IF(AND(O460="High",P460="High",OR(Q460="Poor",M460=TRUE())),"HOLD / REVIEW","MONITOR"))</f>
        <v>MONITOR</v>
      </c>
      <c r="S460" s="11" t="n">
        <f aca="false">K460+(ROW()/10000000)</f>
        <v>43.000046</v>
      </c>
    </row>
    <row r="461" customFormat="false" ht="15" hidden="false" customHeight="false" outlineLevel="0" collapsed="false">
      <c r="A461" s="11" t="s">
        <v>660</v>
      </c>
      <c r="B461" s="11" t="s">
        <v>27</v>
      </c>
      <c r="C461" s="11" t="s">
        <v>101</v>
      </c>
      <c r="D461" s="11" t="s">
        <v>36</v>
      </c>
      <c r="E461" s="11" t="s">
        <v>110</v>
      </c>
      <c r="F461" s="11" t="s">
        <v>82</v>
      </c>
      <c r="G461" s="21" t="n">
        <v>129.08</v>
      </c>
      <c r="H461" s="19" t="n">
        <v>50.6</v>
      </c>
      <c r="I461" s="21" t="n">
        <v>63.77</v>
      </c>
      <c r="J461" s="22" t="s">
        <v>80</v>
      </c>
      <c r="K461" s="11" t="n">
        <v>10</v>
      </c>
      <c r="L461" s="23" t="n">
        <v>4.4</v>
      </c>
      <c r="M461" s="24" t="b">
        <f aca="false">FALSE()</f>
        <v>0</v>
      </c>
      <c r="N461" s="11"/>
      <c r="O461" s="11" t="str">
        <f aca="false">IF(K461&lt;=StockP33,"Low",IF(K461&lt;=StockP67,"Moderate","High"))</f>
        <v>Low</v>
      </c>
      <c r="P461" s="11" t="str">
        <f aca="false">IF(H461=0,"Low",IF(H461&lt;=MarkdownP75,"Moderate","High"))</f>
        <v>High</v>
      </c>
      <c r="Q461" s="11" t="str">
        <f aca="false">IF(ISBLANK(L461),"Unknown",IF(L461&gt;=4,"Good",IF(L461&lt;=2,"Poor","Neutral")))</f>
        <v>Good</v>
      </c>
      <c r="R461" s="11" t="str">
        <f aca="false">IF(AND(O461="Low",P461="Low",Q461="Good"),"BUY / PRIORITIZE",IF(AND(O461="High",P461="High",OR(Q461="Poor",M461=TRUE())),"HOLD / REVIEW","MONITOR"))</f>
        <v>MONITOR</v>
      </c>
      <c r="S461" s="11" t="n">
        <f aca="false">K461+(ROW()/10000000)</f>
        <v>10.0000461</v>
      </c>
    </row>
    <row r="462" customFormat="false" ht="15" hidden="false" customHeight="false" outlineLevel="0" collapsed="false">
      <c r="A462" s="11" t="s">
        <v>661</v>
      </c>
      <c r="B462" s="11" t="s">
        <v>27</v>
      </c>
      <c r="C462" s="11" t="s">
        <v>86</v>
      </c>
      <c r="D462" s="11" t="s">
        <v>37</v>
      </c>
      <c r="E462" s="11" t="s">
        <v>113</v>
      </c>
      <c r="F462" s="11" t="s">
        <v>92</v>
      </c>
      <c r="G462" s="21" t="n">
        <v>68.57</v>
      </c>
      <c r="H462" s="19" t="n">
        <v>56.4</v>
      </c>
      <c r="I462" s="21" t="n">
        <v>29.9</v>
      </c>
      <c r="J462" s="22" t="s">
        <v>80</v>
      </c>
      <c r="K462" s="11" t="n">
        <v>30</v>
      </c>
      <c r="L462" s="23" t="n">
        <v>1.8</v>
      </c>
      <c r="M462" s="24" t="b">
        <f aca="false">FALSE()</f>
        <v>0</v>
      </c>
      <c r="N462" s="11"/>
      <c r="O462" s="11" t="str">
        <f aca="false">IF(K462&lt;=StockP33,"Low",IF(K462&lt;=StockP67,"Moderate","High"))</f>
        <v>Moderate</v>
      </c>
      <c r="P462" s="11" t="str">
        <f aca="false">IF(H462=0,"Low",IF(H462&lt;=MarkdownP75,"Moderate","High"))</f>
        <v>High</v>
      </c>
      <c r="Q462" s="11" t="str">
        <f aca="false">IF(ISBLANK(L462),"Unknown",IF(L462&gt;=4,"Good",IF(L462&lt;=2,"Poor","Neutral")))</f>
        <v>Poor</v>
      </c>
      <c r="R462" s="11" t="str">
        <f aca="false">IF(AND(O462="Low",P462="Low",Q462="Good"),"BUY / PRIORITIZE",IF(AND(O462="High",P462="High",OR(Q462="Poor",M462=TRUE())),"HOLD / REVIEW","MONITOR"))</f>
        <v>MONITOR</v>
      </c>
      <c r="S462" s="11" t="n">
        <f aca="false">K462+(ROW()/10000000)</f>
        <v>30.0000462</v>
      </c>
    </row>
    <row r="463" customFormat="false" ht="15" hidden="false" customHeight="false" outlineLevel="0" collapsed="false">
      <c r="A463" s="11" t="s">
        <v>662</v>
      </c>
      <c r="B463" s="11" t="s">
        <v>8</v>
      </c>
      <c r="C463" s="11" t="s">
        <v>101</v>
      </c>
      <c r="D463" s="11" t="s">
        <v>37</v>
      </c>
      <c r="E463" s="11"/>
      <c r="F463" s="11" t="s">
        <v>92</v>
      </c>
      <c r="G463" s="21" t="n">
        <v>46.46</v>
      </c>
      <c r="H463" s="19" t="n">
        <v>0</v>
      </c>
      <c r="I463" s="21" t="n">
        <v>46.46</v>
      </c>
      <c r="J463" s="22" t="s">
        <v>80</v>
      </c>
      <c r="K463" s="11" t="n">
        <v>30</v>
      </c>
      <c r="L463" s="23"/>
      <c r="M463" s="24" t="b">
        <f aca="false">FALSE()</f>
        <v>0</v>
      </c>
      <c r="N463" s="11"/>
      <c r="O463" s="11" t="str">
        <f aca="false">IF(K463&lt;=StockP33,"Low",IF(K463&lt;=StockP67,"Moderate","High"))</f>
        <v>Moderate</v>
      </c>
      <c r="P463" s="11" t="str">
        <f aca="false">IF(H463=0,"Low",IF(H463&lt;=MarkdownP75,"Moderate","High"))</f>
        <v>Low</v>
      </c>
      <c r="Q463" s="11" t="str">
        <f aca="false">IF(ISBLANK(L463),"Unknown",IF(L463&gt;=4,"Good",IF(L463&lt;=2,"Poor","Neutral")))</f>
        <v>Unknown</v>
      </c>
      <c r="R463" s="11" t="str">
        <f aca="false">IF(AND(O463="Low",P463="Low",Q463="Good"),"BUY / PRIORITIZE",IF(AND(O463="High",P463="High",OR(Q463="Poor",M463=TRUE())),"HOLD / REVIEW","MONITOR"))</f>
        <v>MONITOR</v>
      </c>
      <c r="S463" s="11" t="n">
        <f aca="false">K463+(ROW()/10000000)</f>
        <v>30.0000463</v>
      </c>
    </row>
    <row r="464" customFormat="false" ht="15" hidden="false" customHeight="false" outlineLevel="0" collapsed="false">
      <c r="A464" s="11" t="s">
        <v>663</v>
      </c>
      <c r="B464" s="11" t="s">
        <v>28</v>
      </c>
      <c r="C464" s="11" t="s">
        <v>86</v>
      </c>
      <c r="D464" s="11" t="s">
        <v>36</v>
      </c>
      <c r="E464" s="11" t="s">
        <v>102</v>
      </c>
      <c r="F464" s="11" t="s">
        <v>88</v>
      </c>
      <c r="G464" s="21" t="n">
        <v>124.68</v>
      </c>
      <c r="H464" s="19" t="n">
        <v>58.2</v>
      </c>
      <c r="I464" s="21" t="n">
        <v>52.12</v>
      </c>
      <c r="J464" s="22" t="s">
        <v>80</v>
      </c>
      <c r="K464" s="11" t="n">
        <v>44</v>
      </c>
      <c r="L464" s="23" t="n">
        <v>3.2</v>
      </c>
      <c r="M464" s="24" t="b">
        <f aca="false">FALSE()</f>
        <v>0</v>
      </c>
      <c r="N464" s="11"/>
      <c r="O464" s="11" t="str">
        <f aca="false">IF(K464&lt;=StockP33,"Low",IF(K464&lt;=StockP67,"Moderate","High"))</f>
        <v>High</v>
      </c>
      <c r="P464" s="11" t="str">
        <f aca="false">IF(H464=0,"Low",IF(H464&lt;=MarkdownP75,"Moderate","High"))</f>
        <v>High</v>
      </c>
      <c r="Q464" s="11" t="str">
        <f aca="false">IF(ISBLANK(L464),"Unknown",IF(L464&gt;=4,"Good",IF(L464&lt;=2,"Poor","Neutral")))</f>
        <v>Neutral</v>
      </c>
      <c r="R464" s="11" t="str">
        <f aca="false">IF(AND(O464="Low",P464="Low",Q464="Good"),"BUY / PRIORITIZE",IF(AND(O464="High",P464="High",OR(Q464="Poor",M464=TRUE())),"HOLD / REVIEW","MONITOR"))</f>
        <v>MONITOR</v>
      </c>
      <c r="S464" s="11" t="n">
        <f aca="false">K464+(ROW()/10000000)</f>
        <v>44.0000464</v>
      </c>
    </row>
    <row r="465" customFormat="false" ht="15" hidden="false" customHeight="false" outlineLevel="0" collapsed="false">
      <c r="A465" s="11" t="s">
        <v>664</v>
      </c>
      <c r="B465" s="11" t="s">
        <v>26</v>
      </c>
      <c r="C465" s="11" t="s">
        <v>101</v>
      </c>
      <c r="D465" s="11" t="s">
        <v>34</v>
      </c>
      <c r="E465" s="11" t="s">
        <v>73</v>
      </c>
      <c r="F465" s="11" t="s">
        <v>74</v>
      </c>
      <c r="G465" s="21" t="n">
        <v>36.85</v>
      </c>
      <c r="H465" s="19" t="n">
        <v>0</v>
      </c>
      <c r="I465" s="21" t="n">
        <v>36.85</v>
      </c>
      <c r="J465" s="22" t="s">
        <v>665</v>
      </c>
      <c r="K465" s="11" t="n">
        <v>0</v>
      </c>
      <c r="L465" s="23" t="n">
        <v>4.4</v>
      </c>
      <c r="M465" s="24" t="b">
        <f aca="false">FALSE()</f>
        <v>0</v>
      </c>
      <c r="N465" s="11"/>
      <c r="O465" s="11" t="str">
        <f aca="false">IF(K465&lt;=StockP33,"Low",IF(K465&lt;=StockP67,"Moderate","High"))</f>
        <v>Low</v>
      </c>
      <c r="P465" s="11" t="str">
        <f aca="false">IF(H465=0,"Low",IF(H465&lt;=MarkdownP75,"Moderate","High"))</f>
        <v>Low</v>
      </c>
      <c r="Q465" s="11" t="str">
        <f aca="false">IF(ISBLANK(L465),"Unknown",IF(L465&gt;=4,"Good",IF(L465&lt;=2,"Poor","Neutral")))</f>
        <v>Good</v>
      </c>
      <c r="R465" s="11" t="str">
        <f aca="false">IF(AND(O465="Low",P465="Low",Q465="Good"),"BUY / PRIORITIZE",IF(AND(O465="High",P465="High",OR(Q465="Poor",M465=TRUE())),"HOLD / REVIEW","MONITOR"))</f>
        <v>BUY / PRIORITIZE</v>
      </c>
      <c r="S465" s="11" t="n">
        <f aca="false">K465+(ROW()/10000000)</f>
        <v>4.65E-005</v>
      </c>
    </row>
    <row r="466" customFormat="false" ht="15" hidden="false" customHeight="false" outlineLevel="0" collapsed="false">
      <c r="A466" s="11" t="s">
        <v>666</v>
      </c>
      <c r="B466" s="11" t="s">
        <v>28</v>
      </c>
      <c r="C466" s="11" t="s">
        <v>107</v>
      </c>
      <c r="D466" s="11" t="s">
        <v>37</v>
      </c>
      <c r="E466" s="11" t="s">
        <v>110</v>
      </c>
      <c r="F466" s="11" t="s">
        <v>82</v>
      </c>
      <c r="G466" s="21" t="n">
        <v>229.63</v>
      </c>
      <c r="H466" s="19" t="n">
        <v>0.3</v>
      </c>
      <c r="I466" s="21" t="n">
        <v>228.94</v>
      </c>
      <c r="J466" s="22" t="s">
        <v>80</v>
      </c>
      <c r="K466" s="11" t="n">
        <v>30</v>
      </c>
      <c r="L466" s="23" t="n">
        <v>3.4</v>
      </c>
      <c r="M466" s="24" t="b">
        <f aca="false">FALSE()</f>
        <v>0</v>
      </c>
      <c r="N466" s="11"/>
      <c r="O466" s="11" t="str">
        <f aca="false">IF(K466&lt;=StockP33,"Low",IF(K466&lt;=StockP67,"Moderate","High"))</f>
        <v>Moderate</v>
      </c>
      <c r="P466" s="11" t="str">
        <f aca="false">IF(H466=0,"Low",IF(H466&lt;=MarkdownP75,"Moderate","High"))</f>
        <v>Moderate</v>
      </c>
      <c r="Q466" s="11" t="str">
        <f aca="false">IF(ISBLANK(L466),"Unknown",IF(L466&gt;=4,"Good",IF(L466&lt;=2,"Poor","Neutral")))</f>
        <v>Neutral</v>
      </c>
      <c r="R466" s="11" t="str">
        <f aca="false">IF(AND(O466="Low",P466="Low",Q466="Good"),"BUY / PRIORITIZE",IF(AND(O466="High",P466="High",OR(Q466="Poor",M466=TRUE())),"HOLD / REVIEW","MONITOR"))</f>
        <v>MONITOR</v>
      </c>
      <c r="S466" s="11" t="n">
        <f aca="false">K466+(ROW()/10000000)</f>
        <v>30.0000466</v>
      </c>
    </row>
    <row r="467" customFormat="false" ht="15" hidden="false" customHeight="false" outlineLevel="0" collapsed="false">
      <c r="A467" s="11" t="s">
        <v>667</v>
      </c>
      <c r="B467" s="11" t="s">
        <v>30</v>
      </c>
      <c r="C467" s="11" t="s">
        <v>107</v>
      </c>
      <c r="D467" s="11" t="s">
        <v>34</v>
      </c>
      <c r="E467" s="11" t="s">
        <v>91</v>
      </c>
      <c r="F467" s="11" t="s">
        <v>118</v>
      </c>
      <c r="G467" s="21" t="n">
        <v>74.09</v>
      </c>
      <c r="H467" s="19" t="n">
        <v>0</v>
      </c>
      <c r="I467" s="21" t="n">
        <v>74.09</v>
      </c>
      <c r="J467" s="22" t="s">
        <v>668</v>
      </c>
      <c r="K467" s="11" t="n">
        <v>35</v>
      </c>
      <c r="L467" s="23" t="n">
        <v>3.4</v>
      </c>
      <c r="M467" s="24" t="b">
        <f aca="false">FALSE()</f>
        <v>0</v>
      </c>
      <c r="N467" s="11"/>
      <c r="O467" s="11" t="str">
        <f aca="false">IF(K467&lt;=StockP33,"Low",IF(K467&lt;=StockP67,"Moderate","High"))</f>
        <v>High</v>
      </c>
      <c r="P467" s="11" t="str">
        <f aca="false">IF(H467=0,"Low",IF(H467&lt;=MarkdownP75,"Moderate","High"))</f>
        <v>Low</v>
      </c>
      <c r="Q467" s="11" t="str">
        <f aca="false">IF(ISBLANK(L467),"Unknown",IF(L467&gt;=4,"Good",IF(L467&lt;=2,"Poor","Neutral")))</f>
        <v>Neutral</v>
      </c>
      <c r="R467" s="11" t="str">
        <f aca="false">IF(AND(O467="Low",P467="Low",Q467="Good"),"BUY / PRIORITIZE",IF(AND(O467="High",P467="High",OR(Q467="Poor",M467=TRUE())),"HOLD / REVIEW","MONITOR"))</f>
        <v>MONITOR</v>
      </c>
      <c r="S467" s="11" t="n">
        <f aca="false">K467+(ROW()/10000000)</f>
        <v>35.0000467</v>
      </c>
    </row>
    <row r="468" customFormat="false" ht="15" hidden="false" customHeight="false" outlineLevel="0" collapsed="false">
      <c r="A468" s="11" t="s">
        <v>669</v>
      </c>
      <c r="B468" s="11" t="s">
        <v>26</v>
      </c>
      <c r="C468" s="11" t="s">
        <v>86</v>
      </c>
      <c r="D468" s="11" t="s">
        <v>34</v>
      </c>
      <c r="E468" s="11" t="s">
        <v>110</v>
      </c>
      <c r="F468" s="11" t="s">
        <v>124</v>
      </c>
      <c r="G468" s="21" t="n">
        <v>27.22</v>
      </c>
      <c r="H468" s="19" t="n">
        <v>0</v>
      </c>
      <c r="I468" s="21" t="n">
        <v>27.22</v>
      </c>
      <c r="J468" s="22" t="s">
        <v>218</v>
      </c>
      <c r="K468" s="11" t="n">
        <v>14</v>
      </c>
      <c r="L468" s="23" t="n">
        <v>2.4</v>
      </c>
      <c r="M468" s="24" t="b">
        <f aca="false">FALSE()</f>
        <v>0</v>
      </c>
      <c r="N468" s="11"/>
      <c r="O468" s="11" t="str">
        <f aca="false">IF(K468&lt;=StockP33,"Low",IF(K468&lt;=StockP67,"Moderate","High"))</f>
        <v>Low</v>
      </c>
      <c r="P468" s="11" t="str">
        <f aca="false">IF(H468=0,"Low",IF(H468&lt;=MarkdownP75,"Moderate","High"))</f>
        <v>Low</v>
      </c>
      <c r="Q468" s="11" t="str">
        <f aca="false">IF(ISBLANK(L468),"Unknown",IF(L468&gt;=4,"Good",IF(L468&lt;=2,"Poor","Neutral")))</f>
        <v>Neutral</v>
      </c>
      <c r="R468" s="11" t="str">
        <f aca="false">IF(AND(O468="Low",P468="Low",Q468="Good"),"BUY / PRIORITIZE",IF(AND(O468="High",P468="High",OR(Q468="Poor",M468=TRUE())),"HOLD / REVIEW","MONITOR"))</f>
        <v>MONITOR</v>
      </c>
      <c r="S468" s="11" t="n">
        <f aca="false">K468+(ROW()/10000000)</f>
        <v>14.0000468</v>
      </c>
    </row>
    <row r="469" customFormat="false" ht="15" hidden="false" customHeight="false" outlineLevel="0" collapsed="false">
      <c r="A469" s="11" t="s">
        <v>670</v>
      </c>
      <c r="B469" s="11" t="s">
        <v>30</v>
      </c>
      <c r="C469" s="11" t="s">
        <v>107</v>
      </c>
      <c r="D469" s="11" t="s">
        <v>34</v>
      </c>
      <c r="E469" s="11" t="s">
        <v>78</v>
      </c>
      <c r="F469" s="11" t="s">
        <v>120</v>
      </c>
      <c r="G469" s="21" t="n">
        <v>32.64</v>
      </c>
      <c r="H469" s="19" t="n">
        <v>1.4</v>
      </c>
      <c r="I469" s="21" t="n">
        <v>32.18</v>
      </c>
      <c r="J469" s="22" t="s">
        <v>671</v>
      </c>
      <c r="K469" s="11" t="n">
        <v>29</v>
      </c>
      <c r="L469" s="23" t="n">
        <v>1.5</v>
      </c>
      <c r="M469" s="24" t="b">
        <f aca="false">TRUE()</f>
        <v>1</v>
      </c>
      <c r="N469" s="11" t="s">
        <v>178</v>
      </c>
      <c r="O469" s="11" t="str">
        <f aca="false">IF(K469&lt;=StockP33,"Low",IF(K469&lt;=StockP67,"Moderate","High"))</f>
        <v>Moderate</v>
      </c>
      <c r="P469" s="11" t="str">
        <f aca="false">IF(H469=0,"Low",IF(H469&lt;=MarkdownP75,"Moderate","High"))</f>
        <v>Moderate</v>
      </c>
      <c r="Q469" s="11" t="str">
        <f aca="false">IF(ISBLANK(L469),"Unknown",IF(L469&gt;=4,"Good",IF(L469&lt;=2,"Poor","Neutral")))</f>
        <v>Poor</v>
      </c>
      <c r="R469" s="11" t="str">
        <f aca="false">IF(AND(O469="Low",P469="Low",Q469="Good"),"BUY / PRIORITIZE",IF(AND(O469="High",P469="High",OR(Q469="Poor",M469=TRUE())),"HOLD / REVIEW","MONITOR"))</f>
        <v>MONITOR</v>
      </c>
      <c r="S469" s="11" t="n">
        <f aca="false">K469+(ROW()/10000000)</f>
        <v>29.0000469</v>
      </c>
    </row>
    <row r="470" customFormat="false" ht="15" hidden="false" customHeight="false" outlineLevel="0" collapsed="false">
      <c r="A470" s="11" t="s">
        <v>672</v>
      </c>
      <c r="B470" s="11" t="s">
        <v>8</v>
      </c>
      <c r="C470" s="11" t="s">
        <v>72</v>
      </c>
      <c r="D470" s="11" t="s">
        <v>35</v>
      </c>
      <c r="E470" s="11"/>
      <c r="F470" s="11" t="s">
        <v>120</v>
      </c>
      <c r="G470" s="21" t="n">
        <v>30.25</v>
      </c>
      <c r="H470" s="19" t="n">
        <v>11.8</v>
      </c>
      <c r="I470" s="21" t="n">
        <v>26.68</v>
      </c>
      <c r="J470" s="22" t="s">
        <v>80</v>
      </c>
      <c r="K470" s="11" t="n">
        <v>30</v>
      </c>
      <c r="L470" s="23" t="n">
        <v>3.4</v>
      </c>
      <c r="M470" s="24" t="b">
        <f aca="false">FALSE()</f>
        <v>0</v>
      </c>
      <c r="N470" s="11"/>
      <c r="O470" s="11" t="str">
        <f aca="false">IF(K470&lt;=StockP33,"Low",IF(K470&lt;=StockP67,"Moderate","High"))</f>
        <v>Moderate</v>
      </c>
      <c r="P470" s="11" t="str">
        <f aca="false">IF(H470=0,"Low",IF(H470&lt;=MarkdownP75,"Moderate","High"))</f>
        <v>Moderate</v>
      </c>
      <c r="Q470" s="11" t="str">
        <f aca="false">IF(ISBLANK(L470),"Unknown",IF(L470&gt;=4,"Good",IF(L470&lt;=2,"Poor","Neutral")))</f>
        <v>Neutral</v>
      </c>
      <c r="R470" s="11" t="str">
        <f aca="false">IF(AND(O470="Low",P470="Low",Q470="Good"),"BUY / PRIORITIZE",IF(AND(O470="High",P470="High",OR(Q470="Poor",M470=TRUE())),"HOLD / REVIEW","MONITOR"))</f>
        <v>MONITOR</v>
      </c>
      <c r="S470" s="11" t="n">
        <f aca="false">K470+(ROW()/10000000)</f>
        <v>30.000047</v>
      </c>
    </row>
    <row r="471" customFormat="false" ht="15" hidden="false" customHeight="false" outlineLevel="0" collapsed="false">
      <c r="A471" s="11" t="s">
        <v>673</v>
      </c>
      <c r="B471" s="11" t="s">
        <v>28</v>
      </c>
      <c r="C471" s="11" t="s">
        <v>77</v>
      </c>
      <c r="D471" s="11" t="s">
        <v>35</v>
      </c>
      <c r="E471" s="11" t="s">
        <v>91</v>
      </c>
      <c r="F471" s="11" t="s">
        <v>124</v>
      </c>
      <c r="G471" s="21" t="n">
        <v>180.57</v>
      </c>
      <c r="H471" s="19" t="n">
        <v>0</v>
      </c>
      <c r="I471" s="21" t="n">
        <v>180.57</v>
      </c>
      <c r="J471" s="22" t="s">
        <v>80</v>
      </c>
      <c r="K471" s="11" t="n">
        <v>28</v>
      </c>
      <c r="L471" s="23"/>
      <c r="M471" s="24" t="b">
        <f aca="false">FALSE()</f>
        <v>0</v>
      </c>
      <c r="N471" s="11"/>
      <c r="O471" s="11" t="str">
        <f aca="false">IF(K471&lt;=StockP33,"Low",IF(K471&lt;=StockP67,"Moderate","High"))</f>
        <v>Moderate</v>
      </c>
      <c r="P471" s="11" t="str">
        <f aca="false">IF(H471=0,"Low",IF(H471&lt;=MarkdownP75,"Moderate","High"))</f>
        <v>Low</v>
      </c>
      <c r="Q471" s="11" t="str">
        <f aca="false">IF(ISBLANK(L471),"Unknown",IF(L471&gt;=4,"Good",IF(L471&lt;=2,"Poor","Neutral")))</f>
        <v>Unknown</v>
      </c>
      <c r="R471" s="11" t="str">
        <f aca="false">IF(AND(O471="Low",P471="Low",Q471="Good"),"BUY / PRIORITIZE",IF(AND(O471="High",P471="High",OR(Q471="Poor",M471=TRUE())),"HOLD / REVIEW","MONITOR"))</f>
        <v>MONITOR</v>
      </c>
      <c r="S471" s="11" t="n">
        <f aca="false">K471+(ROW()/10000000)</f>
        <v>28.0000471</v>
      </c>
    </row>
    <row r="472" customFormat="false" ht="15" hidden="false" customHeight="false" outlineLevel="0" collapsed="false">
      <c r="A472" s="11" t="s">
        <v>674</v>
      </c>
      <c r="B472" s="11" t="s">
        <v>26</v>
      </c>
      <c r="C472" s="11" t="s">
        <v>77</v>
      </c>
      <c r="D472" s="11" t="s">
        <v>35</v>
      </c>
      <c r="E472" s="11" t="s">
        <v>110</v>
      </c>
      <c r="F472" s="11" t="s">
        <v>88</v>
      </c>
      <c r="G472" s="21" t="n">
        <v>96.55</v>
      </c>
      <c r="H472" s="19" t="n">
        <v>0</v>
      </c>
      <c r="I472" s="21" t="n">
        <v>96.55</v>
      </c>
      <c r="J472" s="22" t="s">
        <v>80</v>
      </c>
      <c r="K472" s="11" t="n">
        <v>17</v>
      </c>
      <c r="L472" s="23" t="n">
        <v>4.4</v>
      </c>
      <c r="M472" s="24" t="b">
        <f aca="false">FALSE()</f>
        <v>0</v>
      </c>
      <c r="N472" s="11"/>
      <c r="O472" s="11" t="str">
        <f aca="false">IF(K472&lt;=StockP33,"Low",IF(K472&lt;=StockP67,"Moderate","High"))</f>
        <v>Low</v>
      </c>
      <c r="P472" s="11" t="str">
        <f aca="false">IF(H472=0,"Low",IF(H472&lt;=MarkdownP75,"Moderate","High"))</f>
        <v>Low</v>
      </c>
      <c r="Q472" s="11" t="str">
        <f aca="false">IF(ISBLANK(L472),"Unknown",IF(L472&gt;=4,"Good",IF(L472&lt;=2,"Poor","Neutral")))</f>
        <v>Good</v>
      </c>
      <c r="R472" s="11" t="str">
        <f aca="false">IF(AND(O472="Low",P472="Low",Q472="Good"),"BUY / PRIORITIZE",IF(AND(O472="High",P472="High",OR(Q472="Poor",M472=TRUE())),"HOLD / REVIEW","MONITOR"))</f>
        <v>BUY / PRIORITIZE</v>
      </c>
      <c r="S472" s="11" t="n">
        <f aca="false">K472+(ROW()/10000000)</f>
        <v>17.0000472</v>
      </c>
    </row>
    <row r="473" customFormat="false" ht="15" hidden="false" customHeight="false" outlineLevel="0" collapsed="false">
      <c r="A473" s="11" t="s">
        <v>675</v>
      </c>
      <c r="B473" s="11" t="s">
        <v>26</v>
      </c>
      <c r="C473" s="11" t="s">
        <v>107</v>
      </c>
      <c r="D473" s="11" t="s">
        <v>36</v>
      </c>
      <c r="E473" s="11"/>
      <c r="F473" s="11" t="s">
        <v>79</v>
      </c>
      <c r="G473" s="21" t="n">
        <v>68.53</v>
      </c>
      <c r="H473" s="19" t="n">
        <v>54.3</v>
      </c>
      <c r="I473" s="21" t="n">
        <v>31.32</v>
      </c>
      <c r="J473" s="22" t="s">
        <v>80</v>
      </c>
      <c r="K473" s="11" t="n">
        <v>38</v>
      </c>
      <c r="L473" s="23" t="n">
        <v>2.9</v>
      </c>
      <c r="M473" s="24" t="b">
        <f aca="false">FALSE()</f>
        <v>0</v>
      </c>
      <c r="N473" s="11"/>
      <c r="O473" s="11" t="str">
        <f aca="false">IF(K473&lt;=StockP33,"Low",IF(K473&lt;=StockP67,"Moderate","High"))</f>
        <v>High</v>
      </c>
      <c r="P473" s="11" t="str">
        <f aca="false">IF(H473=0,"Low",IF(H473&lt;=MarkdownP75,"Moderate","High"))</f>
        <v>High</v>
      </c>
      <c r="Q473" s="11" t="str">
        <f aca="false">IF(ISBLANK(L473),"Unknown",IF(L473&gt;=4,"Good",IF(L473&lt;=2,"Poor","Neutral")))</f>
        <v>Neutral</v>
      </c>
      <c r="R473" s="11" t="str">
        <f aca="false">IF(AND(O473="Low",P473="Low",Q473="Good"),"BUY / PRIORITIZE",IF(AND(O473="High",P473="High",OR(Q473="Poor",M473=TRUE())),"HOLD / REVIEW","MONITOR"))</f>
        <v>MONITOR</v>
      </c>
      <c r="S473" s="11" t="n">
        <f aca="false">K473+(ROW()/10000000)</f>
        <v>38.0000473</v>
      </c>
    </row>
    <row r="474" customFormat="false" ht="15" hidden="false" customHeight="false" outlineLevel="0" collapsed="false">
      <c r="A474" s="11" t="s">
        <v>676</v>
      </c>
      <c r="B474" s="11" t="s">
        <v>29</v>
      </c>
      <c r="C474" s="11" t="s">
        <v>116</v>
      </c>
      <c r="D474" s="11" t="s">
        <v>36</v>
      </c>
      <c r="E474" s="11" t="s">
        <v>110</v>
      </c>
      <c r="F474" s="11" t="s">
        <v>88</v>
      </c>
      <c r="G474" s="21" t="n">
        <v>71.94</v>
      </c>
      <c r="H474" s="19" t="n">
        <v>0</v>
      </c>
      <c r="I474" s="21" t="n">
        <v>71.94</v>
      </c>
      <c r="J474" s="22" t="s">
        <v>80</v>
      </c>
      <c r="K474" s="11" t="n">
        <v>45</v>
      </c>
      <c r="L474" s="23" t="n">
        <v>3.3</v>
      </c>
      <c r="M474" s="24" t="b">
        <f aca="false">FALSE()</f>
        <v>0</v>
      </c>
      <c r="N474" s="11"/>
      <c r="O474" s="11" t="str">
        <f aca="false">IF(K474&lt;=StockP33,"Low",IF(K474&lt;=StockP67,"Moderate","High"))</f>
        <v>High</v>
      </c>
      <c r="P474" s="11" t="str">
        <f aca="false">IF(H474=0,"Low",IF(H474&lt;=MarkdownP75,"Moderate","High"))</f>
        <v>Low</v>
      </c>
      <c r="Q474" s="11" t="str">
        <f aca="false">IF(ISBLANK(L474),"Unknown",IF(L474&gt;=4,"Good",IF(L474&lt;=2,"Poor","Neutral")))</f>
        <v>Neutral</v>
      </c>
      <c r="R474" s="11" t="str">
        <f aca="false">IF(AND(O474="Low",P474="Low",Q474="Good"),"BUY / PRIORITIZE",IF(AND(O474="High",P474="High",OR(Q474="Poor",M474=TRUE())),"HOLD / REVIEW","MONITOR"))</f>
        <v>MONITOR</v>
      </c>
      <c r="S474" s="11" t="n">
        <f aca="false">K474+(ROW()/10000000)</f>
        <v>45.0000474</v>
      </c>
    </row>
    <row r="475" customFormat="false" ht="15" hidden="false" customHeight="false" outlineLevel="0" collapsed="false">
      <c r="A475" s="11" t="s">
        <v>677</v>
      </c>
      <c r="B475" s="11" t="s">
        <v>29</v>
      </c>
      <c r="C475" s="11" t="s">
        <v>116</v>
      </c>
      <c r="D475" s="11" t="s">
        <v>36</v>
      </c>
      <c r="E475" s="11" t="s">
        <v>78</v>
      </c>
      <c r="F475" s="11" t="s">
        <v>96</v>
      </c>
      <c r="G475" s="21" t="n">
        <v>80.72</v>
      </c>
      <c r="H475" s="19" t="n">
        <v>9.9</v>
      </c>
      <c r="I475" s="21" t="n">
        <v>72.73</v>
      </c>
      <c r="J475" s="22" t="s">
        <v>80</v>
      </c>
      <c r="K475" s="11" t="n">
        <v>37</v>
      </c>
      <c r="L475" s="23" t="n">
        <v>2.5</v>
      </c>
      <c r="M475" s="24" t="b">
        <f aca="false">FALSE()</f>
        <v>0</v>
      </c>
      <c r="N475" s="11"/>
      <c r="O475" s="11" t="str">
        <f aca="false">IF(K475&lt;=StockP33,"Low",IF(K475&lt;=StockP67,"Moderate","High"))</f>
        <v>High</v>
      </c>
      <c r="P475" s="11" t="str">
        <f aca="false">IF(H475=0,"Low",IF(H475&lt;=MarkdownP75,"Moderate","High"))</f>
        <v>Moderate</v>
      </c>
      <c r="Q475" s="11" t="str">
        <f aca="false">IF(ISBLANK(L475),"Unknown",IF(L475&gt;=4,"Good",IF(L475&lt;=2,"Poor","Neutral")))</f>
        <v>Neutral</v>
      </c>
      <c r="R475" s="11" t="str">
        <f aca="false">IF(AND(O475="Low",P475="Low",Q475="Good"),"BUY / PRIORITIZE",IF(AND(O475="High",P475="High",OR(Q475="Poor",M475=TRUE())),"HOLD / REVIEW","MONITOR"))</f>
        <v>MONITOR</v>
      </c>
      <c r="S475" s="11" t="n">
        <f aca="false">K475+(ROW()/10000000)</f>
        <v>37.0000475</v>
      </c>
    </row>
    <row r="476" customFormat="false" ht="15" hidden="false" customHeight="false" outlineLevel="0" collapsed="false">
      <c r="A476" s="11" t="s">
        <v>678</v>
      </c>
      <c r="B476" s="11" t="s">
        <v>28</v>
      </c>
      <c r="C476" s="11" t="s">
        <v>72</v>
      </c>
      <c r="D476" s="11" t="s">
        <v>37</v>
      </c>
      <c r="E476" s="11" t="s">
        <v>78</v>
      </c>
      <c r="F476" s="11" t="s">
        <v>98</v>
      </c>
      <c r="G476" s="21" t="n">
        <v>208.8</v>
      </c>
      <c r="H476" s="19" t="n">
        <v>0</v>
      </c>
      <c r="I476" s="21" t="n">
        <v>208.8</v>
      </c>
      <c r="J476" s="22" t="s">
        <v>80</v>
      </c>
      <c r="K476" s="11" t="n">
        <v>13</v>
      </c>
      <c r="L476" s="23" t="n">
        <v>1.6</v>
      </c>
      <c r="M476" s="24" t="b">
        <f aca="false">FALSE()</f>
        <v>0</v>
      </c>
      <c r="N476" s="11"/>
      <c r="O476" s="11" t="str">
        <f aca="false">IF(K476&lt;=StockP33,"Low",IF(K476&lt;=StockP67,"Moderate","High"))</f>
        <v>Low</v>
      </c>
      <c r="P476" s="11" t="str">
        <f aca="false">IF(H476=0,"Low",IF(H476&lt;=MarkdownP75,"Moderate","High"))</f>
        <v>Low</v>
      </c>
      <c r="Q476" s="11" t="str">
        <f aca="false">IF(ISBLANK(L476),"Unknown",IF(L476&gt;=4,"Good",IF(L476&lt;=2,"Poor","Neutral")))</f>
        <v>Poor</v>
      </c>
      <c r="R476" s="11" t="str">
        <f aca="false">IF(AND(O476="Low",P476="Low",Q476="Good"),"BUY / PRIORITIZE",IF(AND(O476="High",P476="High",OR(Q476="Poor",M476=TRUE())),"HOLD / REVIEW","MONITOR"))</f>
        <v>MONITOR</v>
      </c>
      <c r="S476" s="11" t="n">
        <f aca="false">K476+(ROW()/10000000)</f>
        <v>13.0000476</v>
      </c>
    </row>
    <row r="477" customFormat="false" ht="15" hidden="false" customHeight="false" outlineLevel="0" collapsed="false">
      <c r="A477" s="11" t="s">
        <v>679</v>
      </c>
      <c r="B477" s="11" t="s">
        <v>29</v>
      </c>
      <c r="C477" s="11" t="s">
        <v>95</v>
      </c>
      <c r="D477" s="11" t="s">
        <v>35</v>
      </c>
      <c r="E477" s="11" t="s">
        <v>113</v>
      </c>
      <c r="F477" s="11" t="s">
        <v>118</v>
      </c>
      <c r="G477" s="21" t="n">
        <v>158.15</v>
      </c>
      <c r="H477" s="19" t="n">
        <v>54.1</v>
      </c>
      <c r="I477" s="21" t="n">
        <v>72.59</v>
      </c>
      <c r="J477" s="22" t="s">
        <v>80</v>
      </c>
      <c r="K477" s="11" t="n">
        <v>36</v>
      </c>
      <c r="L477" s="23" t="n">
        <v>4.5</v>
      </c>
      <c r="M477" s="24" t="b">
        <f aca="false">FALSE()</f>
        <v>0</v>
      </c>
      <c r="N477" s="11"/>
      <c r="O477" s="11" t="str">
        <f aca="false">IF(K477&lt;=StockP33,"Low",IF(K477&lt;=StockP67,"Moderate","High"))</f>
        <v>High</v>
      </c>
      <c r="P477" s="11" t="str">
        <f aca="false">IF(H477=0,"Low",IF(H477&lt;=MarkdownP75,"Moderate","High"))</f>
        <v>High</v>
      </c>
      <c r="Q477" s="11" t="str">
        <f aca="false">IF(ISBLANK(L477),"Unknown",IF(L477&gt;=4,"Good",IF(L477&lt;=2,"Poor","Neutral")))</f>
        <v>Good</v>
      </c>
      <c r="R477" s="11" t="str">
        <f aca="false">IF(AND(O477="Low",P477="Low",Q477="Good"),"BUY / PRIORITIZE",IF(AND(O477="High",P477="High",OR(Q477="Poor",M477=TRUE())),"HOLD / REVIEW","MONITOR"))</f>
        <v>MONITOR</v>
      </c>
      <c r="S477" s="11" t="n">
        <f aca="false">K477+(ROW()/10000000)</f>
        <v>36.0000477</v>
      </c>
    </row>
    <row r="478" customFormat="false" ht="15" hidden="false" customHeight="false" outlineLevel="0" collapsed="false">
      <c r="A478" s="11" t="s">
        <v>680</v>
      </c>
      <c r="B478" s="11" t="s">
        <v>30</v>
      </c>
      <c r="C478" s="11" t="s">
        <v>72</v>
      </c>
      <c r="D478" s="11" t="s">
        <v>36</v>
      </c>
      <c r="E478" s="11" t="s">
        <v>91</v>
      </c>
      <c r="F478" s="11" t="s">
        <v>88</v>
      </c>
      <c r="G478" s="21" t="n">
        <v>85.92</v>
      </c>
      <c r="H478" s="19" t="n">
        <v>0</v>
      </c>
      <c r="I478" s="21" t="n">
        <v>85.92</v>
      </c>
      <c r="J478" s="22" t="s">
        <v>80</v>
      </c>
      <c r="K478" s="11" t="n">
        <v>12</v>
      </c>
      <c r="L478" s="23"/>
      <c r="M478" s="24" t="b">
        <f aca="false">FALSE()</f>
        <v>0</v>
      </c>
      <c r="N478" s="11"/>
      <c r="O478" s="11" t="str">
        <f aca="false">IF(K478&lt;=StockP33,"Low",IF(K478&lt;=StockP67,"Moderate","High"))</f>
        <v>Low</v>
      </c>
      <c r="P478" s="11" t="str">
        <f aca="false">IF(H478=0,"Low",IF(H478&lt;=MarkdownP75,"Moderate","High"))</f>
        <v>Low</v>
      </c>
      <c r="Q478" s="11" t="str">
        <f aca="false">IF(ISBLANK(L478),"Unknown",IF(L478&gt;=4,"Good",IF(L478&lt;=2,"Poor","Neutral")))</f>
        <v>Unknown</v>
      </c>
      <c r="R478" s="11" t="str">
        <f aca="false">IF(AND(O478="Low",P478="Low",Q478="Good"),"BUY / PRIORITIZE",IF(AND(O478="High",P478="High",OR(Q478="Poor",M478=TRUE())),"HOLD / REVIEW","MONITOR"))</f>
        <v>MONITOR</v>
      </c>
      <c r="S478" s="11" t="n">
        <f aca="false">K478+(ROW()/10000000)</f>
        <v>12.0000478</v>
      </c>
    </row>
    <row r="479" customFormat="false" ht="15" hidden="false" customHeight="false" outlineLevel="0" collapsed="false">
      <c r="A479" s="11" t="s">
        <v>681</v>
      </c>
      <c r="B479" s="11" t="s">
        <v>8</v>
      </c>
      <c r="C479" s="11" t="s">
        <v>116</v>
      </c>
      <c r="D479" s="11" t="s">
        <v>34</v>
      </c>
      <c r="E479" s="11"/>
      <c r="F479" s="11" t="s">
        <v>79</v>
      </c>
      <c r="G479" s="21" t="n">
        <v>69.59</v>
      </c>
      <c r="H479" s="19" t="n">
        <v>0</v>
      </c>
      <c r="I479" s="21" t="n">
        <v>69.59</v>
      </c>
      <c r="J479" s="22" t="s">
        <v>335</v>
      </c>
      <c r="K479" s="11" t="n">
        <v>38</v>
      </c>
      <c r="L479" s="23" t="n">
        <v>1.5</v>
      </c>
      <c r="M479" s="24" t="b">
        <f aca="false">FALSE()</f>
        <v>0</v>
      </c>
      <c r="N479" s="11"/>
      <c r="O479" s="11" t="str">
        <f aca="false">IF(K479&lt;=StockP33,"Low",IF(K479&lt;=StockP67,"Moderate","High"))</f>
        <v>High</v>
      </c>
      <c r="P479" s="11" t="str">
        <f aca="false">IF(H479=0,"Low",IF(H479&lt;=MarkdownP75,"Moderate","High"))</f>
        <v>Low</v>
      </c>
      <c r="Q479" s="11" t="str">
        <f aca="false">IF(ISBLANK(L479),"Unknown",IF(L479&gt;=4,"Good",IF(L479&lt;=2,"Poor","Neutral")))</f>
        <v>Poor</v>
      </c>
      <c r="R479" s="11" t="str">
        <f aca="false">IF(AND(O479="Low",P479="Low",Q479="Good"),"BUY / PRIORITIZE",IF(AND(O479="High",P479="High",OR(Q479="Poor",M479=TRUE())),"HOLD / REVIEW","MONITOR"))</f>
        <v>MONITOR</v>
      </c>
      <c r="S479" s="11" t="n">
        <f aca="false">K479+(ROW()/10000000)</f>
        <v>38.0000479</v>
      </c>
    </row>
    <row r="480" customFormat="false" ht="15" hidden="false" customHeight="false" outlineLevel="0" collapsed="false">
      <c r="A480" s="11" t="s">
        <v>682</v>
      </c>
      <c r="B480" s="11" t="s">
        <v>27</v>
      </c>
      <c r="C480" s="11" t="s">
        <v>72</v>
      </c>
      <c r="D480" s="11" t="s">
        <v>37</v>
      </c>
      <c r="E480" s="11" t="s">
        <v>73</v>
      </c>
      <c r="F480" s="11" t="s">
        <v>74</v>
      </c>
      <c r="G480" s="21" t="n">
        <v>136.17</v>
      </c>
      <c r="H480" s="19" t="n">
        <v>19.1</v>
      </c>
      <c r="I480" s="21" t="n">
        <v>110.16</v>
      </c>
      <c r="J480" s="22" t="s">
        <v>80</v>
      </c>
      <c r="K480" s="11" t="n">
        <v>14</v>
      </c>
      <c r="L480" s="23"/>
      <c r="M480" s="24" t="b">
        <f aca="false">FALSE()</f>
        <v>0</v>
      </c>
      <c r="N480" s="11"/>
      <c r="O480" s="11" t="str">
        <f aca="false">IF(K480&lt;=StockP33,"Low",IF(K480&lt;=StockP67,"Moderate","High"))</f>
        <v>Low</v>
      </c>
      <c r="P480" s="11" t="str">
        <f aca="false">IF(H480=0,"Low",IF(H480&lt;=MarkdownP75,"Moderate","High"))</f>
        <v>Moderate</v>
      </c>
      <c r="Q480" s="11" t="str">
        <f aca="false">IF(ISBLANK(L480),"Unknown",IF(L480&gt;=4,"Good",IF(L480&lt;=2,"Poor","Neutral")))</f>
        <v>Unknown</v>
      </c>
      <c r="R480" s="11" t="str">
        <f aca="false">IF(AND(O480="Low",P480="Low",Q480="Good"),"BUY / PRIORITIZE",IF(AND(O480="High",P480="High",OR(Q480="Poor",M480=TRUE())),"HOLD / REVIEW","MONITOR"))</f>
        <v>MONITOR</v>
      </c>
      <c r="S480" s="11" t="n">
        <f aca="false">K480+(ROW()/10000000)</f>
        <v>14.000048</v>
      </c>
    </row>
    <row r="481" customFormat="false" ht="15" hidden="false" customHeight="false" outlineLevel="0" collapsed="false">
      <c r="A481" s="11" t="s">
        <v>683</v>
      </c>
      <c r="B481" s="11" t="s">
        <v>29</v>
      </c>
      <c r="C481" s="11" t="s">
        <v>95</v>
      </c>
      <c r="D481" s="11" t="s">
        <v>34</v>
      </c>
      <c r="E481" s="11" t="s">
        <v>110</v>
      </c>
      <c r="F481" s="11" t="s">
        <v>79</v>
      </c>
      <c r="G481" s="21" t="n">
        <v>124.26</v>
      </c>
      <c r="H481" s="19" t="n">
        <v>0</v>
      </c>
      <c r="I481" s="21" t="n">
        <v>124.26</v>
      </c>
      <c r="J481" s="22" t="s">
        <v>684</v>
      </c>
      <c r="K481" s="11" t="n">
        <v>44</v>
      </c>
      <c r="L481" s="23" t="n">
        <v>4</v>
      </c>
      <c r="M481" s="24" t="b">
        <f aca="false">FALSE()</f>
        <v>0</v>
      </c>
      <c r="N481" s="11"/>
      <c r="O481" s="11" t="str">
        <f aca="false">IF(K481&lt;=StockP33,"Low",IF(K481&lt;=StockP67,"Moderate","High"))</f>
        <v>High</v>
      </c>
      <c r="P481" s="11" t="str">
        <f aca="false">IF(H481=0,"Low",IF(H481&lt;=MarkdownP75,"Moderate","High"))</f>
        <v>Low</v>
      </c>
      <c r="Q481" s="11" t="str">
        <f aca="false">IF(ISBLANK(L481),"Unknown",IF(L481&gt;=4,"Good",IF(L481&lt;=2,"Poor","Neutral")))</f>
        <v>Good</v>
      </c>
      <c r="R481" s="11" t="str">
        <f aca="false">IF(AND(O481="Low",P481="Low",Q481="Good"),"BUY / PRIORITIZE",IF(AND(O481="High",P481="High",OR(Q481="Poor",M481=TRUE())),"HOLD / REVIEW","MONITOR"))</f>
        <v>MONITOR</v>
      </c>
      <c r="S481" s="11" t="n">
        <f aca="false">K481+(ROW()/10000000)</f>
        <v>44.0000481</v>
      </c>
    </row>
    <row r="482" customFormat="false" ht="15" hidden="false" customHeight="false" outlineLevel="0" collapsed="false">
      <c r="A482" s="11" t="s">
        <v>685</v>
      </c>
      <c r="B482" s="11" t="s">
        <v>29</v>
      </c>
      <c r="C482" s="11" t="s">
        <v>86</v>
      </c>
      <c r="D482" s="11" t="s">
        <v>37</v>
      </c>
      <c r="E482" s="11" t="s">
        <v>91</v>
      </c>
      <c r="F482" s="11" t="s">
        <v>82</v>
      </c>
      <c r="G482" s="21" t="n">
        <v>129.33</v>
      </c>
      <c r="H482" s="19" t="n">
        <v>0</v>
      </c>
      <c r="I482" s="21" t="n">
        <v>129.33</v>
      </c>
      <c r="J482" s="22" t="s">
        <v>80</v>
      </c>
      <c r="K482" s="11" t="n">
        <v>15</v>
      </c>
      <c r="L482" s="23" t="n">
        <v>3.1</v>
      </c>
      <c r="M482" s="24" t="b">
        <f aca="false">FALSE()</f>
        <v>0</v>
      </c>
      <c r="N482" s="11"/>
      <c r="O482" s="11" t="str">
        <f aca="false">IF(K482&lt;=StockP33,"Low",IF(K482&lt;=StockP67,"Moderate","High"))</f>
        <v>Low</v>
      </c>
      <c r="P482" s="11" t="str">
        <f aca="false">IF(H482=0,"Low",IF(H482&lt;=MarkdownP75,"Moderate","High"))</f>
        <v>Low</v>
      </c>
      <c r="Q482" s="11" t="str">
        <f aca="false">IF(ISBLANK(L482),"Unknown",IF(L482&gt;=4,"Good",IF(L482&lt;=2,"Poor","Neutral")))</f>
        <v>Neutral</v>
      </c>
      <c r="R482" s="11" t="str">
        <f aca="false">IF(AND(O482="Low",P482="Low",Q482="Good"),"BUY / PRIORITIZE",IF(AND(O482="High",P482="High",OR(Q482="Poor",M482=TRUE())),"HOLD / REVIEW","MONITOR"))</f>
        <v>MONITOR</v>
      </c>
      <c r="S482" s="11" t="n">
        <f aca="false">K482+(ROW()/10000000)</f>
        <v>15.0000482</v>
      </c>
    </row>
    <row r="483" customFormat="false" ht="15" hidden="false" customHeight="false" outlineLevel="0" collapsed="false">
      <c r="A483" s="11" t="s">
        <v>686</v>
      </c>
      <c r="B483" s="11" t="s">
        <v>27</v>
      </c>
      <c r="C483" s="11" t="s">
        <v>101</v>
      </c>
      <c r="D483" s="11" t="s">
        <v>34</v>
      </c>
      <c r="E483" s="11" t="s">
        <v>91</v>
      </c>
      <c r="F483" s="11" t="s">
        <v>118</v>
      </c>
      <c r="G483" s="21" t="n">
        <v>123.93</v>
      </c>
      <c r="H483" s="19" t="n">
        <v>30</v>
      </c>
      <c r="I483" s="21" t="n">
        <v>86.75</v>
      </c>
      <c r="J483" s="22" t="s">
        <v>654</v>
      </c>
      <c r="K483" s="11" t="n">
        <v>39</v>
      </c>
      <c r="L483" s="23" t="n">
        <v>1.9</v>
      </c>
      <c r="M483" s="24" t="b">
        <f aca="false">FALSE()</f>
        <v>0</v>
      </c>
      <c r="N483" s="11"/>
      <c r="O483" s="11" t="str">
        <f aca="false">IF(K483&lt;=StockP33,"Low",IF(K483&lt;=StockP67,"Moderate","High"))</f>
        <v>High</v>
      </c>
      <c r="P483" s="11" t="str">
        <f aca="false">IF(H483=0,"Low",IF(H483&lt;=MarkdownP75,"Moderate","High"))</f>
        <v>High</v>
      </c>
      <c r="Q483" s="11" t="str">
        <f aca="false">IF(ISBLANK(L483),"Unknown",IF(L483&gt;=4,"Good",IF(L483&lt;=2,"Poor","Neutral")))</f>
        <v>Poor</v>
      </c>
      <c r="R483" s="11" t="str">
        <f aca="false">IF(AND(O483="Low",P483="Low",Q483="Good"),"BUY / PRIORITIZE",IF(AND(O483="High",P483="High",OR(Q483="Poor",M483=TRUE())),"HOLD / REVIEW","MONITOR"))</f>
        <v>HOLD / REVIEW</v>
      </c>
      <c r="S483" s="11" t="n">
        <f aca="false">K483+(ROW()/10000000)</f>
        <v>39.0000483</v>
      </c>
    </row>
    <row r="484" customFormat="false" ht="15" hidden="false" customHeight="false" outlineLevel="0" collapsed="false">
      <c r="A484" s="11" t="s">
        <v>687</v>
      </c>
      <c r="B484" s="11" t="s">
        <v>29</v>
      </c>
      <c r="C484" s="11" t="s">
        <v>72</v>
      </c>
      <c r="D484" s="11" t="s">
        <v>35</v>
      </c>
      <c r="E484" s="11" t="s">
        <v>110</v>
      </c>
      <c r="F484" s="11" t="s">
        <v>111</v>
      </c>
      <c r="G484" s="21" t="n">
        <v>62.76</v>
      </c>
      <c r="H484" s="19" t="n">
        <v>0</v>
      </c>
      <c r="I484" s="21" t="n">
        <v>62.76</v>
      </c>
      <c r="J484" s="22" t="s">
        <v>80</v>
      </c>
      <c r="K484" s="11" t="n">
        <v>12</v>
      </c>
      <c r="L484" s="23" t="n">
        <v>4.7</v>
      </c>
      <c r="M484" s="24" t="b">
        <f aca="false">FALSE()</f>
        <v>0</v>
      </c>
      <c r="N484" s="11"/>
      <c r="O484" s="11" t="str">
        <f aca="false">IF(K484&lt;=StockP33,"Low",IF(K484&lt;=StockP67,"Moderate","High"))</f>
        <v>Low</v>
      </c>
      <c r="P484" s="11" t="str">
        <f aca="false">IF(H484=0,"Low",IF(H484&lt;=MarkdownP75,"Moderate","High"))</f>
        <v>Low</v>
      </c>
      <c r="Q484" s="11" t="str">
        <f aca="false">IF(ISBLANK(L484),"Unknown",IF(L484&gt;=4,"Good",IF(L484&lt;=2,"Poor","Neutral")))</f>
        <v>Good</v>
      </c>
      <c r="R484" s="11" t="str">
        <f aca="false">IF(AND(O484="Low",P484="Low",Q484="Good"),"BUY / PRIORITIZE",IF(AND(O484="High",P484="High",OR(Q484="Poor",M484=TRUE())),"HOLD / REVIEW","MONITOR"))</f>
        <v>BUY / PRIORITIZE</v>
      </c>
      <c r="S484" s="11" t="n">
        <f aca="false">K484+(ROW()/10000000)</f>
        <v>12.0000484</v>
      </c>
    </row>
    <row r="485" customFormat="false" ht="15" hidden="false" customHeight="false" outlineLevel="0" collapsed="false">
      <c r="A485" s="11" t="s">
        <v>688</v>
      </c>
      <c r="B485" s="11" t="s">
        <v>29</v>
      </c>
      <c r="C485" s="11" t="s">
        <v>77</v>
      </c>
      <c r="D485" s="11" t="s">
        <v>34</v>
      </c>
      <c r="E485" s="11" t="s">
        <v>110</v>
      </c>
      <c r="F485" s="11" t="s">
        <v>96</v>
      </c>
      <c r="G485" s="21" t="n">
        <v>74.54</v>
      </c>
      <c r="H485" s="19" t="n">
        <v>0</v>
      </c>
      <c r="I485" s="21" t="n">
        <v>74.54</v>
      </c>
      <c r="J485" s="22" t="s">
        <v>689</v>
      </c>
      <c r="K485" s="11" t="n">
        <v>4</v>
      </c>
      <c r="L485" s="23" t="n">
        <v>3.5</v>
      </c>
      <c r="M485" s="24" t="b">
        <f aca="false">FALSE()</f>
        <v>0</v>
      </c>
      <c r="N485" s="11"/>
      <c r="O485" s="11" t="str">
        <f aca="false">IF(K485&lt;=StockP33,"Low",IF(K485&lt;=StockP67,"Moderate","High"))</f>
        <v>Low</v>
      </c>
      <c r="P485" s="11" t="str">
        <f aca="false">IF(H485=0,"Low",IF(H485&lt;=MarkdownP75,"Moderate","High"))</f>
        <v>Low</v>
      </c>
      <c r="Q485" s="11" t="str">
        <f aca="false">IF(ISBLANK(L485),"Unknown",IF(L485&gt;=4,"Good",IF(L485&lt;=2,"Poor","Neutral")))</f>
        <v>Neutral</v>
      </c>
      <c r="R485" s="11" t="str">
        <f aca="false">IF(AND(O485="Low",P485="Low",Q485="Good"),"BUY / PRIORITIZE",IF(AND(O485="High",P485="High",OR(Q485="Poor",M485=TRUE())),"HOLD / REVIEW","MONITOR"))</f>
        <v>MONITOR</v>
      </c>
      <c r="S485" s="11" t="n">
        <f aca="false">K485+(ROW()/10000000)</f>
        <v>4.0000485</v>
      </c>
    </row>
    <row r="486" customFormat="false" ht="15" hidden="false" customHeight="false" outlineLevel="0" collapsed="false">
      <c r="A486" s="11" t="s">
        <v>690</v>
      </c>
      <c r="B486" s="11" t="s">
        <v>30</v>
      </c>
      <c r="C486" s="11" t="s">
        <v>116</v>
      </c>
      <c r="D486" s="11" t="s">
        <v>35</v>
      </c>
      <c r="E486" s="11" t="s">
        <v>91</v>
      </c>
      <c r="F486" s="11" t="s">
        <v>79</v>
      </c>
      <c r="G486" s="21" t="n">
        <v>114.03</v>
      </c>
      <c r="H486" s="19" t="n">
        <v>0</v>
      </c>
      <c r="I486" s="21" t="n">
        <v>114.03</v>
      </c>
      <c r="J486" s="22" t="s">
        <v>80</v>
      </c>
      <c r="K486" s="11" t="n">
        <v>2</v>
      </c>
      <c r="L486" s="23"/>
      <c r="M486" s="24" t="b">
        <f aca="false">FALSE()</f>
        <v>0</v>
      </c>
      <c r="N486" s="11"/>
      <c r="O486" s="11" t="str">
        <f aca="false">IF(K486&lt;=StockP33,"Low",IF(K486&lt;=StockP67,"Moderate","High"))</f>
        <v>Low</v>
      </c>
      <c r="P486" s="11" t="str">
        <f aca="false">IF(H486=0,"Low",IF(H486&lt;=MarkdownP75,"Moderate","High"))</f>
        <v>Low</v>
      </c>
      <c r="Q486" s="11" t="str">
        <f aca="false">IF(ISBLANK(L486),"Unknown",IF(L486&gt;=4,"Good",IF(L486&lt;=2,"Poor","Neutral")))</f>
        <v>Unknown</v>
      </c>
      <c r="R486" s="11" t="str">
        <f aca="false">IF(AND(O486="Low",P486="Low",Q486="Good"),"BUY / PRIORITIZE",IF(AND(O486="High",P486="High",OR(Q486="Poor",M486=TRUE())),"HOLD / REVIEW","MONITOR"))</f>
        <v>MONITOR</v>
      </c>
      <c r="S486" s="11" t="n">
        <f aca="false">K486+(ROW()/10000000)</f>
        <v>2.0000486</v>
      </c>
    </row>
    <row r="487" customFormat="false" ht="15" hidden="false" customHeight="false" outlineLevel="0" collapsed="false">
      <c r="A487" s="11" t="s">
        <v>691</v>
      </c>
      <c r="B487" s="11" t="s">
        <v>8</v>
      </c>
      <c r="C487" s="11" t="s">
        <v>116</v>
      </c>
      <c r="D487" s="11" t="s">
        <v>36</v>
      </c>
      <c r="E487" s="11"/>
      <c r="F487" s="11" t="s">
        <v>88</v>
      </c>
      <c r="G487" s="21" t="n">
        <v>20.59</v>
      </c>
      <c r="H487" s="19" t="n">
        <v>27.6</v>
      </c>
      <c r="I487" s="21" t="n">
        <v>14.91</v>
      </c>
      <c r="J487" s="22" t="s">
        <v>80</v>
      </c>
      <c r="K487" s="11" t="n">
        <v>36</v>
      </c>
      <c r="L487" s="23"/>
      <c r="M487" s="24" t="b">
        <f aca="false">FALSE()</f>
        <v>0</v>
      </c>
      <c r="N487" s="11"/>
      <c r="O487" s="11" t="str">
        <f aca="false">IF(K487&lt;=StockP33,"Low",IF(K487&lt;=StockP67,"Moderate","High"))</f>
        <v>High</v>
      </c>
      <c r="P487" s="11" t="str">
        <f aca="false">IF(H487=0,"Low",IF(H487&lt;=MarkdownP75,"Moderate","High"))</f>
        <v>High</v>
      </c>
      <c r="Q487" s="11" t="str">
        <f aca="false">IF(ISBLANK(L487),"Unknown",IF(L487&gt;=4,"Good",IF(L487&lt;=2,"Poor","Neutral")))</f>
        <v>Unknown</v>
      </c>
      <c r="R487" s="11" t="str">
        <f aca="false">IF(AND(O487="Low",P487="Low",Q487="Good"),"BUY / PRIORITIZE",IF(AND(O487="High",P487="High",OR(Q487="Poor",M487=TRUE())),"HOLD / REVIEW","MONITOR"))</f>
        <v>MONITOR</v>
      </c>
      <c r="S487" s="11" t="n">
        <f aca="false">K487+(ROW()/10000000)</f>
        <v>36.0000487</v>
      </c>
    </row>
    <row r="488" customFormat="false" ht="15" hidden="false" customHeight="false" outlineLevel="0" collapsed="false">
      <c r="A488" s="11" t="s">
        <v>692</v>
      </c>
      <c r="B488" s="11" t="s">
        <v>29</v>
      </c>
      <c r="C488" s="11" t="s">
        <v>86</v>
      </c>
      <c r="D488" s="11" t="s">
        <v>35</v>
      </c>
      <c r="E488" s="11" t="s">
        <v>73</v>
      </c>
      <c r="F488" s="11" t="s">
        <v>96</v>
      </c>
      <c r="G488" s="21" t="n">
        <v>167.86</v>
      </c>
      <c r="H488" s="19" t="n">
        <v>0</v>
      </c>
      <c r="I488" s="21" t="n">
        <v>167.86</v>
      </c>
      <c r="J488" s="22" t="s">
        <v>80</v>
      </c>
      <c r="K488" s="11" t="n">
        <v>17</v>
      </c>
      <c r="L488" s="23" t="n">
        <v>3.2</v>
      </c>
      <c r="M488" s="24" t="b">
        <f aca="false">FALSE()</f>
        <v>0</v>
      </c>
      <c r="N488" s="11"/>
      <c r="O488" s="11" t="str">
        <f aca="false">IF(K488&lt;=StockP33,"Low",IF(K488&lt;=StockP67,"Moderate","High"))</f>
        <v>Low</v>
      </c>
      <c r="P488" s="11" t="str">
        <f aca="false">IF(H488=0,"Low",IF(H488&lt;=MarkdownP75,"Moderate","High"))</f>
        <v>Low</v>
      </c>
      <c r="Q488" s="11" t="str">
        <f aca="false">IF(ISBLANK(L488),"Unknown",IF(L488&gt;=4,"Good",IF(L488&lt;=2,"Poor","Neutral")))</f>
        <v>Neutral</v>
      </c>
      <c r="R488" s="11" t="str">
        <f aca="false">IF(AND(O488="Low",P488="Low",Q488="Good"),"BUY / PRIORITIZE",IF(AND(O488="High",P488="High",OR(Q488="Poor",M488=TRUE())),"HOLD / REVIEW","MONITOR"))</f>
        <v>MONITOR</v>
      </c>
      <c r="S488" s="11" t="n">
        <f aca="false">K488+(ROW()/10000000)</f>
        <v>17.0000488</v>
      </c>
    </row>
    <row r="489" customFormat="false" ht="15" hidden="false" customHeight="false" outlineLevel="0" collapsed="false">
      <c r="A489" s="11" t="s">
        <v>693</v>
      </c>
      <c r="B489" s="11" t="s">
        <v>8</v>
      </c>
      <c r="C489" s="11" t="s">
        <v>77</v>
      </c>
      <c r="D489" s="11" t="s">
        <v>36</v>
      </c>
      <c r="E489" s="11"/>
      <c r="F489" s="11" t="s">
        <v>92</v>
      </c>
      <c r="G489" s="21" t="n">
        <v>62.2</v>
      </c>
      <c r="H489" s="19" t="n">
        <v>37.7</v>
      </c>
      <c r="I489" s="21" t="n">
        <v>38.75</v>
      </c>
      <c r="J489" s="22" t="s">
        <v>80</v>
      </c>
      <c r="K489" s="11" t="n">
        <v>16</v>
      </c>
      <c r="L489" s="23" t="n">
        <v>3.1</v>
      </c>
      <c r="M489" s="24" t="b">
        <f aca="false">FALSE()</f>
        <v>0</v>
      </c>
      <c r="N489" s="11"/>
      <c r="O489" s="11" t="str">
        <f aca="false">IF(K489&lt;=StockP33,"Low",IF(K489&lt;=StockP67,"Moderate","High"))</f>
        <v>Low</v>
      </c>
      <c r="P489" s="11" t="str">
        <f aca="false">IF(H489=0,"Low",IF(H489&lt;=MarkdownP75,"Moderate","High"))</f>
        <v>High</v>
      </c>
      <c r="Q489" s="11" t="str">
        <f aca="false">IF(ISBLANK(L489),"Unknown",IF(L489&gt;=4,"Good",IF(L489&lt;=2,"Poor","Neutral")))</f>
        <v>Neutral</v>
      </c>
      <c r="R489" s="11" t="str">
        <f aca="false">IF(AND(O489="Low",P489="Low",Q489="Good"),"BUY / PRIORITIZE",IF(AND(O489="High",P489="High",OR(Q489="Poor",M489=TRUE())),"HOLD / REVIEW","MONITOR"))</f>
        <v>MONITOR</v>
      </c>
      <c r="S489" s="11" t="n">
        <f aca="false">K489+(ROW()/10000000)</f>
        <v>16.0000489</v>
      </c>
    </row>
    <row r="490" customFormat="false" ht="15" hidden="false" customHeight="false" outlineLevel="0" collapsed="false">
      <c r="A490" s="11" t="s">
        <v>694</v>
      </c>
      <c r="B490" s="11" t="s">
        <v>28</v>
      </c>
      <c r="C490" s="11" t="s">
        <v>86</v>
      </c>
      <c r="D490" s="11" t="s">
        <v>36</v>
      </c>
      <c r="E490" s="11"/>
      <c r="F490" s="11" t="s">
        <v>79</v>
      </c>
      <c r="G490" s="21" t="n">
        <v>223.69</v>
      </c>
      <c r="H490" s="19" t="n">
        <v>6.3</v>
      </c>
      <c r="I490" s="21" t="n">
        <v>209.6</v>
      </c>
      <c r="J490" s="22" t="s">
        <v>80</v>
      </c>
      <c r="K490" s="11" t="n">
        <v>18</v>
      </c>
      <c r="L490" s="23" t="n">
        <v>1.9</v>
      </c>
      <c r="M490" s="24" t="b">
        <f aca="false">FALSE()</f>
        <v>0</v>
      </c>
      <c r="N490" s="11"/>
      <c r="O490" s="11" t="str">
        <f aca="false">IF(K490&lt;=StockP33,"Low",IF(K490&lt;=StockP67,"Moderate","High"))</f>
        <v>Moderate</v>
      </c>
      <c r="P490" s="11" t="str">
        <f aca="false">IF(H490=0,"Low",IF(H490&lt;=MarkdownP75,"Moderate","High"))</f>
        <v>Moderate</v>
      </c>
      <c r="Q490" s="11" t="str">
        <f aca="false">IF(ISBLANK(L490),"Unknown",IF(L490&gt;=4,"Good",IF(L490&lt;=2,"Poor","Neutral")))</f>
        <v>Poor</v>
      </c>
      <c r="R490" s="11" t="str">
        <f aca="false">IF(AND(O490="Low",P490="Low",Q490="Good"),"BUY / PRIORITIZE",IF(AND(O490="High",P490="High",OR(Q490="Poor",M490=TRUE())),"HOLD / REVIEW","MONITOR"))</f>
        <v>MONITOR</v>
      </c>
      <c r="S490" s="11" t="n">
        <f aca="false">K490+(ROW()/10000000)</f>
        <v>18.000049</v>
      </c>
    </row>
    <row r="491" customFormat="false" ht="15" hidden="false" customHeight="false" outlineLevel="0" collapsed="false">
      <c r="A491" s="11" t="s">
        <v>695</v>
      </c>
      <c r="B491" s="11" t="s">
        <v>8</v>
      </c>
      <c r="C491" s="11" t="s">
        <v>95</v>
      </c>
      <c r="D491" s="11" t="s">
        <v>35</v>
      </c>
      <c r="E491" s="11"/>
      <c r="F491" s="11" t="s">
        <v>96</v>
      </c>
      <c r="G491" s="21" t="n">
        <v>67.13</v>
      </c>
      <c r="H491" s="19" t="n">
        <v>0</v>
      </c>
      <c r="I491" s="21" t="n">
        <v>67.13</v>
      </c>
      <c r="J491" s="22" t="s">
        <v>80</v>
      </c>
      <c r="K491" s="11" t="n">
        <v>3</v>
      </c>
      <c r="L491" s="23" t="n">
        <v>1.4</v>
      </c>
      <c r="M491" s="24" t="b">
        <f aca="false">FALSE()</f>
        <v>0</v>
      </c>
      <c r="N491" s="11"/>
      <c r="O491" s="11" t="str">
        <f aca="false">IF(K491&lt;=StockP33,"Low",IF(K491&lt;=StockP67,"Moderate","High"))</f>
        <v>Low</v>
      </c>
      <c r="P491" s="11" t="str">
        <f aca="false">IF(H491=0,"Low",IF(H491&lt;=MarkdownP75,"Moderate","High"))</f>
        <v>Low</v>
      </c>
      <c r="Q491" s="11" t="str">
        <f aca="false">IF(ISBLANK(L491),"Unknown",IF(L491&gt;=4,"Good",IF(L491&lt;=2,"Poor","Neutral")))</f>
        <v>Poor</v>
      </c>
      <c r="R491" s="11" t="str">
        <f aca="false">IF(AND(O491="Low",P491="Low",Q491="Good"),"BUY / PRIORITIZE",IF(AND(O491="High",P491="High",OR(Q491="Poor",M491=TRUE())),"HOLD / REVIEW","MONITOR"))</f>
        <v>MONITOR</v>
      </c>
      <c r="S491" s="11" t="n">
        <f aca="false">K491+(ROW()/10000000)</f>
        <v>3.0000491</v>
      </c>
    </row>
    <row r="492" customFormat="false" ht="15" hidden="false" customHeight="false" outlineLevel="0" collapsed="false">
      <c r="A492" s="11" t="s">
        <v>696</v>
      </c>
      <c r="B492" s="11" t="s">
        <v>27</v>
      </c>
      <c r="C492" s="11" t="s">
        <v>72</v>
      </c>
      <c r="D492" s="11" t="s">
        <v>35</v>
      </c>
      <c r="E492" s="11" t="s">
        <v>113</v>
      </c>
      <c r="F492" s="11" t="s">
        <v>74</v>
      </c>
      <c r="G492" s="21" t="n">
        <v>144.81</v>
      </c>
      <c r="H492" s="19" t="n">
        <v>33.3</v>
      </c>
      <c r="I492" s="21" t="n">
        <v>96.59</v>
      </c>
      <c r="J492" s="22" t="s">
        <v>80</v>
      </c>
      <c r="K492" s="11" t="n">
        <v>33</v>
      </c>
      <c r="L492" s="23" t="n">
        <v>2.8</v>
      </c>
      <c r="M492" s="24" t="b">
        <f aca="false">FALSE()</f>
        <v>0</v>
      </c>
      <c r="N492" s="11"/>
      <c r="O492" s="11" t="str">
        <f aca="false">IF(K492&lt;=StockP33,"Low",IF(K492&lt;=StockP67,"Moderate","High"))</f>
        <v>Moderate</v>
      </c>
      <c r="P492" s="11" t="str">
        <f aca="false">IF(H492=0,"Low",IF(H492&lt;=MarkdownP75,"Moderate","High"))</f>
        <v>High</v>
      </c>
      <c r="Q492" s="11" t="str">
        <f aca="false">IF(ISBLANK(L492),"Unknown",IF(L492&gt;=4,"Good",IF(L492&lt;=2,"Poor","Neutral")))</f>
        <v>Neutral</v>
      </c>
      <c r="R492" s="11" t="str">
        <f aca="false">IF(AND(O492="Low",P492="Low",Q492="Good"),"BUY / PRIORITIZE",IF(AND(O492="High",P492="High",OR(Q492="Poor",M492=TRUE())),"HOLD / REVIEW","MONITOR"))</f>
        <v>MONITOR</v>
      </c>
      <c r="S492" s="11" t="n">
        <f aca="false">K492+(ROW()/10000000)</f>
        <v>33.0000492</v>
      </c>
    </row>
    <row r="493" customFormat="false" ht="15" hidden="false" customHeight="false" outlineLevel="0" collapsed="false">
      <c r="A493" s="11" t="s">
        <v>697</v>
      </c>
      <c r="B493" s="11" t="s">
        <v>28</v>
      </c>
      <c r="C493" s="11" t="s">
        <v>116</v>
      </c>
      <c r="D493" s="11" t="s">
        <v>37</v>
      </c>
      <c r="E493" s="11" t="s">
        <v>110</v>
      </c>
      <c r="F493" s="11" t="s">
        <v>120</v>
      </c>
      <c r="G493" s="21" t="n">
        <v>152.93</v>
      </c>
      <c r="H493" s="19" t="n">
        <v>53</v>
      </c>
      <c r="I493" s="21" t="n">
        <v>71.88</v>
      </c>
      <c r="J493" s="22" t="s">
        <v>80</v>
      </c>
      <c r="K493" s="11" t="n">
        <v>2</v>
      </c>
      <c r="L493" s="23" t="n">
        <v>4.6</v>
      </c>
      <c r="M493" s="24" t="b">
        <f aca="false">TRUE()</f>
        <v>1</v>
      </c>
      <c r="N493" s="11" t="s">
        <v>178</v>
      </c>
      <c r="O493" s="11" t="str">
        <f aca="false">IF(K493&lt;=StockP33,"Low",IF(K493&lt;=StockP67,"Moderate","High"))</f>
        <v>Low</v>
      </c>
      <c r="P493" s="11" t="str">
        <f aca="false">IF(H493=0,"Low",IF(H493&lt;=MarkdownP75,"Moderate","High"))</f>
        <v>High</v>
      </c>
      <c r="Q493" s="11" t="str">
        <f aca="false">IF(ISBLANK(L493),"Unknown",IF(L493&gt;=4,"Good",IF(L493&lt;=2,"Poor","Neutral")))</f>
        <v>Good</v>
      </c>
      <c r="R493" s="11" t="str">
        <f aca="false">IF(AND(O493="Low",P493="Low",Q493="Good"),"BUY / PRIORITIZE",IF(AND(O493="High",P493="High",OR(Q493="Poor",M493=TRUE())),"HOLD / REVIEW","MONITOR"))</f>
        <v>MONITOR</v>
      </c>
      <c r="S493" s="11" t="n">
        <f aca="false">K493+(ROW()/10000000)</f>
        <v>2.0000493</v>
      </c>
    </row>
    <row r="494" customFormat="false" ht="15" hidden="false" customHeight="false" outlineLevel="0" collapsed="false">
      <c r="A494" s="11" t="s">
        <v>698</v>
      </c>
      <c r="B494" s="11" t="s">
        <v>27</v>
      </c>
      <c r="C494" s="11" t="s">
        <v>130</v>
      </c>
      <c r="D494" s="11" t="s">
        <v>35</v>
      </c>
      <c r="E494" s="11" t="s">
        <v>102</v>
      </c>
      <c r="F494" s="11" t="s">
        <v>88</v>
      </c>
      <c r="G494" s="21" t="n">
        <v>111.29</v>
      </c>
      <c r="H494" s="19" t="n">
        <v>0</v>
      </c>
      <c r="I494" s="21" t="n">
        <v>111.29</v>
      </c>
      <c r="J494" s="22" t="s">
        <v>80</v>
      </c>
      <c r="K494" s="11" t="n">
        <v>48</v>
      </c>
      <c r="L494" s="23" t="n">
        <v>4.9</v>
      </c>
      <c r="M494" s="24" t="b">
        <f aca="false">FALSE()</f>
        <v>0</v>
      </c>
      <c r="N494" s="11"/>
      <c r="O494" s="11" t="str">
        <f aca="false">IF(K494&lt;=StockP33,"Low",IF(K494&lt;=StockP67,"Moderate","High"))</f>
        <v>High</v>
      </c>
      <c r="P494" s="11" t="str">
        <f aca="false">IF(H494=0,"Low",IF(H494&lt;=MarkdownP75,"Moderate","High"))</f>
        <v>Low</v>
      </c>
      <c r="Q494" s="11" t="str">
        <f aca="false">IF(ISBLANK(L494),"Unknown",IF(L494&gt;=4,"Good",IF(L494&lt;=2,"Poor","Neutral")))</f>
        <v>Good</v>
      </c>
      <c r="R494" s="11" t="str">
        <f aca="false">IF(AND(O494="Low",P494="Low",Q494="Good"),"BUY / PRIORITIZE",IF(AND(O494="High",P494="High",OR(Q494="Poor",M494=TRUE())),"HOLD / REVIEW","MONITOR"))</f>
        <v>MONITOR</v>
      </c>
      <c r="S494" s="11" t="n">
        <f aca="false">K494+(ROW()/10000000)</f>
        <v>48.0000494</v>
      </c>
    </row>
    <row r="495" customFormat="false" ht="15" hidden="false" customHeight="false" outlineLevel="0" collapsed="false">
      <c r="A495" s="11" t="s">
        <v>699</v>
      </c>
      <c r="B495" s="11" t="s">
        <v>28</v>
      </c>
      <c r="C495" s="11" t="s">
        <v>86</v>
      </c>
      <c r="D495" s="11" t="s">
        <v>37</v>
      </c>
      <c r="E495" s="11" t="s">
        <v>110</v>
      </c>
      <c r="F495" s="11" t="s">
        <v>79</v>
      </c>
      <c r="G495" s="21" t="n">
        <v>159.18</v>
      </c>
      <c r="H495" s="19" t="n">
        <v>0</v>
      </c>
      <c r="I495" s="21" t="n">
        <v>159.18</v>
      </c>
      <c r="J495" s="22" t="s">
        <v>80</v>
      </c>
      <c r="K495" s="11" t="n">
        <v>38</v>
      </c>
      <c r="L495" s="23" t="n">
        <v>2.4</v>
      </c>
      <c r="M495" s="24" t="b">
        <f aca="false">TRUE()</f>
        <v>1</v>
      </c>
      <c r="N495" s="11" t="s">
        <v>140</v>
      </c>
      <c r="O495" s="11" t="str">
        <f aca="false">IF(K495&lt;=StockP33,"Low",IF(K495&lt;=StockP67,"Moderate","High"))</f>
        <v>High</v>
      </c>
      <c r="P495" s="11" t="str">
        <f aca="false">IF(H495=0,"Low",IF(H495&lt;=MarkdownP75,"Moderate","High"))</f>
        <v>Low</v>
      </c>
      <c r="Q495" s="11" t="str">
        <f aca="false">IF(ISBLANK(L495),"Unknown",IF(L495&gt;=4,"Good",IF(L495&lt;=2,"Poor","Neutral")))</f>
        <v>Neutral</v>
      </c>
      <c r="R495" s="11" t="str">
        <f aca="false">IF(AND(O495="Low",P495="Low",Q495="Good"),"BUY / PRIORITIZE",IF(AND(O495="High",P495="High",OR(Q495="Poor",M495=TRUE())),"HOLD / REVIEW","MONITOR"))</f>
        <v>MONITOR</v>
      </c>
      <c r="S495" s="11" t="n">
        <f aca="false">K495+(ROW()/10000000)</f>
        <v>38.0000495</v>
      </c>
    </row>
    <row r="496" customFormat="false" ht="15" hidden="false" customHeight="false" outlineLevel="0" collapsed="false">
      <c r="A496" s="11" t="s">
        <v>700</v>
      </c>
      <c r="B496" s="11" t="s">
        <v>28</v>
      </c>
      <c r="C496" s="11" t="s">
        <v>72</v>
      </c>
      <c r="D496" s="11" t="s">
        <v>37</v>
      </c>
      <c r="E496" s="11" t="s">
        <v>102</v>
      </c>
      <c r="F496" s="11" t="s">
        <v>88</v>
      </c>
      <c r="G496" s="21" t="n">
        <v>215.93</v>
      </c>
      <c r="H496" s="19" t="n">
        <v>0</v>
      </c>
      <c r="I496" s="21" t="n">
        <v>215.93</v>
      </c>
      <c r="J496" s="22" t="s">
        <v>80</v>
      </c>
      <c r="K496" s="11" t="n">
        <v>43</v>
      </c>
      <c r="L496" s="23" t="n">
        <v>3.5</v>
      </c>
      <c r="M496" s="24" t="b">
        <f aca="false">FALSE()</f>
        <v>0</v>
      </c>
      <c r="N496" s="11"/>
      <c r="O496" s="11" t="str">
        <f aca="false">IF(K496&lt;=StockP33,"Low",IF(K496&lt;=StockP67,"Moderate","High"))</f>
        <v>High</v>
      </c>
      <c r="P496" s="11" t="str">
        <f aca="false">IF(H496=0,"Low",IF(H496&lt;=MarkdownP75,"Moderate","High"))</f>
        <v>Low</v>
      </c>
      <c r="Q496" s="11" t="str">
        <f aca="false">IF(ISBLANK(L496),"Unknown",IF(L496&gt;=4,"Good",IF(L496&lt;=2,"Poor","Neutral")))</f>
        <v>Neutral</v>
      </c>
      <c r="R496" s="11" t="str">
        <f aca="false">IF(AND(O496="Low",P496="Low",Q496="Good"),"BUY / PRIORITIZE",IF(AND(O496="High",P496="High",OR(Q496="Poor",M496=TRUE())),"HOLD / REVIEW","MONITOR"))</f>
        <v>MONITOR</v>
      </c>
      <c r="S496" s="11" t="n">
        <f aca="false">K496+(ROW()/10000000)</f>
        <v>43.0000496</v>
      </c>
    </row>
    <row r="497" customFormat="false" ht="15" hidden="false" customHeight="false" outlineLevel="0" collapsed="false">
      <c r="A497" s="11" t="s">
        <v>701</v>
      </c>
      <c r="B497" s="11" t="s">
        <v>30</v>
      </c>
      <c r="C497" s="11" t="s">
        <v>107</v>
      </c>
      <c r="D497" s="11" t="s">
        <v>34</v>
      </c>
      <c r="E497" s="11"/>
      <c r="F497" s="11" t="s">
        <v>111</v>
      </c>
      <c r="G497" s="21" t="n">
        <v>51.69</v>
      </c>
      <c r="H497" s="19" t="n">
        <v>33.4</v>
      </c>
      <c r="I497" s="21" t="n">
        <v>34.43</v>
      </c>
      <c r="J497" s="22" t="s">
        <v>702</v>
      </c>
      <c r="K497" s="11" t="n">
        <v>36</v>
      </c>
      <c r="L497" s="23" t="n">
        <v>3.4</v>
      </c>
      <c r="M497" s="24" t="b">
        <f aca="false">FALSE()</f>
        <v>0</v>
      </c>
      <c r="N497" s="11"/>
      <c r="O497" s="11" t="str">
        <f aca="false">IF(K497&lt;=StockP33,"Low",IF(K497&lt;=StockP67,"Moderate","High"))</f>
        <v>High</v>
      </c>
      <c r="P497" s="11" t="str">
        <f aca="false">IF(H497=0,"Low",IF(H497&lt;=MarkdownP75,"Moderate","High"))</f>
        <v>High</v>
      </c>
      <c r="Q497" s="11" t="str">
        <f aca="false">IF(ISBLANK(L497),"Unknown",IF(L497&gt;=4,"Good",IF(L497&lt;=2,"Poor","Neutral")))</f>
        <v>Neutral</v>
      </c>
      <c r="R497" s="11" t="str">
        <f aca="false">IF(AND(O497="Low",P497="Low",Q497="Good"),"BUY / PRIORITIZE",IF(AND(O497="High",P497="High",OR(Q497="Poor",M497=TRUE())),"HOLD / REVIEW","MONITOR"))</f>
        <v>MONITOR</v>
      </c>
      <c r="S497" s="11" t="n">
        <f aca="false">K497+(ROW()/10000000)</f>
        <v>36.0000497</v>
      </c>
    </row>
    <row r="498" customFormat="false" ht="15" hidden="false" customHeight="false" outlineLevel="0" collapsed="false">
      <c r="A498" s="11" t="s">
        <v>703</v>
      </c>
      <c r="B498" s="11" t="s">
        <v>28</v>
      </c>
      <c r="C498" s="11" t="s">
        <v>107</v>
      </c>
      <c r="D498" s="11" t="s">
        <v>35</v>
      </c>
      <c r="E498" s="11" t="s">
        <v>78</v>
      </c>
      <c r="F498" s="11" t="s">
        <v>79</v>
      </c>
      <c r="G498" s="21" t="n">
        <v>137.38</v>
      </c>
      <c r="H498" s="19" t="n">
        <v>0</v>
      </c>
      <c r="I498" s="21" t="n">
        <v>137.38</v>
      </c>
      <c r="J498" s="22" t="s">
        <v>80</v>
      </c>
      <c r="K498" s="11" t="n">
        <v>43</v>
      </c>
      <c r="L498" s="23" t="n">
        <v>3.5</v>
      </c>
      <c r="M498" s="24" t="b">
        <f aca="false">FALSE()</f>
        <v>0</v>
      </c>
      <c r="N498" s="11"/>
      <c r="O498" s="11" t="str">
        <f aca="false">IF(K498&lt;=StockP33,"Low",IF(K498&lt;=StockP67,"Moderate","High"))</f>
        <v>High</v>
      </c>
      <c r="P498" s="11" t="str">
        <f aca="false">IF(H498=0,"Low",IF(H498&lt;=MarkdownP75,"Moderate","High"))</f>
        <v>Low</v>
      </c>
      <c r="Q498" s="11" t="str">
        <f aca="false">IF(ISBLANK(L498),"Unknown",IF(L498&gt;=4,"Good",IF(L498&lt;=2,"Poor","Neutral")))</f>
        <v>Neutral</v>
      </c>
      <c r="R498" s="11" t="str">
        <f aca="false">IF(AND(O498="Low",P498="Low",Q498="Good"),"BUY / PRIORITIZE",IF(AND(O498="High",P498="High",OR(Q498="Poor",M498=TRUE())),"HOLD / REVIEW","MONITOR"))</f>
        <v>MONITOR</v>
      </c>
      <c r="S498" s="11" t="n">
        <f aca="false">K498+(ROW()/10000000)</f>
        <v>43.0000498</v>
      </c>
    </row>
    <row r="499" customFormat="false" ht="15" hidden="false" customHeight="false" outlineLevel="0" collapsed="false">
      <c r="A499" s="11" t="s">
        <v>704</v>
      </c>
      <c r="B499" s="11" t="s">
        <v>26</v>
      </c>
      <c r="C499" s="11" t="s">
        <v>130</v>
      </c>
      <c r="D499" s="11" t="s">
        <v>36</v>
      </c>
      <c r="E499" s="11" t="s">
        <v>102</v>
      </c>
      <c r="F499" s="11" t="s">
        <v>98</v>
      </c>
      <c r="G499" s="21" t="n">
        <v>96.7</v>
      </c>
      <c r="H499" s="19" t="n">
        <v>38.8</v>
      </c>
      <c r="I499" s="21" t="n">
        <v>59.18</v>
      </c>
      <c r="J499" s="22" t="s">
        <v>80</v>
      </c>
      <c r="K499" s="11" t="n">
        <v>46</v>
      </c>
      <c r="L499" s="23" t="n">
        <v>1.7</v>
      </c>
      <c r="M499" s="24" t="b">
        <f aca="false">FALSE()</f>
        <v>0</v>
      </c>
      <c r="N499" s="11"/>
      <c r="O499" s="11" t="str">
        <f aca="false">IF(K499&lt;=StockP33,"Low",IF(K499&lt;=StockP67,"Moderate","High"))</f>
        <v>High</v>
      </c>
      <c r="P499" s="11" t="str">
        <f aca="false">IF(H499=0,"Low",IF(H499&lt;=MarkdownP75,"Moderate","High"))</f>
        <v>High</v>
      </c>
      <c r="Q499" s="11" t="str">
        <f aca="false">IF(ISBLANK(L499),"Unknown",IF(L499&gt;=4,"Good",IF(L499&lt;=2,"Poor","Neutral")))</f>
        <v>Poor</v>
      </c>
      <c r="R499" s="11" t="str">
        <f aca="false">IF(AND(O499="Low",P499="Low",Q499="Good"),"BUY / PRIORITIZE",IF(AND(O499="High",P499="High",OR(Q499="Poor",M499=TRUE())),"HOLD / REVIEW","MONITOR"))</f>
        <v>HOLD / REVIEW</v>
      </c>
      <c r="S499" s="11" t="n">
        <f aca="false">K499+(ROW()/10000000)</f>
        <v>46.0000499</v>
      </c>
    </row>
    <row r="500" customFormat="false" ht="15" hidden="false" customHeight="false" outlineLevel="0" collapsed="false">
      <c r="A500" s="11" t="s">
        <v>705</v>
      </c>
      <c r="B500" s="11" t="s">
        <v>26</v>
      </c>
      <c r="C500" s="11" t="s">
        <v>101</v>
      </c>
      <c r="D500" s="11" t="s">
        <v>34</v>
      </c>
      <c r="E500" s="11" t="s">
        <v>113</v>
      </c>
      <c r="F500" s="11" t="s">
        <v>120</v>
      </c>
      <c r="G500" s="21" t="n">
        <v>58.73</v>
      </c>
      <c r="H500" s="19" t="n">
        <v>38.1</v>
      </c>
      <c r="I500" s="21" t="n">
        <v>36.35</v>
      </c>
      <c r="J500" s="22" t="s">
        <v>389</v>
      </c>
      <c r="K500" s="11" t="n">
        <v>50</v>
      </c>
      <c r="L500" s="23" t="n">
        <v>1.2</v>
      </c>
      <c r="M500" s="24" t="b">
        <f aca="false">FALSE()</f>
        <v>0</v>
      </c>
      <c r="N500" s="11"/>
      <c r="O500" s="11" t="str">
        <f aca="false">IF(K500&lt;=StockP33,"Low",IF(K500&lt;=StockP67,"Moderate","High"))</f>
        <v>High</v>
      </c>
      <c r="P500" s="11" t="str">
        <f aca="false">IF(H500=0,"Low",IF(H500&lt;=MarkdownP75,"Moderate","High"))</f>
        <v>High</v>
      </c>
      <c r="Q500" s="11" t="str">
        <f aca="false">IF(ISBLANK(L500),"Unknown",IF(L500&gt;=4,"Good",IF(L500&lt;=2,"Poor","Neutral")))</f>
        <v>Poor</v>
      </c>
      <c r="R500" s="11" t="str">
        <f aca="false">IF(AND(O500="Low",P500="Low",Q500="Good"),"BUY / PRIORITIZE",IF(AND(O500="High",P500="High",OR(Q500="Poor",M500=TRUE())),"HOLD / REVIEW","MONITOR"))</f>
        <v>HOLD / REVIEW</v>
      </c>
      <c r="S500" s="11" t="n">
        <f aca="false">K500+(ROW()/10000000)</f>
        <v>50.00005</v>
      </c>
    </row>
    <row r="501" customFormat="false" ht="15" hidden="false" customHeight="false" outlineLevel="0" collapsed="false">
      <c r="A501" s="11" t="s">
        <v>706</v>
      </c>
      <c r="B501" s="11" t="s">
        <v>28</v>
      </c>
      <c r="C501" s="11" t="s">
        <v>116</v>
      </c>
      <c r="D501" s="11" t="s">
        <v>37</v>
      </c>
      <c r="E501" s="11" t="s">
        <v>91</v>
      </c>
      <c r="F501" s="11" t="s">
        <v>98</v>
      </c>
      <c r="G501" s="21" t="n">
        <v>204.68</v>
      </c>
      <c r="H501" s="19" t="n">
        <v>0</v>
      </c>
      <c r="I501" s="21" t="n">
        <v>204.68</v>
      </c>
      <c r="J501" s="22" t="s">
        <v>80</v>
      </c>
      <c r="K501" s="11" t="n">
        <v>33</v>
      </c>
      <c r="L501" s="23" t="n">
        <v>3.1</v>
      </c>
      <c r="M501" s="24" t="b">
        <f aca="false">FALSE()</f>
        <v>0</v>
      </c>
      <c r="N501" s="11"/>
      <c r="O501" s="11" t="str">
        <f aca="false">IF(K501&lt;=StockP33,"Low",IF(K501&lt;=StockP67,"Moderate","High"))</f>
        <v>Moderate</v>
      </c>
      <c r="P501" s="11" t="str">
        <f aca="false">IF(H501=0,"Low",IF(H501&lt;=MarkdownP75,"Moderate","High"))</f>
        <v>Low</v>
      </c>
      <c r="Q501" s="11" t="str">
        <f aca="false">IF(ISBLANK(L501),"Unknown",IF(L501&gt;=4,"Good",IF(L501&lt;=2,"Poor","Neutral")))</f>
        <v>Neutral</v>
      </c>
      <c r="R501" s="11" t="str">
        <f aca="false">IF(AND(O501="Low",P501="Low",Q501="Good"),"BUY / PRIORITIZE",IF(AND(O501="High",P501="High",OR(Q501="Poor",M501=TRUE())),"HOLD / REVIEW","MONITOR"))</f>
        <v>MONITOR</v>
      </c>
      <c r="S501" s="11" t="n">
        <f aca="false">K501+(ROW()/10000000)</f>
        <v>33.0000501</v>
      </c>
    </row>
    <row r="502" customFormat="false" ht="15" hidden="false" customHeight="false" outlineLevel="0" collapsed="false">
      <c r="A502" s="11" t="s">
        <v>707</v>
      </c>
      <c r="B502" s="11" t="s">
        <v>26</v>
      </c>
      <c r="C502" s="11" t="s">
        <v>130</v>
      </c>
      <c r="D502" s="11" t="s">
        <v>34</v>
      </c>
      <c r="E502" s="11" t="s">
        <v>78</v>
      </c>
      <c r="F502" s="11" t="s">
        <v>88</v>
      </c>
      <c r="G502" s="21" t="n">
        <v>117.26</v>
      </c>
      <c r="H502" s="19" t="n">
        <v>0</v>
      </c>
      <c r="I502" s="21" t="n">
        <v>117.26</v>
      </c>
      <c r="J502" s="22" t="s">
        <v>708</v>
      </c>
      <c r="K502" s="11" t="n">
        <v>29</v>
      </c>
      <c r="L502" s="23"/>
      <c r="M502" s="24" t="b">
        <f aca="false">FALSE()</f>
        <v>0</v>
      </c>
      <c r="N502" s="11"/>
      <c r="O502" s="11" t="str">
        <f aca="false">IF(K502&lt;=StockP33,"Low",IF(K502&lt;=StockP67,"Moderate","High"))</f>
        <v>Moderate</v>
      </c>
      <c r="P502" s="11" t="str">
        <f aca="false">IF(H502=0,"Low",IF(H502&lt;=MarkdownP75,"Moderate","High"))</f>
        <v>Low</v>
      </c>
      <c r="Q502" s="11" t="str">
        <f aca="false">IF(ISBLANK(L502),"Unknown",IF(L502&gt;=4,"Good",IF(L502&lt;=2,"Poor","Neutral")))</f>
        <v>Unknown</v>
      </c>
      <c r="R502" s="11" t="str">
        <f aca="false">IF(AND(O502="Low",P502="Low",Q502="Good"),"BUY / PRIORITIZE",IF(AND(O502="High",P502="High",OR(Q502="Poor",M502=TRUE())),"HOLD / REVIEW","MONITOR"))</f>
        <v>MONITOR</v>
      </c>
      <c r="S502" s="11" t="n">
        <f aca="false">K502+(ROW()/10000000)</f>
        <v>29.0000502</v>
      </c>
    </row>
    <row r="503" customFormat="false" ht="15" hidden="false" customHeight="false" outlineLevel="0" collapsed="false">
      <c r="A503" s="11" t="s">
        <v>709</v>
      </c>
      <c r="B503" s="11" t="s">
        <v>28</v>
      </c>
      <c r="C503" s="11" t="s">
        <v>116</v>
      </c>
      <c r="D503" s="11" t="s">
        <v>35</v>
      </c>
      <c r="E503" s="11" t="s">
        <v>102</v>
      </c>
      <c r="F503" s="11" t="s">
        <v>88</v>
      </c>
      <c r="G503" s="21" t="n">
        <v>91.95</v>
      </c>
      <c r="H503" s="19" t="n">
        <v>0</v>
      </c>
      <c r="I503" s="21" t="n">
        <v>91.95</v>
      </c>
      <c r="J503" s="22" t="s">
        <v>80</v>
      </c>
      <c r="K503" s="11" t="n">
        <v>1</v>
      </c>
      <c r="L503" s="23" t="n">
        <v>2.5</v>
      </c>
      <c r="M503" s="24" t="b">
        <f aca="false">FALSE()</f>
        <v>0</v>
      </c>
      <c r="N503" s="11"/>
      <c r="O503" s="11" t="str">
        <f aca="false">IF(K503&lt;=StockP33,"Low",IF(K503&lt;=StockP67,"Moderate","High"))</f>
        <v>Low</v>
      </c>
      <c r="P503" s="11" t="str">
        <f aca="false">IF(H503=0,"Low",IF(H503&lt;=MarkdownP75,"Moderate","High"))</f>
        <v>Low</v>
      </c>
      <c r="Q503" s="11" t="str">
        <f aca="false">IF(ISBLANK(L503),"Unknown",IF(L503&gt;=4,"Good",IF(L503&lt;=2,"Poor","Neutral")))</f>
        <v>Neutral</v>
      </c>
      <c r="R503" s="11" t="str">
        <f aca="false">IF(AND(O503="Low",P503="Low",Q503="Good"),"BUY / PRIORITIZE",IF(AND(O503="High",P503="High",OR(Q503="Poor",M503=TRUE())),"HOLD / REVIEW","MONITOR"))</f>
        <v>MONITOR</v>
      </c>
      <c r="S503" s="11" t="n">
        <f aca="false">K503+(ROW()/10000000)</f>
        <v>1.0000503</v>
      </c>
    </row>
    <row r="504" customFormat="false" ht="15" hidden="false" customHeight="false" outlineLevel="0" collapsed="false">
      <c r="A504" s="11" t="s">
        <v>710</v>
      </c>
      <c r="B504" s="11" t="s">
        <v>26</v>
      </c>
      <c r="C504" s="11" t="s">
        <v>116</v>
      </c>
      <c r="D504" s="11" t="s">
        <v>36</v>
      </c>
      <c r="E504" s="11" t="s">
        <v>73</v>
      </c>
      <c r="F504" s="11" t="s">
        <v>118</v>
      </c>
      <c r="G504" s="21" t="n">
        <v>94.53</v>
      </c>
      <c r="H504" s="19" t="n">
        <v>0</v>
      </c>
      <c r="I504" s="21" t="n">
        <v>94.53</v>
      </c>
      <c r="J504" s="22" t="s">
        <v>80</v>
      </c>
      <c r="K504" s="11" t="n">
        <v>13</v>
      </c>
      <c r="L504" s="23" t="n">
        <v>2.4</v>
      </c>
      <c r="M504" s="24" t="b">
        <f aca="false">FALSE()</f>
        <v>0</v>
      </c>
      <c r="N504" s="11"/>
      <c r="O504" s="11" t="str">
        <f aca="false">IF(K504&lt;=StockP33,"Low",IF(K504&lt;=StockP67,"Moderate","High"))</f>
        <v>Low</v>
      </c>
      <c r="P504" s="11" t="str">
        <f aca="false">IF(H504=0,"Low",IF(H504&lt;=MarkdownP75,"Moderate","High"))</f>
        <v>Low</v>
      </c>
      <c r="Q504" s="11" t="str">
        <f aca="false">IF(ISBLANK(L504),"Unknown",IF(L504&gt;=4,"Good",IF(L504&lt;=2,"Poor","Neutral")))</f>
        <v>Neutral</v>
      </c>
      <c r="R504" s="11" t="str">
        <f aca="false">IF(AND(O504="Low",P504="Low",Q504="Good"),"BUY / PRIORITIZE",IF(AND(O504="High",P504="High",OR(Q504="Poor",M504=TRUE())),"HOLD / REVIEW","MONITOR"))</f>
        <v>MONITOR</v>
      </c>
      <c r="S504" s="11" t="n">
        <f aca="false">K504+(ROW()/10000000)</f>
        <v>13.0000504</v>
      </c>
    </row>
    <row r="505" customFormat="false" ht="15" hidden="false" customHeight="false" outlineLevel="0" collapsed="false">
      <c r="A505" s="11" t="s">
        <v>711</v>
      </c>
      <c r="B505" s="11" t="s">
        <v>27</v>
      </c>
      <c r="C505" s="11" t="s">
        <v>95</v>
      </c>
      <c r="D505" s="11" t="s">
        <v>36</v>
      </c>
      <c r="E505" s="11" t="s">
        <v>102</v>
      </c>
      <c r="F505" s="11" t="s">
        <v>88</v>
      </c>
      <c r="G505" s="21" t="n">
        <v>71.94</v>
      </c>
      <c r="H505" s="19" t="n">
        <v>3</v>
      </c>
      <c r="I505" s="21" t="n">
        <v>69.78</v>
      </c>
      <c r="J505" s="22" t="s">
        <v>80</v>
      </c>
      <c r="K505" s="11" t="n">
        <v>45</v>
      </c>
      <c r="L505" s="23" t="n">
        <v>1.4</v>
      </c>
      <c r="M505" s="24" t="b">
        <f aca="false">FALSE()</f>
        <v>0</v>
      </c>
      <c r="N505" s="11"/>
      <c r="O505" s="11" t="str">
        <f aca="false">IF(K505&lt;=StockP33,"Low",IF(K505&lt;=StockP67,"Moderate","High"))</f>
        <v>High</v>
      </c>
      <c r="P505" s="11" t="str">
        <f aca="false">IF(H505=0,"Low",IF(H505&lt;=MarkdownP75,"Moderate","High"))</f>
        <v>Moderate</v>
      </c>
      <c r="Q505" s="11" t="str">
        <f aca="false">IF(ISBLANK(L505),"Unknown",IF(L505&gt;=4,"Good",IF(L505&lt;=2,"Poor","Neutral")))</f>
        <v>Poor</v>
      </c>
      <c r="R505" s="11" t="str">
        <f aca="false">IF(AND(O505="Low",P505="Low",Q505="Good"),"BUY / PRIORITIZE",IF(AND(O505="High",P505="High",OR(Q505="Poor",M505=TRUE())),"HOLD / REVIEW","MONITOR"))</f>
        <v>MONITOR</v>
      </c>
      <c r="S505" s="11" t="n">
        <f aca="false">K505+(ROW()/10000000)</f>
        <v>45.0000505</v>
      </c>
    </row>
    <row r="506" customFormat="false" ht="15" hidden="false" customHeight="false" outlineLevel="0" collapsed="false">
      <c r="A506" s="11" t="s">
        <v>712</v>
      </c>
      <c r="B506" s="11" t="s">
        <v>27</v>
      </c>
      <c r="C506" s="11" t="s">
        <v>107</v>
      </c>
      <c r="D506" s="11" t="s">
        <v>37</v>
      </c>
      <c r="E506" s="11" t="s">
        <v>73</v>
      </c>
      <c r="F506" s="11" t="s">
        <v>98</v>
      </c>
      <c r="G506" s="21" t="n">
        <v>177.72</v>
      </c>
      <c r="H506" s="19" t="n">
        <v>5.9</v>
      </c>
      <c r="I506" s="21" t="n">
        <v>167.23</v>
      </c>
      <c r="J506" s="22" t="s">
        <v>80</v>
      </c>
      <c r="K506" s="11" t="n">
        <v>47</v>
      </c>
      <c r="L506" s="23"/>
      <c r="M506" s="24" t="b">
        <f aca="false">FALSE()</f>
        <v>0</v>
      </c>
      <c r="N506" s="11"/>
      <c r="O506" s="11" t="str">
        <f aca="false">IF(K506&lt;=StockP33,"Low",IF(K506&lt;=StockP67,"Moderate","High"))</f>
        <v>High</v>
      </c>
      <c r="P506" s="11" t="str">
        <f aca="false">IF(H506=0,"Low",IF(H506&lt;=MarkdownP75,"Moderate","High"))</f>
        <v>Moderate</v>
      </c>
      <c r="Q506" s="11" t="str">
        <f aca="false">IF(ISBLANK(L506),"Unknown",IF(L506&gt;=4,"Good",IF(L506&lt;=2,"Poor","Neutral")))</f>
        <v>Unknown</v>
      </c>
      <c r="R506" s="11" t="str">
        <f aca="false">IF(AND(O506="Low",P506="Low",Q506="Good"),"BUY / PRIORITIZE",IF(AND(O506="High",P506="High",OR(Q506="Poor",M506=TRUE())),"HOLD / REVIEW","MONITOR"))</f>
        <v>MONITOR</v>
      </c>
      <c r="S506" s="11" t="n">
        <f aca="false">K506+(ROW()/10000000)</f>
        <v>47.0000506</v>
      </c>
    </row>
    <row r="507" customFormat="false" ht="15" hidden="false" customHeight="false" outlineLevel="0" collapsed="false">
      <c r="A507" s="11" t="s">
        <v>713</v>
      </c>
      <c r="B507" s="11" t="s">
        <v>8</v>
      </c>
      <c r="C507" s="11" t="s">
        <v>72</v>
      </c>
      <c r="D507" s="11" t="s">
        <v>35</v>
      </c>
      <c r="E507" s="11"/>
      <c r="F507" s="11" t="s">
        <v>88</v>
      </c>
      <c r="G507" s="21" t="n">
        <v>34.4</v>
      </c>
      <c r="H507" s="19" t="n">
        <v>0</v>
      </c>
      <c r="I507" s="21" t="n">
        <v>34.4</v>
      </c>
      <c r="J507" s="22" t="s">
        <v>80</v>
      </c>
      <c r="K507" s="11" t="n">
        <v>43</v>
      </c>
      <c r="L507" s="23" t="n">
        <v>3</v>
      </c>
      <c r="M507" s="24" t="b">
        <f aca="false">TRUE()</f>
        <v>1</v>
      </c>
      <c r="N507" s="11" t="s">
        <v>191</v>
      </c>
      <c r="O507" s="11" t="str">
        <f aca="false">IF(K507&lt;=StockP33,"Low",IF(K507&lt;=StockP67,"Moderate","High"))</f>
        <v>High</v>
      </c>
      <c r="P507" s="11" t="str">
        <f aca="false">IF(H507=0,"Low",IF(H507&lt;=MarkdownP75,"Moderate","High"))</f>
        <v>Low</v>
      </c>
      <c r="Q507" s="11" t="str">
        <f aca="false">IF(ISBLANK(L507),"Unknown",IF(L507&gt;=4,"Good",IF(L507&lt;=2,"Poor","Neutral")))</f>
        <v>Neutral</v>
      </c>
      <c r="R507" s="11" t="str">
        <f aca="false">IF(AND(O507="Low",P507="Low",Q507="Good"),"BUY / PRIORITIZE",IF(AND(O507="High",P507="High",OR(Q507="Poor",M507=TRUE())),"HOLD / REVIEW","MONITOR"))</f>
        <v>MONITOR</v>
      </c>
      <c r="S507" s="11" t="n">
        <f aca="false">K507+(ROW()/10000000)</f>
        <v>43.0000507</v>
      </c>
    </row>
    <row r="508" customFormat="false" ht="15" hidden="false" customHeight="false" outlineLevel="0" collapsed="false">
      <c r="A508" s="11" t="s">
        <v>714</v>
      </c>
      <c r="B508" s="11" t="s">
        <v>26</v>
      </c>
      <c r="C508" s="11" t="s">
        <v>86</v>
      </c>
      <c r="D508" s="11" t="s">
        <v>34</v>
      </c>
      <c r="E508" s="11" t="s">
        <v>113</v>
      </c>
      <c r="F508" s="11" t="s">
        <v>92</v>
      </c>
      <c r="G508" s="21" t="n">
        <v>119.72</v>
      </c>
      <c r="H508" s="19" t="n">
        <v>0</v>
      </c>
      <c r="I508" s="21" t="n">
        <v>119.72</v>
      </c>
      <c r="J508" s="22" t="s">
        <v>715</v>
      </c>
      <c r="K508" s="11" t="n">
        <v>18</v>
      </c>
      <c r="L508" s="23" t="n">
        <v>3.7</v>
      </c>
      <c r="M508" s="24" t="b">
        <f aca="false">FALSE()</f>
        <v>0</v>
      </c>
      <c r="N508" s="11"/>
      <c r="O508" s="11" t="str">
        <f aca="false">IF(K508&lt;=StockP33,"Low",IF(K508&lt;=StockP67,"Moderate","High"))</f>
        <v>Moderate</v>
      </c>
      <c r="P508" s="11" t="str">
        <f aca="false">IF(H508=0,"Low",IF(H508&lt;=MarkdownP75,"Moderate","High"))</f>
        <v>Low</v>
      </c>
      <c r="Q508" s="11" t="str">
        <f aca="false">IF(ISBLANK(L508),"Unknown",IF(L508&gt;=4,"Good",IF(L508&lt;=2,"Poor","Neutral")))</f>
        <v>Neutral</v>
      </c>
      <c r="R508" s="11" t="str">
        <f aca="false">IF(AND(O508="Low",P508="Low",Q508="Good"),"BUY / PRIORITIZE",IF(AND(O508="High",P508="High",OR(Q508="Poor",M508=TRUE())),"HOLD / REVIEW","MONITOR"))</f>
        <v>MONITOR</v>
      </c>
      <c r="S508" s="11" t="n">
        <f aca="false">K508+(ROW()/10000000)</f>
        <v>18.0000508</v>
      </c>
    </row>
    <row r="509" customFormat="false" ht="15" hidden="false" customHeight="false" outlineLevel="0" collapsed="false">
      <c r="A509" s="11" t="s">
        <v>716</v>
      </c>
      <c r="B509" s="11" t="s">
        <v>8</v>
      </c>
      <c r="C509" s="11" t="s">
        <v>101</v>
      </c>
      <c r="D509" s="11" t="s">
        <v>35</v>
      </c>
      <c r="E509" s="11"/>
      <c r="F509" s="11" t="s">
        <v>124</v>
      </c>
      <c r="G509" s="21" t="n">
        <v>44.09</v>
      </c>
      <c r="H509" s="19" t="n">
        <v>0</v>
      </c>
      <c r="I509" s="21" t="n">
        <v>44.09</v>
      </c>
      <c r="J509" s="22" t="s">
        <v>80</v>
      </c>
      <c r="K509" s="11" t="n">
        <v>2</v>
      </c>
      <c r="L509" s="23" t="n">
        <v>2</v>
      </c>
      <c r="M509" s="24" t="b">
        <f aca="false">FALSE()</f>
        <v>0</v>
      </c>
      <c r="N509" s="11"/>
      <c r="O509" s="11" t="str">
        <f aca="false">IF(K509&lt;=StockP33,"Low",IF(K509&lt;=StockP67,"Moderate","High"))</f>
        <v>Low</v>
      </c>
      <c r="P509" s="11" t="str">
        <f aca="false">IF(H509=0,"Low",IF(H509&lt;=MarkdownP75,"Moderate","High"))</f>
        <v>Low</v>
      </c>
      <c r="Q509" s="11" t="str">
        <f aca="false">IF(ISBLANK(L509),"Unknown",IF(L509&gt;=4,"Good",IF(L509&lt;=2,"Poor","Neutral")))</f>
        <v>Poor</v>
      </c>
      <c r="R509" s="11" t="str">
        <f aca="false">IF(AND(O509="Low",P509="Low",Q509="Good"),"BUY / PRIORITIZE",IF(AND(O509="High",P509="High",OR(Q509="Poor",M509=TRUE())),"HOLD / REVIEW","MONITOR"))</f>
        <v>MONITOR</v>
      </c>
      <c r="S509" s="11" t="n">
        <f aca="false">K509+(ROW()/10000000)</f>
        <v>2.0000509</v>
      </c>
    </row>
    <row r="510" customFormat="false" ht="15" hidden="false" customHeight="false" outlineLevel="0" collapsed="false">
      <c r="A510" s="11" t="s">
        <v>717</v>
      </c>
      <c r="B510" s="11" t="s">
        <v>26</v>
      </c>
      <c r="C510" s="11" t="s">
        <v>95</v>
      </c>
      <c r="D510" s="11" t="s">
        <v>34</v>
      </c>
      <c r="E510" s="11" t="s">
        <v>73</v>
      </c>
      <c r="F510" s="11" t="s">
        <v>120</v>
      </c>
      <c r="G510" s="21" t="n">
        <v>42.47</v>
      </c>
      <c r="H510" s="19" t="n">
        <v>0</v>
      </c>
      <c r="I510" s="21" t="n">
        <v>42.47</v>
      </c>
      <c r="J510" s="22" t="s">
        <v>718</v>
      </c>
      <c r="K510" s="11" t="n">
        <v>33</v>
      </c>
      <c r="L510" s="23" t="n">
        <v>4.5</v>
      </c>
      <c r="M510" s="24" t="b">
        <f aca="false">TRUE()</f>
        <v>1</v>
      </c>
      <c r="N510" s="11" t="s">
        <v>178</v>
      </c>
      <c r="O510" s="11" t="str">
        <f aca="false">IF(K510&lt;=StockP33,"Low",IF(K510&lt;=StockP67,"Moderate","High"))</f>
        <v>Moderate</v>
      </c>
      <c r="P510" s="11" t="str">
        <f aca="false">IF(H510=0,"Low",IF(H510&lt;=MarkdownP75,"Moderate","High"))</f>
        <v>Low</v>
      </c>
      <c r="Q510" s="11" t="str">
        <f aca="false">IF(ISBLANK(L510),"Unknown",IF(L510&gt;=4,"Good",IF(L510&lt;=2,"Poor","Neutral")))</f>
        <v>Good</v>
      </c>
      <c r="R510" s="11" t="str">
        <f aca="false">IF(AND(O510="Low",P510="Low",Q510="Good"),"BUY / PRIORITIZE",IF(AND(O510="High",P510="High",OR(Q510="Poor",M510=TRUE())),"HOLD / REVIEW","MONITOR"))</f>
        <v>MONITOR</v>
      </c>
      <c r="S510" s="11" t="n">
        <f aca="false">K510+(ROW()/10000000)</f>
        <v>33.000051</v>
      </c>
    </row>
    <row r="511" customFormat="false" ht="15" hidden="false" customHeight="false" outlineLevel="0" collapsed="false">
      <c r="A511" s="11" t="s">
        <v>719</v>
      </c>
      <c r="B511" s="11" t="s">
        <v>27</v>
      </c>
      <c r="C511" s="11" t="s">
        <v>86</v>
      </c>
      <c r="D511" s="11" t="s">
        <v>35</v>
      </c>
      <c r="E511" s="11" t="s">
        <v>73</v>
      </c>
      <c r="F511" s="11" t="s">
        <v>120</v>
      </c>
      <c r="G511" s="21" t="n">
        <v>68.43</v>
      </c>
      <c r="H511" s="19" t="n">
        <v>0</v>
      </c>
      <c r="I511" s="21" t="n">
        <v>68.43</v>
      </c>
      <c r="J511" s="22" t="s">
        <v>80</v>
      </c>
      <c r="K511" s="11" t="n">
        <v>16</v>
      </c>
      <c r="L511" s="23"/>
      <c r="M511" s="24" t="b">
        <f aca="false">FALSE()</f>
        <v>0</v>
      </c>
      <c r="N511" s="11"/>
      <c r="O511" s="11" t="str">
        <f aca="false">IF(K511&lt;=StockP33,"Low",IF(K511&lt;=StockP67,"Moderate","High"))</f>
        <v>Low</v>
      </c>
      <c r="P511" s="11" t="str">
        <f aca="false">IF(H511=0,"Low",IF(H511&lt;=MarkdownP75,"Moderate","High"))</f>
        <v>Low</v>
      </c>
      <c r="Q511" s="11" t="str">
        <f aca="false">IF(ISBLANK(L511),"Unknown",IF(L511&gt;=4,"Good",IF(L511&lt;=2,"Poor","Neutral")))</f>
        <v>Unknown</v>
      </c>
      <c r="R511" s="11" t="str">
        <f aca="false">IF(AND(O511="Low",P511="Low",Q511="Good"),"BUY / PRIORITIZE",IF(AND(O511="High",P511="High",OR(Q511="Poor",M511=TRUE())),"HOLD / REVIEW","MONITOR"))</f>
        <v>MONITOR</v>
      </c>
      <c r="S511" s="11" t="n">
        <f aca="false">K511+(ROW()/10000000)</f>
        <v>16.0000511</v>
      </c>
    </row>
    <row r="512" customFormat="false" ht="15" hidden="false" customHeight="false" outlineLevel="0" collapsed="false">
      <c r="A512" s="11" t="s">
        <v>720</v>
      </c>
      <c r="B512" s="11" t="s">
        <v>29</v>
      </c>
      <c r="C512" s="11" t="s">
        <v>72</v>
      </c>
      <c r="D512" s="11" t="s">
        <v>36</v>
      </c>
      <c r="E512" s="11" t="s">
        <v>110</v>
      </c>
      <c r="F512" s="11" t="s">
        <v>98</v>
      </c>
      <c r="G512" s="21" t="n">
        <v>165.39</v>
      </c>
      <c r="H512" s="19" t="n">
        <v>31.8</v>
      </c>
      <c r="I512" s="21" t="n">
        <v>112.8</v>
      </c>
      <c r="J512" s="22" t="s">
        <v>80</v>
      </c>
      <c r="K512" s="11" t="n">
        <v>9</v>
      </c>
      <c r="L512" s="23" t="n">
        <v>4.6</v>
      </c>
      <c r="M512" s="24" t="b">
        <f aca="false">FALSE()</f>
        <v>0</v>
      </c>
      <c r="N512" s="11"/>
      <c r="O512" s="11" t="str">
        <f aca="false">IF(K512&lt;=StockP33,"Low",IF(K512&lt;=StockP67,"Moderate","High"))</f>
        <v>Low</v>
      </c>
      <c r="P512" s="11" t="str">
        <f aca="false">IF(H512=0,"Low",IF(H512&lt;=MarkdownP75,"Moderate","High"))</f>
        <v>High</v>
      </c>
      <c r="Q512" s="11" t="str">
        <f aca="false">IF(ISBLANK(L512),"Unknown",IF(L512&gt;=4,"Good",IF(L512&lt;=2,"Poor","Neutral")))</f>
        <v>Good</v>
      </c>
      <c r="R512" s="11" t="str">
        <f aca="false">IF(AND(O512="Low",P512="Low",Q512="Good"),"BUY / PRIORITIZE",IF(AND(O512="High",P512="High",OR(Q512="Poor",M512=TRUE())),"HOLD / REVIEW","MONITOR"))</f>
        <v>MONITOR</v>
      </c>
      <c r="S512" s="11" t="n">
        <f aca="false">K512+(ROW()/10000000)</f>
        <v>9.0000512</v>
      </c>
    </row>
    <row r="513" customFormat="false" ht="15" hidden="false" customHeight="false" outlineLevel="0" collapsed="false">
      <c r="A513" s="11" t="s">
        <v>721</v>
      </c>
      <c r="B513" s="11" t="s">
        <v>8</v>
      </c>
      <c r="C513" s="11" t="s">
        <v>107</v>
      </c>
      <c r="D513" s="11" t="s">
        <v>37</v>
      </c>
      <c r="E513" s="11"/>
      <c r="F513" s="11" t="s">
        <v>98</v>
      </c>
      <c r="G513" s="21" t="n">
        <v>35.36</v>
      </c>
      <c r="H513" s="19" t="n">
        <v>0</v>
      </c>
      <c r="I513" s="21" t="n">
        <v>35.36</v>
      </c>
      <c r="J513" s="22" t="s">
        <v>80</v>
      </c>
      <c r="K513" s="11" t="n">
        <v>42</v>
      </c>
      <c r="L513" s="23" t="n">
        <v>4.5</v>
      </c>
      <c r="M513" s="24" t="b">
        <f aca="false">FALSE()</f>
        <v>0</v>
      </c>
      <c r="N513" s="11"/>
      <c r="O513" s="11" t="str">
        <f aca="false">IF(K513&lt;=StockP33,"Low",IF(K513&lt;=StockP67,"Moderate","High"))</f>
        <v>High</v>
      </c>
      <c r="P513" s="11" t="str">
        <f aca="false">IF(H513=0,"Low",IF(H513&lt;=MarkdownP75,"Moderate","High"))</f>
        <v>Low</v>
      </c>
      <c r="Q513" s="11" t="str">
        <f aca="false">IF(ISBLANK(L513),"Unknown",IF(L513&gt;=4,"Good",IF(L513&lt;=2,"Poor","Neutral")))</f>
        <v>Good</v>
      </c>
      <c r="R513" s="11" t="str">
        <f aca="false">IF(AND(O513="Low",P513="Low",Q513="Good"),"BUY / PRIORITIZE",IF(AND(O513="High",P513="High",OR(Q513="Poor",M513=TRUE())),"HOLD / REVIEW","MONITOR"))</f>
        <v>MONITOR</v>
      </c>
      <c r="S513" s="11" t="n">
        <f aca="false">K513+(ROW()/10000000)</f>
        <v>42.0000513</v>
      </c>
    </row>
    <row r="514" customFormat="false" ht="15" hidden="false" customHeight="false" outlineLevel="0" collapsed="false">
      <c r="A514" s="11" t="s">
        <v>722</v>
      </c>
      <c r="B514" s="11" t="s">
        <v>27</v>
      </c>
      <c r="C514" s="11" t="s">
        <v>101</v>
      </c>
      <c r="D514" s="11" t="s">
        <v>35</v>
      </c>
      <c r="E514" s="11" t="s">
        <v>113</v>
      </c>
      <c r="F514" s="11" t="s">
        <v>118</v>
      </c>
      <c r="G514" s="21" t="n">
        <v>95.73</v>
      </c>
      <c r="H514" s="19" t="n">
        <v>0</v>
      </c>
      <c r="I514" s="21" t="n">
        <v>95.73</v>
      </c>
      <c r="J514" s="22" t="s">
        <v>80</v>
      </c>
      <c r="K514" s="11" t="n">
        <v>6</v>
      </c>
      <c r="L514" s="23" t="n">
        <v>4.6</v>
      </c>
      <c r="M514" s="24" t="b">
        <f aca="false">FALSE()</f>
        <v>0</v>
      </c>
      <c r="N514" s="11"/>
      <c r="O514" s="11" t="str">
        <f aca="false">IF(K514&lt;=StockP33,"Low",IF(K514&lt;=StockP67,"Moderate","High"))</f>
        <v>Low</v>
      </c>
      <c r="P514" s="11" t="str">
        <f aca="false">IF(H514=0,"Low",IF(H514&lt;=MarkdownP75,"Moderate","High"))</f>
        <v>Low</v>
      </c>
      <c r="Q514" s="11" t="str">
        <f aca="false">IF(ISBLANK(L514),"Unknown",IF(L514&gt;=4,"Good",IF(L514&lt;=2,"Poor","Neutral")))</f>
        <v>Good</v>
      </c>
      <c r="R514" s="11" t="str">
        <f aca="false">IF(AND(O514="Low",P514="Low",Q514="Good"),"BUY / PRIORITIZE",IF(AND(O514="High",P514="High",OR(Q514="Poor",M514=TRUE())),"HOLD / REVIEW","MONITOR"))</f>
        <v>BUY / PRIORITIZE</v>
      </c>
      <c r="S514" s="11" t="n">
        <f aca="false">K514+(ROW()/10000000)</f>
        <v>6.0000514</v>
      </c>
    </row>
    <row r="515" customFormat="false" ht="15" hidden="false" customHeight="false" outlineLevel="0" collapsed="false">
      <c r="A515" s="11" t="s">
        <v>723</v>
      </c>
      <c r="B515" s="11" t="s">
        <v>8</v>
      </c>
      <c r="C515" s="11" t="s">
        <v>86</v>
      </c>
      <c r="D515" s="11" t="s">
        <v>34</v>
      </c>
      <c r="E515" s="11"/>
      <c r="F515" s="11" t="s">
        <v>124</v>
      </c>
      <c r="G515" s="21" t="n">
        <v>72.28</v>
      </c>
      <c r="H515" s="19" t="n">
        <v>51.3</v>
      </c>
      <c r="I515" s="21" t="n">
        <v>35.2</v>
      </c>
      <c r="J515" s="22" t="s">
        <v>561</v>
      </c>
      <c r="K515" s="11" t="n">
        <v>31</v>
      </c>
      <c r="L515" s="23" t="n">
        <v>1.9</v>
      </c>
      <c r="M515" s="24" t="b">
        <f aca="false">FALSE()</f>
        <v>0</v>
      </c>
      <c r="N515" s="11"/>
      <c r="O515" s="11" t="str">
        <f aca="false">IF(K515&lt;=StockP33,"Low",IF(K515&lt;=StockP67,"Moderate","High"))</f>
        <v>Moderate</v>
      </c>
      <c r="P515" s="11" t="str">
        <f aca="false">IF(H515=0,"Low",IF(H515&lt;=MarkdownP75,"Moderate","High"))</f>
        <v>High</v>
      </c>
      <c r="Q515" s="11" t="str">
        <f aca="false">IF(ISBLANK(L515),"Unknown",IF(L515&gt;=4,"Good",IF(L515&lt;=2,"Poor","Neutral")))</f>
        <v>Poor</v>
      </c>
      <c r="R515" s="11" t="str">
        <f aca="false">IF(AND(O515="Low",P515="Low",Q515="Good"),"BUY / PRIORITIZE",IF(AND(O515="High",P515="High",OR(Q515="Poor",M515=TRUE())),"HOLD / REVIEW","MONITOR"))</f>
        <v>MONITOR</v>
      </c>
      <c r="S515" s="11" t="n">
        <f aca="false">K515+(ROW()/10000000)</f>
        <v>31.0000515</v>
      </c>
    </row>
    <row r="516" customFormat="false" ht="15" hidden="false" customHeight="false" outlineLevel="0" collapsed="false">
      <c r="A516" s="11" t="s">
        <v>724</v>
      </c>
      <c r="B516" s="11" t="s">
        <v>28</v>
      </c>
      <c r="C516" s="11" t="s">
        <v>107</v>
      </c>
      <c r="D516" s="11" t="s">
        <v>35</v>
      </c>
      <c r="E516" s="11"/>
      <c r="F516" s="11" t="s">
        <v>88</v>
      </c>
      <c r="G516" s="21" t="n">
        <v>80.35</v>
      </c>
      <c r="H516" s="19" t="n">
        <v>0</v>
      </c>
      <c r="I516" s="21" t="n">
        <v>80.35</v>
      </c>
      <c r="J516" s="22" t="s">
        <v>80</v>
      </c>
      <c r="K516" s="11" t="n">
        <v>28</v>
      </c>
      <c r="L516" s="23" t="n">
        <v>2.9</v>
      </c>
      <c r="M516" s="24" t="b">
        <f aca="false">FALSE()</f>
        <v>0</v>
      </c>
      <c r="N516" s="11"/>
      <c r="O516" s="11" t="str">
        <f aca="false">IF(K516&lt;=StockP33,"Low",IF(K516&lt;=StockP67,"Moderate","High"))</f>
        <v>Moderate</v>
      </c>
      <c r="P516" s="11" t="str">
        <f aca="false">IF(H516=0,"Low",IF(H516&lt;=MarkdownP75,"Moderate","High"))</f>
        <v>Low</v>
      </c>
      <c r="Q516" s="11" t="str">
        <f aca="false">IF(ISBLANK(L516),"Unknown",IF(L516&gt;=4,"Good",IF(L516&lt;=2,"Poor","Neutral")))</f>
        <v>Neutral</v>
      </c>
      <c r="R516" s="11" t="str">
        <f aca="false">IF(AND(O516="Low",P516="Low",Q516="Good"),"BUY / PRIORITIZE",IF(AND(O516="High",P516="High",OR(Q516="Poor",M516=TRUE())),"HOLD / REVIEW","MONITOR"))</f>
        <v>MONITOR</v>
      </c>
      <c r="S516" s="11" t="n">
        <f aca="false">K516+(ROW()/10000000)</f>
        <v>28.0000516</v>
      </c>
    </row>
    <row r="517" customFormat="false" ht="15" hidden="false" customHeight="false" outlineLevel="0" collapsed="false">
      <c r="A517" s="11" t="s">
        <v>725</v>
      </c>
      <c r="B517" s="11" t="s">
        <v>26</v>
      </c>
      <c r="C517" s="11" t="s">
        <v>86</v>
      </c>
      <c r="D517" s="11" t="s">
        <v>37</v>
      </c>
      <c r="E517" s="11" t="s">
        <v>73</v>
      </c>
      <c r="F517" s="11" t="s">
        <v>92</v>
      </c>
      <c r="G517" s="21" t="n">
        <v>119.04</v>
      </c>
      <c r="H517" s="19" t="n">
        <v>0</v>
      </c>
      <c r="I517" s="21" t="n">
        <v>119.04</v>
      </c>
      <c r="J517" s="22" t="s">
        <v>80</v>
      </c>
      <c r="K517" s="11" t="n">
        <v>35</v>
      </c>
      <c r="L517" s="23" t="n">
        <v>1.4</v>
      </c>
      <c r="M517" s="24" t="b">
        <f aca="false">FALSE()</f>
        <v>0</v>
      </c>
      <c r="N517" s="11"/>
      <c r="O517" s="11" t="str">
        <f aca="false">IF(K517&lt;=StockP33,"Low",IF(K517&lt;=StockP67,"Moderate","High"))</f>
        <v>High</v>
      </c>
      <c r="P517" s="11" t="str">
        <f aca="false">IF(H517=0,"Low",IF(H517&lt;=MarkdownP75,"Moderate","High"))</f>
        <v>Low</v>
      </c>
      <c r="Q517" s="11" t="str">
        <f aca="false">IF(ISBLANK(L517),"Unknown",IF(L517&gt;=4,"Good",IF(L517&lt;=2,"Poor","Neutral")))</f>
        <v>Poor</v>
      </c>
      <c r="R517" s="11" t="str">
        <f aca="false">IF(AND(O517="Low",P517="Low",Q517="Good"),"BUY / PRIORITIZE",IF(AND(O517="High",P517="High",OR(Q517="Poor",M517=TRUE())),"HOLD / REVIEW","MONITOR"))</f>
        <v>MONITOR</v>
      </c>
      <c r="S517" s="11" t="n">
        <f aca="false">K517+(ROW()/10000000)</f>
        <v>35.0000517</v>
      </c>
    </row>
    <row r="518" customFormat="false" ht="15" hidden="false" customHeight="false" outlineLevel="0" collapsed="false">
      <c r="A518" s="11" t="s">
        <v>726</v>
      </c>
      <c r="B518" s="11" t="s">
        <v>30</v>
      </c>
      <c r="C518" s="11" t="s">
        <v>116</v>
      </c>
      <c r="D518" s="11" t="s">
        <v>37</v>
      </c>
      <c r="E518" s="11" t="s">
        <v>110</v>
      </c>
      <c r="F518" s="11" t="s">
        <v>124</v>
      </c>
      <c r="G518" s="21" t="n">
        <v>60.53</v>
      </c>
      <c r="H518" s="19" t="n">
        <v>42.5</v>
      </c>
      <c r="I518" s="21" t="n">
        <v>34.8</v>
      </c>
      <c r="J518" s="22" t="s">
        <v>80</v>
      </c>
      <c r="K518" s="11" t="n">
        <v>8</v>
      </c>
      <c r="L518" s="23"/>
      <c r="M518" s="24" t="b">
        <f aca="false">TRUE()</f>
        <v>1</v>
      </c>
      <c r="N518" s="11" t="s">
        <v>89</v>
      </c>
      <c r="O518" s="11" t="str">
        <f aca="false">IF(K518&lt;=StockP33,"Low",IF(K518&lt;=StockP67,"Moderate","High"))</f>
        <v>Low</v>
      </c>
      <c r="P518" s="11" t="str">
        <f aca="false">IF(H518=0,"Low",IF(H518&lt;=MarkdownP75,"Moderate","High"))</f>
        <v>High</v>
      </c>
      <c r="Q518" s="11" t="str">
        <f aca="false">IF(ISBLANK(L518),"Unknown",IF(L518&gt;=4,"Good",IF(L518&lt;=2,"Poor","Neutral")))</f>
        <v>Unknown</v>
      </c>
      <c r="R518" s="11" t="str">
        <f aca="false">IF(AND(O518="Low",P518="Low",Q518="Good"),"BUY / PRIORITIZE",IF(AND(O518="High",P518="High",OR(Q518="Poor",M518=TRUE())),"HOLD / REVIEW","MONITOR"))</f>
        <v>MONITOR</v>
      </c>
      <c r="S518" s="11" t="n">
        <f aca="false">K518+(ROW()/10000000)</f>
        <v>8.0000518</v>
      </c>
    </row>
    <row r="519" customFormat="false" ht="15" hidden="false" customHeight="false" outlineLevel="0" collapsed="false">
      <c r="A519" s="11" t="s">
        <v>727</v>
      </c>
      <c r="B519" s="11" t="s">
        <v>28</v>
      </c>
      <c r="C519" s="11" t="s">
        <v>101</v>
      </c>
      <c r="D519" s="11" t="s">
        <v>36</v>
      </c>
      <c r="E519" s="11" t="s">
        <v>113</v>
      </c>
      <c r="F519" s="11" t="s">
        <v>118</v>
      </c>
      <c r="G519" s="21" t="n">
        <v>92.54</v>
      </c>
      <c r="H519" s="19" t="n">
        <v>43.8</v>
      </c>
      <c r="I519" s="21" t="n">
        <v>52.01</v>
      </c>
      <c r="J519" s="22" t="s">
        <v>80</v>
      </c>
      <c r="K519" s="11" t="n">
        <v>33</v>
      </c>
      <c r="L519" s="23" t="n">
        <v>1.5</v>
      </c>
      <c r="M519" s="24" t="b">
        <f aca="false">TRUE()</f>
        <v>1</v>
      </c>
      <c r="N519" s="11" t="s">
        <v>134</v>
      </c>
      <c r="O519" s="11" t="str">
        <f aca="false">IF(K519&lt;=StockP33,"Low",IF(K519&lt;=StockP67,"Moderate","High"))</f>
        <v>Moderate</v>
      </c>
      <c r="P519" s="11" t="str">
        <f aca="false">IF(H519=0,"Low",IF(H519&lt;=MarkdownP75,"Moderate","High"))</f>
        <v>High</v>
      </c>
      <c r="Q519" s="11" t="str">
        <f aca="false">IF(ISBLANK(L519),"Unknown",IF(L519&gt;=4,"Good",IF(L519&lt;=2,"Poor","Neutral")))</f>
        <v>Poor</v>
      </c>
      <c r="R519" s="11" t="str">
        <f aca="false">IF(AND(O519="Low",P519="Low",Q519="Good"),"BUY / PRIORITIZE",IF(AND(O519="High",P519="High",OR(Q519="Poor",M519=TRUE())),"HOLD / REVIEW","MONITOR"))</f>
        <v>MONITOR</v>
      </c>
      <c r="S519" s="11" t="n">
        <f aca="false">K519+(ROW()/10000000)</f>
        <v>33.0000519</v>
      </c>
    </row>
    <row r="520" customFormat="false" ht="15" hidden="false" customHeight="false" outlineLevel="0" collapsed="false">
      <c r="A520" s="11" t="s">
        <v>728</v>
      </c>
      <c r="B520" s="11" t="s">
        <v>8</v>
      </c>
      <c r="C520" s="11" t="s">
        <v>77</v>
      </c>
      <c r="D520" s="11" t="s">
        <v>36</v>
      </c>
      <c r="E520" s="11"/>
      <c r="F520" s="11" t="s">
        <v>79</v>
      </c>
      <c r="G520" s="21" t="n">
        <v>28.4</v>
      </c>
      <c r="H520" s="19" t="n">
        <v>0</v>
      </c>
      <c r="I520" s="21" t="n">
        <v>28.4</v>
      </c>
      <c r="J520" s="22" t="s">
        <v>80</v>
      </c>
      <c r="K520" s="11" t="n">
        <v>4</v>
      </c>
      <c r="L520" s="23" t="n">
        <v>3.1</v>
      </c>
      <c r="M520" s="24" t="b">
        <f aca="false">FALSE()</f>
        <v>0</v>
      </c>
      <c r="N520" s="11"/>
      <c r="O520" s="11" t="str">
        <f aca="false">IF(K520&lt;=StockP33,"Low",IF(K520&lt;=StockP67,"Moderate","High"))</f>
        <v>Low</v>
      </c>
      <c r="P520" s="11" t="str">
        <f aca="false">IF(H520=0,"Low",IF(H520&lt;=MarkdownP75,"Moderate","High"))</f>
        <v>Low</v>
      </c>
      <c r="Q520" s="11" t="str">
        <f aca="false">IF(ISBLANK(L520),"Unknown",IF(L520&gt;=4,"Good",IF(L520&lt;=2,"Poor","Neutral")))</f>
        <v>Neutral</v>
      </c>
      <c r="R520" s="11" t="str">
        <f aca="false">IF(AND(O520="Low",P520="Low",Q520="Good"),"BUY / PRIORITIZE",IF(AND(O520="High",P520="High",OR(Q520="Poor",M520=TRUE())),"HOLD / REVIEW","MONITOR"))</f>
        <v>MONITOR</v>
      </c>
      <c r="S520" s="11" t="n">
        <f aca="false">K520+(ROW()/10000000)</f>
        <v>4.000052</v>
      </c>
    </row>
    <row r="521" customFormat="false" ht="15" hidden="false" customHeight="false" outlineLevel="0" collapsed="false">
      <c r="A521" s="11" t="s">
        <v>729</v>
      </c>
      <c r="B521" s="11" t="s">
        <v>26</v>
      </c>
      <c r="C521" s="11" t="s">
        <v>72</v>
      </c>
      <c r="D521" s="11" t="s">
        <v>35</v>
      </c>
      <c r="E521" s="11" t="s">
        <v>113</v>
      </c>
      <c r="F521" s="11" t="s">
        <v>92</v>
      </c>
      <c r="G521" s="21" t="n">
        <v>91.65</v>
      </c>
      <c r="H521" s="19" t="n">
        <v>0</v>
      </c>
      <c r="I521" s="21" t="n">
        <v>91.65</v>
      </c>
      <c r="J521" s="22" t="s">
        <v>80</v>
      </c>
      <c r="K521" s="11" t="n">
        <v>40</v>
      </c>
      <c r="L521" s="23" t="n">
        <v>3.8</v>
      </c>
      <c r="M521" s="24" t="b">
        <f aca="false">FALSE()</f>
        <v>0</v>
      </c>
      <c r="N521" s="11"/>
      <c r="O521" s="11" t="str">
        <f aca="false">IF(K521&lt;=StockP33,"Low",IF(K521&lt;=StockP67,"Moderate","High"))</f>
        <v>High</v>
      </c>
      <c r="P521" s="11" t="str">
        <f aca="false">IF(H521=0,"Low",IF(H521&lt;=MarkdownP75,"Moderate","High"))</f>
        <v>Low</v>
      </c>
      <c r="Q521" s="11" t="str">
        <f aca="false">IF(ISBLANK(L521),"Unknown",IF(L521&gt;=4,"Good",IF(L521&lt;=2,"Poor","Neutral")))</f>
        <v>Neutral</v>
      </c>
      <c r="R521" s="11" t="str">
        <f aca="false">IF(AND(O521="Low",P521="Low",Q521="Good"),"BUY / PRIORITIZE",IF(AND(O521="High",P521="High",OR(Q521="Poor",M521=TRUE())),"HOLD / REVIEW","MONITOR"))</f>
        <v>MONITOR</v>
      </c>
      <c r="S521" s="11" t="n">
        <f aca="false">K521+(ROW()/10000000)</f>
        <v>40.0000521</v>
      </c>
    </row>
    <row r="522" customFormat="false" ht="15" hidden="false" customHeight="false" outlineLevel="0" collapsed="false">
      <c r="A522" s="11" t="s">
        <v>730</v>
      </c>
      <c r="B522" s="11" t="s">
        <v>8</v>
      </c>
      <c r="C522" s="11" t="s">
        <v>95</v>
      </c>
      <c r="D522" s="11" t="s">
        <v>36</v>
      </c>
      <c r="E522" s="11"/>
      <c r="F522" s="11" t="s">
        <v>118</v>
      </c>
      <c r="G522" s="21" t="n">
        <v>72.57</v>
      </c>
      <c r="H522" s="19" t="n">
        <v>0</v>
      </c>
      <c r="I522" s="21" t="n">
        <v>72.57</v>
      </c>
      <c r="J522" s="22" t="s">
        <v>80</v>
      </c>
      <c r="K522" s="11" t="n">
        <v>27</v>
      </c>
      <c r="L522" s="23" t="n">
        <v>2.5</v>
      </c>
      <c r="M522" s="24" t="b">
        <f aca="false">FALSE()</f>
        <v>0</v>
      </c>
      <c r="N522" s="11"/>
      <c r="O522" s="11" t="str">
        <f aca="false">IF(K522&lt;=StockP33,"Low",IF(K522&lt;=StockP67,"Moderate","High"))</f>
        <v>Moderate</v>
      </c>
      <c r="P522" s="11" t="str">
        <f aca="false">IF(H522=0,"Low",IF(H522&lt;=MarkdownP75,"Moderate","High"))</f>
        <v>Low</v>
      </c>
      <c r="Q522" s="11" t="str">
        <f aca="false">IF(ISBLANK(L522),"Unknown",IF(L522&gt;=4,"Good",IF(L522&lt;=2,"Poor","Neutral")))</f>
        <v>Neutral</v>
      </c>
      <c r="R522" s="11" t="str">
        <f aca="false">IF(AND(O522="Low",P522="Low",Q522="Good"),"BUY / PRIORITIZE",IF(AND(O522="High",P522="High",OR(Q522="Poor",M522=TRUE())),"HOLD / REVIEW","MONITOR"))</f>
        <v>MONITOR</v>
      </c>
      <c r="S522" s="11" t="n">
        <f aca="false">K522+(ROW()/10000000)</f>
        <v>27.0000522</v>
      </c>
    </row>
    <row r="523" customFormat="false" ht="15" hidden="false" customHeight="false" outlineLevel="0" collapsed="false">
      <c r="A523" s="11" t="s">
        <v>731</v>
      </c>
      <c r="B523" s="11" t="s">
        <v>26</v>
      </c>
      <c r="C523" s="11" t="s">
        <v>101</v>
      </c>
      <c r="D523" s="11" t="s">
        <v>36</v>
      </c>
      <c r="E523" s="11" t="s">
        <v>78</v>
      </c>
      <c r="F523" s="11" t="s">
        <v>96</v>
      </c>
      <c r="G523" s="21" t="n">
        <v>39.05</v>
      </c>
      <c r="H523" s="19" t="n">
        <v>0</v>
      </c>
      <c r="I523" s="21" t="n">
        <v>39.05</v>
      </c>
      <c r="J523" s="22" t="s">
        <v>80</v>
      </c>
      <c r="K523" s="11" t="n">
        <v>10</v>
      </c>
      <c r="L523" s="23" t="n">
        <v>3.5</v>
      </c>
      <c r="M523" s="24" t="b">
        <f aca="false">FALSE()</f>
        <v>0</v>
      </c>
      <c r="N523" s="11"/>
      <c r="O523" s="11" t="str">
        <f aca="false">IF(K523&lt;=StockP33,"Low",IF(K523&lt;=StockP67,"Moderate","High"))</f>
        <v>Low</v>
      </c>
      <c r="P523" s="11" t="str">
        <f aca="false">IF(H523=0,"Low",IF(H523&lt;=MarkdownP75,"Moderate","High"))</f>
        <v>Low</v>
      </c>
      <c r="Q523" s="11" t="str">
        <f aca="false">IF(ISBLANK(L523),"Unknown",IF(L523&gt;=4,"Good",IF(L523&lt;=2,"Poor","Neutral")))</f>
        <v>Neutral</v>
      </c>
      <c r="R523" s="11" t="str">
        <f aca="false">IF(AND(O523="Low",P523="Low",Q523="Good"),"BUY / PRIORITIZE",IF(AND(O523="High",P523="High",OR(Q523="Poor",M523=TRUE())),"HOLD / REVIEW","MONITOR"))</f>
        <v>MONITOR</v>
      </c>
      <c r="S523" s="11" t="n">
        <f aca="false">K523+(ROW()/10000000)</f>
        <v>10.0000523</v>
      </c>
    </row>
    <row r="524" customFormat="false" ht="15" hidden="false" customHeight="false" outlineLevel="0" collapsed="false">
      <c r="A524" s="11" t="s">
        <v>732</v>
      </c>
      <c r="B524" s="11" t="s">
        <v>27</v>
      </c>
      <c r="C524" s="11" t="s">
        <v>72</v>
      </c>
      <c r="D524" s="11" t="s">
        <v>37</v>
      </c>
      <c r="E524" s="11" t="s">
        <v>91</v>
      </c>
      <c r="F524" s="11" t="s">
        <v>92</v>
      </c>
      <c r="G524" s="21" t="n">
        <v>113.21</v>
      </c>
      <c r="H524" s="19" t="n">
        <v>0</v>
      </c>
      <c r="I524" s="21" t="n">
        <v>113.21</v>
      </c>
      <c r="J524" s="22" t="s">
        <v>80</v>
      </c>
      <c r="K524" s="11" t="n">
        <v>12</v>
      </c>
      <c r="L524" s="23" t="n">
        <v>4.4</v>
      </c>
      <c r="M524" s="24" t="b">
        <f aca="false">FALSE()</f>
        <v>0</v>
      </c>
      <c r="N524" s="11"/>
      <c r="O524" s="11" t="str">
        <f aca="false">IF(K524&lt;=StockP33,"Low",IF(K524&lt;=StockP67,"Moderate","High"))</f>
        <v>Low</v>
      </c>
      <c r="P524" s="11" t="str">
        <f aca="false">IF(H524=0,"Low",IF(H524&lt;=MarkdownP75,"Moderate","High"))</f>
        <v>Low</v>
      </c>
      <c r="Q524" s="11" t="str">
        <f aca="false">IF(ISBLANK(L524),"Unknown",IF(L524&gt;=4,"Good",IF(L524&lt;=2,"Poor","Neutral")))</f>
        <v>Good</v>
      </c>
      <c r="R524" s="11" t="str">
        <f aca="false">IF(AND(O524="Low",P524="Low",Q524="Good"),"BUY / PRIORITIZE",IF(AND(O524="High",P524="High",OR(Q524="Poor",M524=TRUE())),"HOLD / REVIEW","MONITOR"))</f>
        <v>BUY / PRIORITIZE</v>
      </c>
      <c r="S524" s="11" t="n">
        <f aca="false">K524+(ROW()/10000000)</f>
        <v>12.0000524</v>
      </c>
    </row>
    <row r="525" customFormat="false" ht="15" hidden="false" customHeight="false" outlineLevel="0" collapsed="false">
      <c r="A525" s="11" t="s">
        <v>733</v>
      </c>
      <c r="B525" s="11" t="s">
        <v>8</v>
      </c>
      <c r="C525" s="11" t="s">
        <v>130</v>
      </c>
      <c r="D525" s="11" t="s">
        <v>34</v>
      </c>
      <c r="E525" s="11"/>
      <c r="F525" s="11" t="s">
        <v>118</v>
      </c>
      <c r="G525" s="21" t="n">
        <v>25.34</v>
      </c>
      <c r="H525" s="19" t="n">
        <v>0</v>
      </c>
      <c r="I525" s="21" t="n">
        <v>25.34</v>
      </c>
      <c r="J525" s="22" t="s">
        <v>654</v>
      </c>
      <c r="K525" s="11" t="n">
        <v>17</v>
      </c>
      <c r="L525" s="23" t="n">
        <v>3.3</v>
      </c>
      <c r="M525" s="24" t="b">
        <f aca="false">FALSE()</f>
        <v>0</v>
      </c>
      <c r="N525" s="11"/>
      <c r="O525" s="11" t="str">
        <f aca="false">IF(K525&lt;=StockP33,"Low",IF(K525&lt;=StockP67,"Moderate","High"))</f>
        <v>Low</v>
      </c>
      <c r="P525" s="11" t="str">
        <f aca="false">IF(H525=0,"Low",IF(H525&lt;=MarkdownP75,"Moderate","High"))</f>
        <v>Low</v>
      </c>
      <c r="Q525" s="11" t="str">
        <f aca="false">IF(ISBLANK(L525),"Unknown",IF(L525&gt;=4,"Good",IF(L525&lt;=2,"Poor","Neutral")))</f>
        <v>Neutral</v>
      </c>
      <c r="R525" s="11" t="str">
        <f aca="false">IF(AND(O525="Low",P525="Low",Q525="Good"),"BUY / PRIORITIZE",IF(AND(O525="High",P525="High",OR(Q525="Poor",M525=TRUE())),"HOLD / REVIEW","MONITOR"))</f>
        <v>MONITOR</v>
      </c>
      <c r="S525" s="11" t="n">
        <f aca="false">K525+(ROW()/10000000)</f>
        <v>17.0000525</v>
      </c>
    </row>
    <row r="526" customFormat="false" ht="15" hidden="false" customHeight="false" outlineLevel="0" collapsed="false">
      <c r="A526" s="11" t="s">
        <v>734</v>
      </c>
      <c r="B526" s="11" t="s">
        <v>30</v>
      </c>
      <c r="C526" s="11" t="s">
        <v>95</v>
      </c>
      <c r="D526" s="11" t="s">
        <v>34</v>
      </c>
      <c r="E526" s="11" t="s">
        <v>78</v>
      </c>
      <c r="F526" s="11" t="s">
        <v>82</v>
      </c>
      <c r="G526" s="21" t="n">
        <v>98.16</v>
      </c>
      <c r="H526" s="19" t="n">
        <v>56.7</v>
      </c>
      <c r="I526" s="21" t="n">
        <v>42.5</v>
      </c>
      <c r="J526" s="22" t="s">
        <v>735</v>
      </c>
      <c r="K526" s="11" t="n">
        <v>44</v>
      </c>
      <c r="L526" s="23" t="n">
        <v>2.6</v>
      </c>
      <c r="M526" s="24" t="b">
        <f aca="false">FALSE()</f>
        <v>0</v>
      </c>
      <c r="N526" s="11"/>
      <c r="O526" s="11" t="str">
        <f aca="false">IF(K526&lt;=StockP33,"Low",IF(K526&lt;=StockP67,"Moderate","High"))</f>
        <v>High</v>
      </c>
      <c r="P526" s="11" t="str">
        <f aca="false">IF(H526=0,"Low",IF(H526&lt;=MarkdownP75,"Moderate","High"))</f>
        <v>High</v>
      </c>
      <c r="Q526" s="11" t="str">
        <f aca="false">IF(ISBLANK(L526),"Unknown",IF(L526&gt;=4,"Good",IF(L526&lt;=2,"Poor","Neutral")))</f>
        <v>Neutral</v>
      </c>
      <c r="R526" s="11" t="str">
        <f aca="false">IF(AND(O526="Low",P526="Low",Q526="Good"),"BUY / PRIORITIZE",IF(AND(O526="High",P526="High",OR(Q526="Poor",M526=TRUE())),"HOLD / REVIEW","MONITOR"))</f>
        <v>MONITOR</v>
      </c>
      <c r="S526" s="11" t="n">
        <f aca="false">K526+(ROW()/10000000)</f>
        <v>44.0000526</v>
      </c>
    </row>
    <row r="527" customFormat="false" ht="15" hidden="false" customHeight="false" outlineLevel="0" collapsed="false">
      <c r="A527" s="11" t="s">
        <v>736</v>
      </c>
      <c r="B527" s="11" t="s">
        <v>30</v>
      </c>
      <c r="C527" s="11" t="s">
        <v>86</v>
      </c>
      <c r="D527" s="11" t="s">
        <v>34</v>
      </c>
      <c r="E527" s="11" t="s">
        <v>110</v>
      </c>
      <c r="F527" s="11" t="s">
        <v>120</v>
      </c>
      <c r="G527" s="21" t="n">
        <v>60.54</v>
      </c>
      <c r="H527" s="19" t="n">
        <v>0</v>
      </c>
      <c r="I527" s="21" t="n">
        <v>60.54</v>
      </c>
      <c r="J527" s="22" t="s">
        <v>737</v>
      </c>
      <c r="K527" s="11" t="n">
        <v>35</v>
      </c>
      <c r="L527" s="23" t="n">
        <v>1.7</v>
      </c>
      <c r="M527" s="24" t="b">
        <f aca="false">FALSE()</f>
        <v>0</v>
      </c>
      <c r="N527" s="11"/>
      <c r="O527" s="11" t="str">
        <f aca="false">IF(K527&lt;=StockP33,"Low",IF(K527&lt;=StockP67,"Moderate","High"))</f>
        <v>High</v>
      </c>
      <c r="P527" s="11" t="str">
        <f aca="false">IF(H527=0,"Low",IF(H527&lt;=MarkdownP75,"Moderate","High"))</f>
        <v>Low</v>
      </c>
      <c r="Q527" s="11" t="str">
        <f aca="false">IF(ISBLANK(L527),"Unknown",IF(L527&gt;=4,"Good",IF(L527&lt;=2,"Poor","Neutral")))</f>
        <v>Poor</v>
      </c>
      <c r="R527" s="11" t="str">
        <f aca="false">IF(AND(O527="Low",P527="Low",Q527="Good"),"BUY / PRIORITIZE",IF(AND(O527="High",P527="High",OR(Q527="Poor",M527=TRUE())),"HOLD / REVIEW","MONITOR"))</f>
        <v>MONITOR</v>
      </c>
      <c r="S527" s="11" t="n">
        <f aca="false">K527+(ROW()/10000000)</f>
        <v>35.0000527</v>
      </c>
    </row>
    <row r="528" customFormat="false" ht="15" hidden="false" customHeight="false" outlineLevel="0" collapsed="false">
      <c r="A528" s="11" t="s">
        <v>738</v>
      </c>
      <c r="B528" s="11" t="s">
        <v>27</v>
      </c>
      <c r="C528" s="11" t="s">
        <v>72</v>
      </c>
      <c r="D528" s="11" t="s">
        <v>37</v>
      </c>
      <c r="E528" s="11" t="s">
        <v>91</v>
      </c>
      <c r="F528" s="11" t="s">
        <v>79</v>
      </c>
      <c r="G528" s="21" t="n">
        <v>132.61</v>
      </c>
      <c r="H528" s="19" t="n">
        <v>7.4</v>
      </c>
      <c r="I528" s="21" t="n">
        <v>122.8</v>
      </c>
      <c r="J528" s="22" t="s">
        <v>80</v>
      </c>
      <c r="K528" s="11" t="n">
        <v>0</v>
      </c>
      <c r="L528" s="23" t="n">
        <v>4.2</v>
      </c>
      <c r="M528" s="24" t="b">
        <f aca="false">FALSE()</f>
        <v>0</v>
      </c>
      <c r="N528" s="11"/>
      <c r="O528" s="11" t="str">
        <f aca="false">IF(K528&lt;=StockP33,"Low",IF(K528&lt;=StockP67,"Moderate","High"))</f>
        <v>Low</v>
      </c>
      <c r="P528" s="11" t="str">
        <f aca="false">IF(H528=0,"Low",IF(H528&lt;=MarkdownP75,"Moderate","High"))</f>
        <v>Moderate</v>
      </c>
      <c r="Q528" s="11" t="str">
        <f aca="false">IF(ISBLANK(L528),"Unknown",IF(L528&gt;=4,"Good",IF(L528&lt;=2,"Poor","Neutral")))</f>
        <v>Good</v>
      </c>
      <c r="R528" s="11" t="str">
        <f aca="false">IF(AND(O528="Low",P528="Low",Q528="Good"),"BUY / PRIORITIZE",IF(AND(O528="High",P528="High",OR(Q528="Poor",M528=TRUE())),"HOLD / REVIEW","MONITOR"))</f>
        <v>MONITOR</v>
      </c>
      <c r="S528" s="11" t="n">
        <f aca="false">K528+(ROW()/10000000)</f>
        <v>5.28E-005</v>
      </c>
    </row>
    <row r="529" customFormat="false" ht="15" hidden="false" customHeight="false" outlineLevel="0" collapsed="false">
      <c r="A529" s="11" t="s">
        <v>739</v>
      </c>
      <c r="B529" s="11" t="s">
        <v>28</v>
      </c>
      <c r="C529" s="11" t="s">
        <v>107</v>
      </c>
      <c r="D529" s="11" t="s">
        <v>36</v>
      </c>
      <c r="E529" s="11" t="s">
        <v>73</v>
      </c>
      <c r="F529" s="11" t="s">
        <v>79</v>
      </c>
      <c r="G529" s="21" t="n">
        <v>234.14</v>
      </c>
      <c r="H529" s="19" t="n">
        <v>0</v>
      </c>
      <c r="I529" s="21" t="n">
        <v>234.14</v>
      </c>
      <c r="J529" s="22" t="s">
        <v>80</v>
      </c>
      <c r="K529" s="11" t="n">
        <v>40</v>
      </c>
      <c r="L529" s="23" t="n">
        <v>1.7</v>
      </c>
      <c r="M529" s="24" t="b">
        <f aca="false">FALSE()</f>
        <v>0</v>
      </c>
      <c r="N529" s="11"/>
      <c r="O529" s="11" t="str">
        <f aca="false">IF(K529&lt;=StockP33,"Low",IF(K529&lt;=StockP67,"Moderate","High"))</f>
        <v>High</v>
      </c>
      <c r="P529" s="11" t="str">
        <f aca="false">IF(H529=0,"Low",IF(H529&lt;=MarkdownP75,"Moderate","High"))</f>
        <v>Low</v>
      </c>
      <c r="Q529" s="11" t="str">
        <f aca="false">IF(ISBLANK(L529),"Unknown",IF(L529&gt;=4,"Good",IF(L529&lt;=2,"Poor","Neutral")))</f>
        <v>Poor</v>
      </c>
      <c r="R529" s="11" t="str">
        <f aca="false">IF(AND(O529="Low",P529="Low",Q529="Good"),"BUY / PRIORITIZE",IF(AND(O529="High",P529="High",OR(Q529="Poor",M529=TRUE())),"HOLD / REVIEW","MONITOR"))</f>
        <v>MONITOR</v>
      </c>
      <c r="S529" s="11" t="n">
        <f aca="false">K529+(ROW()/10000000)</f>
        <v>40.0000529</v>
      </c>
    </row>
    <row r="530" customFormat="false" ht="15" hidden="false" customHeight="false" outlineLevel="0" collapsed="false">
      <c r="A530" s="11" t="s">
        <v>740</v>
      </c>
      <c r="B530" s="11" t="s">
        <v>8</v>
      </c>
      <c r="C530" s="11" t="s">
        <v>101</v>
      </c>
      <c r="D530" s="11" t="s">
        <v>36</v>
      </c>
      <c r="E530" s="11"/>
      <c r="F530" s="11" t="s">
        <v>82</v>
      </c>
      <c r="G530" s="21" t="n">
        <v>31.86</v>
      </c>
      <c r="H530" s="19" t="n">
        <v>48.2</v>
      </c>
      <c r="I530" s="21" t="n">
        <v>16.5</v>
      </c>
      <c r="J530" s="22" t="s">
        <v>80</v>
      </c>
      <c r="K530" s="11" t="n">
        <v>32</v>
      </c>
      <c r="L530" s="23" t="n">
        <v>4.5</v>
      </c>
      <c r="M530" s="24" t="b">
        <f aca="false">FALSE()</f>
        <v>0</v>
      </c>
      <c r="N530" s="11"/>
      <c r="O530" s="11" t="str">
        <f aca="false">IF(K530&lt;=StockP33,"Low",IF(K530&lt;=StockP67,"Moderate","High"))</f>
        <v>Moderate</v>
      </c>
      <c r="P530" s="11" t="str">
        <f aca="false">IF(H530=0,"Low",IF(H530&lt;=MarkdownP75,"Moderate","High"))</f>
        <v>High</v>
      </c>
      <c r="Q530" s="11" t="str">
        <f aca="false">IF(ISBLANK(L530),"Unknown",IF(L530&gt;=4,"Good",IF(L530&lt;=2,"Poor","Neutral")))</f>
        <v>Good</v>
      </c>
      <c r="R530" s="11" t="str">
        <f aca="false">IF(AND(O530="Low",P530="Low",Q530="Good"),"BUY / PRIORITIZE",IF(AND(O530="High",P530="High",OR(Q530="Poor",M530=TRUE())),"HOLD / REVIEW","MONITOR"))</f>
        <v>MONITOR</v>
      </c>
      <c r="S530" s="11" t="n">
        <f aca="false">K530+(ROW()/10000000)</f>
        <v>32.000053</v>
      </c>
    </row>
    <row r="531" customFormat="false" ht="15" hidden="false" customHeight="false" outlineLevel="0" collapsed="false">
      <c r="A531" s="11" t="s">
        <v>741</v>
      </c>
      <c r="B531" s="11" t="s">
        <v>8</v>
      </c>
      <c r="C531" s="11" t="s">
        <v>77</v>
      </c>
      <c r="D531" s="11" t="s">
        <v>34</v>
      </c>
      <c r="E531" s="11"/>
      <c r="F531" s="11" t="s">
        <v>92</v>
      </c>
      <c r="G531" s="21" t="n">
        <v>15.14</v>
      </c>
      <c r="H531" s="19" t="n">
        <v>36.7</v>
      </c>
      <c r="I531" s="21" t="n">
        <v>9.58</v>
      </c>
      <c r="J531" s="22" t="s">
        <v>742</v>
      </c>
      <c r="K531" s="11" t="n">
        <v>41</v>
      </c>
      <c r="L531" s="23" t="n">
        <v>3.8</v>
      </c>
      <c r="M531" s="24" t="b">
        <f aca="false">FALSE()</f>
        <v>0</v>
      </c>
      <c r="N531" s="11"/>
      <c r="O531" s="11" t="str">
        <f aca="false">IF(K531&lt;=StockP33,"Low",IF(K531&lt;=StockP67,"Moderate","High"))</f>
        <v>High</v>
      </c>
      <c r="P531" s="11" t="str">
        <f aca="false">IF(H531=0,"Low",IF(H531&lt;=MarkdownP75,"Moderate","High"))</f>
        <v>High</v>
      </c>
      <c r="Q531" s="11" t="str">
        <f aca="false">IF(ISBLANK(L531),"Unknown",IF(L531&gt;=4,"Good",IF(L531&lt;=2,"Poor","Neutral")))</f>
        <v>Neutral</v>
      </c>
      <c r="R531" s="11" t="str">
        <f aca="false">IF(AND(O531="Low",P531="Low",Q531="Good"),"BUY / PRIORITIZE",IF(AND(O531="High",P531="High",OR(Q531="Poor",M531=TRUE())),"HOLD / REVIEW","MONITOR"))</f>
        <v>MONITOR</v>
      </c>
      <c r="S531" s="11" t="n">
        <f aca="false">K531+(ROW()/10000000)</f>
        <v>41.0000531</v>
      </c>
    </row>
    <row r="532" customFormat="false" ht="15" hidden="false" customHeight="false" outlineLevel="0" collapsed="false">
      <c r="A532" s="11" t="s">
        <v>743</v>
      </c>
      <c r="B532" s="11" t="s">
        <v>29</v>
      </c>
      <c r="C532" s="11" t="s">
        <v>101</v>
      </c>
      <c r="D532" s="11" t="s">
        <v>37</v>
      </c>
      <c r="E532" s="11" t="s">
        <v>110</v>
      </c>
      <c r="F532" s="11" t="s">
        <v>120</v>
      </c>
      <c r="G532" s="21" t="n">
        <v>77.72</v>
      </c>
      <c r="H532" s="19" t="n">
        <v>0</v>
      </c>
      <c r="I532" s="21" t="n">
        <v>77.72</v>
      </c>
      <c r="J532" s="22" t="s">
        <v>80</v>
      </c>
      <c r="K532" s="11" t="n">
        <v>48</v>
      </c>
      <c r="L532" s="23" t="n">
        <v>1.1</v>
      </c>
      <c r="M532" s="24" t="b">
        <f aca="false">FALSE()</f>
        <v>0</v>
      </c>
      <c r="N532" s="11"/>
      <c r="O532" s="11" t="str">
        <f aca="false">IF(K532&lt;=StockP33,"Low",IF(K532&lt;=StockP67,"Moderate","High"))</f>
        <v>High</v>
      </c>
      <c r="P532" s="11" t="str">
        <f aca="false">IF(H532=0,"Low",IF(H532&lt;=MarkdownP75,"Moderate","High"))</f>
        <v>Low</v>
      </c>
      <c r="Q532" s="11" t="str">
        <f aca="false">IF(ISBLANK(L532),"Unknown",IF(L532&gt;=4,"Good",IF(L532&lt;=2,"Poor","Neutral")))</f>
        <v>Poor</v>
      </c>
      <c r="R532" s="11" t="str">
        <f aca="false">IF(AND(O532="Low",P532="Low",Q532="Good"),"BUY / PRIORITIZE",IF(AND(O532="High",P532="High",OR(Q532="Poor",M532=TRUE())),"HOLD / REVIEW","MONITOR"))</f>
        <v>MONITOR</v>
      </c>
      <c r="S532" s="11" t="n">
        <f aca="false">K532+(ROW()/10000000)</f>
        <v>48.0000532</v>
      </c>
    </row>
    <row r="533" customFormat="false" ht="15" hidden="false" customHeight="false" outlineLevel="0" collapsed="false">
      <c r="A533" s="11" t="s">
        <v>744</v>
      </c>
      <c r="B533" s="11" t="s">
        <v>8</v>
      </c>
      <c r="C533" s="11" t="s">
        <v>72</v>
      </c>
      <c r="D533" s="11" t="s">
        <v>34</v>
      </c>
      <c r="E533" s="11"/>
      <c r="F533" s="11" t="s">
        <v>92</v>
      </c>
      <c r="G533" s="21" t="n">
        <v>78.04</v>
      </c>
      <c r="H533" s="19" t="n">
        <v>0</v>
      </c>
      <c r="I533" s="21" t="n">
        <v>78.04</v>
      </c>
      <c r="J533" s="22" t="s">
        <v>745</v>
      </c>
      <c r="K533" s="11" t="n">
        <v>38</v>
      </c>
      <c r="L533" s="23" t="n">
        <v>4.9</v>
      </c>
      <c r="M533" s="24" t="b">
        <f aca="false">FALSE()</f>
        <v>0</v>
      </c>
      <c r="N533" s="11"/>
      <c r="O533" s="11" t="str">
        <f aca="false">IF(K533&lt;=StockP33,"Low",IF(K533&lt;=StockP67,"Moderate","High"))</f>
        <v>High</v>
      </c>
      <c r="P533" s="11" t="str">
        <f aca="false">IF(H533=0,"Low",IF(H533&lt;=MarkdownP75,"Moderate","High"))</f>
        <v>Low</v>
      </c>
      <c r="Q533" s="11" t="str">
        <f aca="false">IF(ISBLANK(L533),"Unknown",IF(L533&gt;=4,"Good",IF(L533&lt;=2,"Poor","Neutral")))</f>
        <v>Good</v>
      </c>
      <c r="R533" s="11" t="str">
        <f aca="false">IF(AND(O533="Low",P533="Low",Q533="Good"),"BUY / PRIORITIZE",IF(AND(O533="High",P533="High",OR(Q533="Poor",M533=TRUE())),"HOLD / REVIEW","MONITOR"))</f>
        <v>MONITOR</v>
      </c>
      <c r="S533" s="11" t="n">
        <f aca="false">K533+(ROW()/10000000)</f>
        <v>38.0000533</v>
      </c>
    </row>
    <row r="534" customFormat="false" ht="15" hidden="false" customHeight="false" outlineLevel="0" collapsed="false">
      <c r="A534" s="11" t="s">
        <v>746</v>
      </c>
      <c r="B534" s="11" t="s">
        <v>28</v>
      </c>
      <c r="C534" s="11" t="s">
        <v>116</v>
      </c>
      <c r="D534" s="11" t="s">
        <v>36</v>
      </c>
      <c r="E534" s="11" t="s">
        <v>113</v>
      </c>
      <c r="F534" s="11" t="s">
        <v>124</v>
      </c>
      <c r="G534" s="21" t="n">
        <v>169.82</v>
      </c>
      <c r="H534" s="19" t="n">
        <v>0</v>
      </c>
      <c r="I534" s="21" t="n">
        <v>169.82</v>
      </c>
      <c r="J534" s="22" t="s">
        <v>80</v>
      </c>
      <c r="K534" s="11" t="n">
        <v>28</v>
      </c>
      <c r="L534" s="23" t="n">
        <v>4</v>
      </c>
      <c r="M534" s="24" t="b">
        <f aca="false">FALSE()</f>
        <v>0</v>
      </c>
      <c r="N534" s="11"/>
      <c r="O534" s="11" t="str">
        <f aca="false">IF(K534&lt;=StockP33,"Low",IF(K534&lt;=StockP67,"Moderate","High"))</f>
        <v>Moderate</v>
      </c>
      <c r="P534" s="11" t="str">
        <f aca="false">IF(H534=0,"Low",IF(H534&lt;=MarkdownP75,"Moderate","High"))</f>
        <v>Low</v>
      </c>
      <c r="Q534" s="11" t="str">
        <f aca="false">IF(ISBLANK(L534),"Unknown",IF(L534&gt;=4,"Good",IF(L534&lt;=2,"Poor","Neutral")))</f>
        <v>Good</v>
      </c>
      <c r="R534" s="11" t="str">
        <f aca="false">IF(AND(O534="Low",P534="Low",Q534="Good"),"BUY / PRIORITIZE",IF(AND(O534="High",P534="High",OR(Q534="Poor",M534=TRUE())),"HOLD / REVIEW","MONITOR"))</f>
        <v>MONITOR</v>
      </c>
      <c r="S534" s="11" t="n">
        <f aca="false">K534+(ROW()/10000000)</f>
        <v>28.0000534</v>
      </c>
    </row>
    <row r="535" customFormat="false" ht="15" hidden="false" customHeight="false" outlineLevel="0" collapsed="false">
      <c r="A535" s="11" t="s">
        <v>747</v>
      </c>
      <c r="B535" s="11" t="s">
        <v>26</v>
      </c>
      <c r="C535" s="11" t="s">
        <v>101</v>
      </c>
      <c r="D535" s="11" t="s">
        <v>34</v>
      </c>
      <c r="E535" s="11" t="s">
        <v>78</v>
      </c>
      <c r="F535" s="11" t="s">
        <v>88</v>
      </c>
      <c r="G535" s="21" t="n">
        <v>94.71</v>
      </c>
      <c r="H535" s="19" t="n">
        <v>38.9</v>
      </c>
      <c r="I535" s="21" t="n">
        <v>57.87</v>
      </c>
      <c r="J535" s="22" t="s">
        <v>403</v>
      </c>
      <c r="K535" s="11" t="n">
        <v>39</v>
      </c>
      <c r="L535" s="23" t="n">
        <v>4.7</v>
      </c>
      <c r="M535" s="24" t="b">
        <f aca="false">FALSE()</f>
        <v>0</v>
      </c>
      <c r="N535" s="11"/>
      <c r="O535" s="11" t="str">
        <f aca="false">IF(K535&lt;=StockP33,"Low",IF(K535&lt;=StockP67,"Moderate","High"))</f>
        <v>High</v>
      </c>
      <c r="P535" s="11" t="str">
        <f aca="false">IF(H535=0,"Low",IF(H535&lt;=MarkdownP75,"Moderate","High"))</f>
        <v>High</v>
      </c>
      <c r="Q535" s="11" t="str">
        <f aca="false">IF(ISBLANK(L535),"Unknown",IF(L535&gt;=4,"Good",IF(L535&lt;=2,"Poor","Neutral")))</f>
        <v>Good</v>
      </c>
      <c r="R535" s="11" t="str">
        <f aca="false">IF(AND(O535="Low",P535="Low",Q535="Good"),"BUY / PRIORITIZE",IF(AND(O535="High",P535="High",OR(Q535="Poor",M535=TRUE())),"HOLD / REVIEW","MONITOR"))</f>
        <v>MONITOR</v>
      </c>
      <c r="S535" s="11" t="n">
        <f aca="false">K535+(ROW()/10000000)</f>
        <v>39.0000535</v>
      </c>
    </row>
    <row r="536" customFormat="false" ht="15" hidden="false" customHeight="false" outlineLevel="0" collapsed="false">
      <c r="A536" s="11" t="s">
        <v>748</v>
      </c>
      <c r="B536" s="11" t="s">
        <v>29</v>
      </c>
      <c r="C536" s="11" t="s">
        <v>107</v>
      </c>
      <c r="D536" s="11" t="s">
        <v>34</v>
      </c>
      <c r="E536" s="11" t="s">
        <v>73</v>
      </c>
      <c r="F536" s="11" t="s">
        <v>74</v>
      </c>
      <c r="G536" s="21" t="n">
        <v>112.6</v>
      </c>
      <c r="H536" s="19" t="n">
        <v>22</v>
      </c>
      <c r="I536" s="21" t="n">
        <v>87.83</v>
      </c>
      <c r="J536" s="22" t="s">
        <v>749</v>
      </c>
      <c r="K536" s="11" t="n">
        <v>29</v>
      </c>
      <c r="L536" s="23" t="n">
        <v>2.1</v>
      </c>
      <c r="M536" s="24" t="b">
        <f aca="false">TRUE()</f>
        <v>1</v>
      </c>
      <c r="N536" s="11" t="s">
        <v>89</v>
      </c>
      <c r="O536" s="11" t="str">
        <f aca="false">IF(K536&lt;=StockP33,"Low",IF(K536&lt;=StockP67,"Moderate","High"))</f>
        <v>Moderate</v>
      </c>
      <c r="P536" s="11" t="str">
        <f aca="false">IF(H536=0,"Low",IF(H536&lt;=MarkdownP75,"Moderate","High"))</f>
        <v>Moderate</v>
      </c>
      <c r="Q536" s="11" t="str">
        <f aca="false">IF(ISBLANK(L536),"Unknown",IF(L536&gt;=4,"Good",IF(L536&lt;=2,"Poor","Neutral")))</f>
        <v>Neutral</v>
      </c>
      <c r="R536" s="11" t="str">
        <f aca="false">IF(AND(O536="Low",P536="Low",Q536="Good"),"BUY / PRIORITIZE",IF(AND(O536="High",P536="High",OR(Q536="Poor",M536=TRUE())),"HOLD / REVIEW","MONITOR"))</f>
        <v>MONITOR</v>
      </c>
      <c r="S536" s="11" t="n">
        <f aca="false">K536+(ROW()/10000000)</f>
        <v>29.0000536</v>
      </c>
    </row>
    <row r="537" customFormat="false" ht="15" hidden="false" customHeight="false" outlineLevel="0" collapsed="false">
      <c r="A537" s="11" t="s">
        <v>750</v>
      </c>
      <c r="B537" s="11" t="s">
        <v>26</v>
      </c>
      <c r="C537" s="11" t="s">
        <v>72</v>
      </c>
      <c r="D537" s="11" t="s">
        <v>35</v>
      </c>
      <c r="E537" s="11" t="s">
        <v>78</v>
      </c>
      <c r="F537" s="11" t="s">
        <v>120</v>
      </c>
      <c r="G537" s="21" t="n">
        <v>104.16</v>
      </c>
      <c r="H537" s="19" t="n">
        <v>0</v>
      </c>
      <c r="I537" s="21" t="n">
        <v>104.16</v>
      </c>
      <c r="J537" s="22" t="s">
        <v>80</v>
      </c>
      <c r="K537" s="11" t="n">
        <v>21</v>
      </c>
      <c r="L537" s="23" t="n">
        <v>1.6</v>
      </c>
      <c r="M537" s="24" t="b">
        <f aca="false">FALSE()</f>
        <v>0</v>
      </c>
      <c r="N537" s="11"/>
      <c r="O537" s="11" t="str">
        <f aca="false">IF(K537&lt;=StockP33,"Low",IF(K537&lt;=StockP67,"Moderate","High"))</f>
        <v>Moderate</v>
      </c>
      <c r="P537" s="11" t="str">
        <f aca="false">IF(H537=0,"Low",IF(H537&lt;=MarkdownP75,"Moderate","High"))</f>
        <v>Low</v>
      </c>
      <c r="Q537" s="11" t="str">
        <f aca="false">IF(ISBLANK(L537),"Unknown",IF(L537&gt;=4,"Good",IF(L537&lt;=2,"Poor","Neutral")))</f>
        <v>Poor</v>
      </c>
      <c r="R537" s="11" t="str">
        <f aca="false">IF(AND(O537="Low",P537="Low",Q537="Good"),"BUY / PRIORITIZE",IF(AND(O537="High",P537="High",OR(Q537="Poor",M537=TRUE())),"HOLD / REVIEW","MONITOR"))</f>
        <v>MONITOR</v>
      </c>
      <c r="S537" s="11" t="n">
        <f aca="false">K537+(ROW()/10000000)</f>
        <v>21.0000537</v>
      </c>
    </row>
    <row r="538" customFormat="false" ht="15" hidden="false" customHeight="false" outlineLevel="0" collapsed="false">
      <c r="A538" s="11" t="s">
        <v>751</v>
      </c>
      <c r="B538" s="11" t="s">
        <v>28</v>
      </c>
      <c r="C538" s="11" t="s">
        <v>116</v>
      </c>
      <c r="D538" s="11" t="s">
        <v>37</v>
      </c>
      <c r="E538" s="11" t="s">
        <v>102</v>
      </c>
      <c r="F538" s="11" t="s">
        <v>92</v>
      </c>
      <c r="G538" s="21" t="n">
        <v>174.86</v>
      </c>
      <c r="H538" s="19" t="n">
        <v>0</v>
      </c>
      <c r="I538" s="21" t="n">
        <v>174.86</v>
      </c>
      <c r="J538" s="22" t="s">
        <v>80</v>
      </c>
      <c r="K538" s="11" t="n">
        <v>15</v>
      </c>
      <c r="L538" s="23" t="n">
        <v>1.7</v>
      </c>
      <c r="M538" s="24" t="b">
        <f aca="false">FALSE()</f>
        <v>0</v>
      </c>
      <c r="N538" s="11"/>
      <c r="O538" s="11" t="str">
        <f aca="false">IF(K538&lt;=StockP33,"Low",IF(K538&lt;=StockP67,"Moderate","High"))</f>
        <v>Low</v>
      </c>
      <c r="P538" s="11" t="str">
        <f aca="false">IF(H538=0,"Low",IF(H538&lt;=MarkdownP75,"Moderate","High"))</f>
        <v>Low</v>
      </c>
      <c r="Q538" s="11" t="str">
        <f aca="false">IF(ISBLANK(L538),"Unknown",IF(L538&gt;=4,"Good",IF(L538&lt;=2,"Poor","Neutral")))</f>
        <v>Poor</v>
      </c>
      <c r="R538" s="11" t="str">
        <f aca="false">IF(AND(O538="Low",P538="Low",Q538="Good"),"BUY / PRIORITIZE",IF(AND(O538="High",P538="High",OR(Q538="Poor",M538=TRUE())),"HOLD / REVIEW","MONITOR"))</f>
        <v>MONITOR</v>
      </c>
      <c r="S538" s="11" t="n">
        <f aca="false">K538+(ROW()/10000000)</f>
        <v>15.0000538</v>
      </c>
    </row>
    <row r="539" customFormat="false" ht="15" hidden="false" customHeight="false" outlineLevel="0" collapsed="false">
      <c r="A539" s="11" t="s">
        <v>752</v>
      </c>
      <c r="B539" s="11" t="s">
        <v>28</v>
      </c>
      <c r="C539" s="11" t="s">
        <v>77</v>
      </c>
      <c r="D539" s="11" t="s">
        <v>34</v>
      </c>
      <c r="E539" s="11" t="s">
        <v>78</v>
      </c>
      <c r="F539" s="11" t="s">
        <v>120</v>
      </c>
      <c r="G539" s="21" t="n">
        <v>217.89</v>
      </c>
      <c r="H539" s="19" t="n">
        <v>49.4</v>
      </c>
      <c r="I539" s="21" t="n">
        <v>110.25</v>
      </c>
      <c r="J539" s="22" t="s">
        <v>753</v>
      </c>
      <c r="K539" s="11" t="n">
        <v>42</v>
      </c>
      <c r="L539" s="23" t="n">
        <v>2.9</v>
      </c>
      <c r="M539" s="24" t="b">
        <f aca="false">FALSE()</f>
        <v>0</v>
      </c>
      <c r="N539" s="11"/>
      <c r="O539" s="11" t="str">
        <f aca="false">IF(K539&lt;=StockP33,"Low",IF(K539&lt;=StockP67,"Moderate","High"))</f>
        <v>High</v>
      </c>
      <c r="P539" s="11" t="str">
        <f aca="false">IF(H539=0,"Low",IF(H539&lt;=MarkdownP75,"Moderate","High"))</f>
        <v>High</v>
      </c>
      <c r="Q539" s="11" t="str">
        <f aca="false">IF(ISBLANK(L539),"Unknown",IF(L539&gt;=4,"Good",IF(L539&lt;=2,"Poor","Neutral")))</f>
        <v>Neutral</v>
      </c>
      <c r="R539" s="11" t="str">
        <f aca="false">IF(AND(O539="Low",P539="Low",Q539="Good"),"BUY / PRIORITIZE",IF(AND(O539="High",P539="High",OR(Q539="Poor",M539=TRUE())),"HOLD / REVIEW","MONITOR"))</f>
        <v>MONITOR</v>
      </c>
      <c r="S539" s="11" t="n">
        <f aca="false">K539+(ROW()/10000000)</f>
        <v>42.0000539</v>
      </c>
    </row>
    <row r="540" customFormat="false" ht="15" hidden="false" customHeight="false" outlineLevel="0" collapsed="false">
      <c r="A540" s="11" t="s">
        <v>754</v>
      </c>
      <c r="B540" s="11" t="s">
        <v>29</v>
      </c>
      <c r="C540" s="11" t="s">
        <v>95</v>
      </c>
      <c r="D540" s="11" t="s">
        <v>37</v>
      </c>
      <c r="E540" s="11" t="s">
        <v>78</v>
      </c>
      <c r="F540" s="11" t="s">
        <v>82</v>
      </c>
      <c r="G540" s="21" t="n">
        <v>123.14</v>
      </c>
      <c r="H540" s="19" t="n">
        <v>0</v>
      </c>
      <c r="I540" s="21" t="n">
        <v>123.14</v>
      </c>
      <c r="J540" s="22" t="s">
        <v>80</v>
      </c>
      <c r="K540" s="11" t="n">
        <v>15</v>
      </c>
      <c r="L540" s="23" t="n">
        <v>1.8</v>
      </c>
      <c r="M540" s="24" t="b">
        <f aca="false">TRUE()</f>
        <v>1</v>
      </c>
      <c r="N540" s="11" t="s">
        <v>191</v>
      </c>
      <c r="O540" s="11" t="str">
        <f aca="false">IF(K540&lt;=StockP33,"Low",IF(K540&lt;=StockP67,"Moderate","High"))</f>
        <v>Low</v>
      </c>
      <c r="P540" s="11" t="str">
        <f aca="false">IF(H540=0,"Low",IF(H540&lt;=MarkdownP75,"Moderate","High"))</f>
        <v>Low</v>
      </c>
      <c r="Q540" s="11" t="str">
        <f aca="false">IF(ISBLANK(L540),"Unknown",IF(L540&gt;=4,"Good",IF(L540&lt;=2,"Poor","Neutral")))</f>
        <v>Poor</v>
      </c>
      <c r="R540" s="11" t="str">
        <f aca="false">IF(AND(O540="Low",P540="Low",Q540="Good"),"BUY / PRIORITIZE",IF(AND(O540="High",P540="High",OR(Q540="Poor",M540=TRUE())),"HOLD / REVIEW","MONITOR"))</f>
        <v>MONITOR</v>
      </c>
      <c r="S540" s="11" t="n">
        <f aca="false">K540+(ROW()/10000000)</f>
        <v>15.000054</v>
      </c>
    </row>
    <row r="541" customFormat="false" ht="15" hidden="false" customHeight="false" outlineLevel="0" collapsed="false">
      <c r="A541" s="11" t="s">
        <v>755</v>
      </c>
      <c r="B541" s="11" t="s">
        <v>30</v>
      </c>
      <c r="C541" s="11" t="s">
        <v>107</v>
      </c>
      <c r="D541" s="11" t="s">
        <v>37</v>
      </c>
      <c r="E541" s="11" t="s">
        <v>73</v>
      </c>
      <c r="F541" s="11" t="s">
        <v>118</v>
      </c>
      <c r="G541" s="21" t="n">
        <v>103.96</v>
      </c>
      <c r="H541" s="19" t="n">
        <v>0</v>
      </c>
      <c r="I541" s="21" t="n">
        <v>103.96</v>
      </c>
      <c r="J541" s="22" t="s">
        <v>80</v>
      </c>
      <c r="K541" s="11" t="n">
        <v>23</v>
      </c>
      <c r="L541" s="23" t="n">
        <v>3.3</v>
      </c>
      <c r="M541" s="24" t="b">
        <f aca="false">FALSE()</f>
        <v>0</v>
      </c>
      <c r="N541" s="11"/>
      <c r="O541" s="11" t="str">
        <f aca="false">IF(K541&lt;=StockP33,"Low",IF(K541&lt;=StockP67,"Moderate","High"))</f>
        <v>Moderate</v>
      </c>
      <c r="P541" s="11" t="str">
        <f aca="false">IF(H541=0,"Low",IF(H541&lt;=MarkdownP75,"Moderate","High"))</f>
        <v>Low</v>
      </c>
      <c r="Q541" s="11" t="str">
        <f aca="false">IF(ISBLANK(L541),"Unknown",IF(L541&gt;=4,"Good",IF(L541&lt;=2,"Poor","Neutral")))</f>
        <v>Neutral</v>
      </c>
      <c r="R541" s="11" t="str">
        <f aca="false">IF(AND(O541="Low",P541="Low",Q541="Good"),"BUY / PRIORITIZE",IF(AND(O541="High",P541="High",OR(Q541="Poor",M541=TRUE())),"HOLD / REVIEW","MONITOR"))</f>
        <v>MONITOR</v>
      </c>
      <c r="S541" s="11" t="n">
        <f aca="false">K541+(ROW()/10000000)</f>
        <v>23.0000541</v>
      </c>
    </row>
    <row r="542" customFormat="false" ht="15" hidden="false" customHeight="false" outlineLevel="0" collapsed="false">
      <c r="A542" s="11" t="s">
        <v>756</v>
      </c>
      <c r="B542" s="11" t="s">
        <v>27</v>
      </c>
      <c r="C542" s="11" t="s">
        <v>101</v>
      </c>
      <c r="D542" s="11" t="s">
        <v>34</v>
      </c>
      <c r="E542" s="11" t="s">
        <v>73</v>
      </c>
      <c r="F542" s="11" t="s">
        <v>96</v>
      </c>
      <c r="G542" s="21" t="n">
        <v>138.45</v>
      </c>
      <c r="H542" s="19" t="n">
        <v>0</v>
      </c>
      <c r="I542" s="21" t="n">
        <v>138.45</v>
      </c>
      <c r="J542" s="22" t="s">
        <v>757</v>
      </c>
      <c r="K542" s="11" t="n">
        <v>18</v>
      </c>
      <c r="L542" s="23" t="n">
        <v>3.3</v>
      </c>
      <c r="M542" s="24" t="b">
        <f aca="false">FALSE()</f>
        <v>0</v>
      </c>
      <c r="N542" s="11"/>
      <c r="O542" s="11" t="str">
        <f aca="false">IF(K542&lt;=StockP33,"Low",IF(K542&lt;=StockP67,"Moderate","High"))</f>
        <v>Moderate</v>
      </c>
      <c r="P542" s="11" t="str">
        <f aca="false">IF(H542=0,"Low",IF(H542&lt;=MarkdownP75,"Moderate","High"))</f>
        <v>Low</v>
      </c>
      <c r="Q542" s="11" t="str">
        <f aca="false">IF(ISBLANK(L542),"Unknown",IF(L542&gt;=4,"Good",IF(L542&lt;=2,"Poor","Neutral")))</f>
        <v>Neutral</v>
      </c>
      <c r="R542" s="11" t="str">
        <f aca="false">IF(AND(O542="Low",P542="Low",Q542="Good"),"BUY / PRIORITIZE",IF(AND(O542="High",P542="High",OR(Q542="Poor",M542=TRUE())),"HOLD / REVIEW","MONITOR"))</f>
        <v>MONITOR</v>
      </c>
      <c r="S542" s="11" t="n">
        <f aca="false">K542+(ROW()/10000000)</f>
        <v>18.0000542</v>
      </c>
    </row>
    <row r="543" customFormat="false" ht="15" hidden="false" customHeight="false" outlineLevel="0" collapsed="false">
      <c r="A543" s="11" t="s">
        <v>758</v>
      </c>
      <c r="B543" s="11" t="s">
        <v>29</v>
      </c>
      <c r="C543" s="11" t="s">
        <v>116</v>
      </c>
      <c r="D543" s="11" t="s">
        <v>35</v>
      </c>
      <c r="E543" s="11" t="s">
        <v>91</v>
      </c>
      <c r="F543" s="11" t="s">
        <v>82</v>
      </c>
      <c r="G543" s="21" t="n">
        <v>165.1</v>
      </c>
      <c r="H543" s="19" t="n">
        <v>0</v>
      </c>
      <c r="I543" s="21" t="n">
        <v>165.1</v>
      </c>
      <c r="J543" s="22" t="s">
        <v>80</v>
      </c>
      <c r="K543" s="11" t="n">
        <v>7</v>
      </c>
      <c r="L543" s="23"/>
      <c r="M543" s="24" t="b">
        <f aca="false">FALSE()</f>
        <v>0</v>
      </c>
      <c r="N543" s="11"/>
      <c r="O543" s="11" t="str">
        <f aca="false">IF(K543&lt;=StockP33,"Low",IF(K543&lt;=StockP67,"Moderate","High"))</f>
        <v>Low</v>
      </c>
      <c r="P543" s="11" t="str">
        <f aca="false">IF(H543=0,"Low",IF(H543&lt;=MarkdownP75,"Moderate","High"))</f>
        <v>Low</v>
      </c>
      <c r="Q543" s="11" t="str">
        <f aca="false">IF(ISBLANK(L543),"Unknown",IF(L543&gt;=4,"Good",IF(L543&lt;=2,"Poor","Neutral")))</f>
        <v>Unknown</v>
      </c>
      <c r="R543" s="11" t="str">
        <f aca="false">IF(AND(O543="Low",P543="Low",Q543="Good"),"BUY / PRIORITIZE",IF(AND(O543="High",P543="High",OR(Q543="Poor",M543=TRUE())),"HOLD / REVIEW","MONITOR"))</f>
        <v>MONITOR</v>
      </c>
      <c r="S543" s="11" t="n">
        <f aca="false">K543+(ROW()/10000000)</f>
        <v>7.0000543</v>
      </c>
    </row>
    <row r="544" customFormat="false" ht="15" hidden="false" customHeight="false" outlineLevel="0" collapsed="false">
      <c r="A544" s="11" t="s">
        <v>759</v>
      </c>
      <c r="B544" s="11" t="s">
        <v>29</v>
      </c>
      <c r="C544" s="11" t="s">
        <v>116</v>
      </c>
      <c r="D544" s="11" t="s">
        <v>37</v>
      </c>
      <c r="E544" s="11" t="s">
        <v>102</v>
      </c>
      <c r="F544" s="11" t="s">
        <v>92</v>
      </c>
      <c r="G544" s="21" t="n">
        <v>147.25</v>
      </c>
      <c r="H544" s="19" t="n">
        <v>0</v>
      </c>
      <c r="I544" s="21" t="n">
        <v>147.25</v>
      </c>
      <c r="J544" s="22" t="s">
        <v>80</v>
      </c>
      <c r="K544" s="11" t="n">
        <v>15</v>
      </c>
      <c r="L544" s="23" t="n">
        <v>2.7</v>
      </c>
      <c r="M544" s="24" t="b">
        <f aca="false">FALSE()</f>
        <v>0</v>
      </c>
      <c r="N544" s="11"/>
      <c r="O544" s="11" t="str">
        <f aca="false">IF(K544&lt;=StockP33,"Low",IF(K544&lt;=StockP67,"Moderate","High"))</f>
        <v>Low</v>
      </c>
      <c r="P544" s="11" t="str">
        <f aca="false">IF(H544=0,"Low",IF(H544&lt;=MarkdownP75,"Moderate","High"))</f>
        <v>Low</v>
      </c>
      <c r="Q544" s="11" t="str">
        <f aca="false">IF(ISBLANK(L544),"Unknown",IF(L544&gt;=4,"Good",IF(L544&lt;=2,"Poor","Neutral")))</f>
        <v>Neutral</v>
      </c>
      <c r="R544" s="11" t="str">
        <f aca="false">IF(AND(O544="Low",P544="Low",Q544="Good"),"BUY / PRIORITIZE",IF(AND(O544="High",P544="High",OR(Q544="Poor",M544=TRUE())),"HOLD / REVIEW","MONITOR"))</f>
        <v>MONITOR</v>
      </c>
      <c r="S544" s="11" t="n">
        <f aca="false">K544+(ROW()/10000000)</f>
        <v>15.0000544</v>
      </c>
    </row>
    <row r="545" customFormat="false" ht="15" hidden="false" customHeight="false" outlineLevel="0" collapsed="false">
      <c r="A545" s="11" t="s">
        <v>760</v>
      </c>
      <c r="B545" s="11" t="s">
        <v>29</v>
      </c>
      <c r="C545" s="11" t="s">
        <v>77</v>
      </c>
      <c r="D545" s="11" t="s">
        <v>36</v>
      </c>
      <c r="E545" s="11" t="s">
        <v>78</v>
      </c>
      <c r="F545" s="11" t="s">
        <v>79</v>
      </c>
      <c r="G545" s="21" t="n">
        <v>126.23</v>
      </c>
      <c r="H545" s="19" t="n">
        <v>0</v>
      </c>
      <c r="I545" s="21" t="n">
        <v>126.23</v>
      </c>
      <c r="J545" s="22" t="s">
        <v>80</v>
      </c>
      <c r="K545" s="11" t="n">
        <v>48</v>
      </c>
      <c r="L545" s="23" t="n">
        <v>2.1</v>
      </c>
      <c r="M545" s="24" t="b">
        <f aca="false">FALSE()</f>
        <v>0</v>
      </c>
      <c r="N545" s="11"/>
      <c r="O545" s="11" t="str">
        <f aca="false">IF(K545&lt;=StockP33,"Low",IF(K545&lt;=StockP67,"Moderate","High"))</f>
        <v>High</v>
      </c>
      <c r="P545" s="11" t="str">
        <f aca="false">IF(H545=0,"Low",IF(H545&lt;=MarkdownP75,"Moderate","High"))</f>
        <v>Low</v>
      </c>
      <c r="Q545" s="11" t="str">
        <f aca="false">IF(ISBLANK(L545),"Unknown",IF(L545&gt;=4,"Good",IF(L545&lt;=2,"Poor","Neutral")))</f>
        <v>Neutral</v>
      </c>
      <c r="R545" s="11" t="str">
        <f aca="false">IF(AND(O545="Low",P545="Low",Q545="Good"),"BUY / PRIORITIZE",IF(AND(O545="High",P545="High",OR(Q545="Poor",M545=TRUE())),"HOLD / REVIEW","MONITOR"))</f>
        <v>MONITOR</v>
      </c>
      <c r="S545" s="11" t="n">
        <f aca="false">K545+(ROW()/10000000)</f>
        <v>48.0000545</v>
      </c>
    </row>
    <row r="546" customFormat="false" ht="15" hidden="false" customHeight="false" outlineLevel="0" collapsed="false">
      <c r="A546" s="11" t="s">
        <v>761</v>
      </c>
      <c r="B546" s="11" t="s">
        <v>28</v>
      </c>
      <c r="C546" s="11" t="s">
        <v>107</v>
      </c>
      <c r="D546" s="11" t="s">
        <v>36</v>
      </c>
      <c r="E546" s="11" t="s">
        <v>113</v>
      </c>
      <c r="F546" s="11" t="s">
        <v>118</v>
      </c>
      <c r="G546" s="21" t="n">
        <v>229.04</v>
      </c>
      <c r="H546" s="19" t="n">
        <v>0</v>
      </c>
      <c r="I546" s="21" t="n">
        <v>229.04</v>
      </c>
      <c r="J546" s="22" t="s">
        <v>80</v>
      </c>
      <c r="K546" s="11" t="n">
        <v>5</v>
      </c>
      <c r="L546" s="23" t="n">
        <v>4.5</v>
      </c>
      <c r="M546" s="24" t="b">
        <f aca="false">FALSE()</f>
        <v>0</v>
      </c>
      <c r="N546" s="11"/>
      <c r="O546" s="11" t="str">
        <f aca="false">IF(K546&lt;=StockP33,"Low",IF(K546&lt;=StockP67,"Moderate","High"))</f>
        <v>Low</v>
      </c>
      <c r="P546" s="11" t="str">
        <f aca="false">IF(H546=0,"Low",IF(H546&lt;=MarkdownP75,"Moderate","High"))</f>
        <v>Low</v>
      </c>
      <c r="Q546" s="11" t="str">
        <f aca="false">IF(ISBLANK(L546),"Unknown",IF(L546&gt;=4,"Good",IF(L546&lt;=2,"Poor","Neutral")))</f>
        <v>Good</v>
      </c>
      <c r="R546" s="11" t="str">
        <f aca="false">IF(AND(O546="Low",P546="Low",Q546="Good"),"BUY / PRIORITIZE",IF(AND(O546="High",P546="High",OR(Q546="Poor",M546=TRUE())),"HOLD / REVIEW","MONITOR"))</f>
        <v>BUY / PRIORITIZE</v>
      </c>
      <c r="S546" s="11" t="n">
        <f aca="false">K546+(ROW()/10000000)</f>
        <v>5.0000546</v>
      </c>
    </row>
    <row r="547" customFormat="false" ht="15" hidden="false" customHeight="false" outlineLevel="0" collapsed="false">
      <c r="A547" s="11" t="s">
        <v>762</v>
      </c>
      <c r="B547" s="11" t="s">
        <v>8</v>
      </c>
      <c r="C547" s="11" t="s">
        <v>107</v>
      </c>
      <c r="D547" s="11" t="s">
        <v>37</v>
      </c>
      <c r="E547" s="11"/>
      <c r="F547" s="11" t="s">
        <v>92</v>
      </c>
      <c r="G547" s="21" t="n">
        <v>38.65</v>
      </c>
      <c r="H547" s="19" t="n">
        <v>32.6</v>
      </c>
      <c r="I547" s="21" t="n">
        <v>26.05</v>
      </c>
      <c r="J547" s="22" t="s">
        <v>80</v>
      </c>
      <c r="K547" s="11" t="n">
        <v>46</v>
      </c>
      <c r="L547" s="23" t="n">
        <v>1.1</v>
      </c>
      <c r="M547" s="24" t="b">
        <f aca="false">FALSE()</f>
        <v>0</v>
      </c>
      <c r="N547" s="11"/>
      <c r="O547" s="11" t="str">
        <f aca="false">IF(K547&lt;=StockP33,"Low",IF(K547&lt;=StockP67,"Moderate","High"))</f>
        <v>High</v>
      </c>
      <c r="P547" s="11" t="str">
        <f aca="false">IF(H547=0,"Low",IF(H547&lt;=MarkdownP75,"Moderate","High"))</f>
        <v>High</v>
      </c>
      <c r="Q547" s="11" t="str">
        <f aca="false">IF(ISBLANK(L547),"Unknown",IF(L547&gt;=4,"Good",IF(L547&lt;=2,"Poor","Neutral")))</f>
        <v>Poor</v>
      </c>
      <c r="R547" s="11" t="str">
        <f aca="false">IF(AND(O547="Low",P547="Low",Q547="Good"),"BUY / PRIORITIZE",IF(AND(O547="High",P547="High",OR(Q547="Poor",M547=TRUE())),"HOLD / REVIEW","MONITOR"))</f>
        <v>HOLD / REVIEW</v>
      </c>
      <c r="S547" s="11" t="n">
        <f aca="false">K547+(ROW()/10000000)</f>
        <v>46.0000547</v>
      </c>
    </row>
    <row r="548" customFormat="false" ht="15" hidden="false" customHeight="false" outlineLevel="0" collapsed="false">
      <c r="A548" s="11" t="s">
        <v>763</v>
      </c>
      <c r="B548" s="11" t="s">
        <v>26</v>
      </c>
      <c r="C548" s="11" t="s">
        <v>86</v>
      </c>
      <c r="D548" s="11" t="s">
        <v>34</v>
      </c>
      <c r="E548" s="11" t="s">
        <v>110</v>
      </c>
      <c r="F548" s="11" t="s">
        <v>79</v>
      </c>
      <c r="G548" s="21" t="n">
        <v>80.82</v>
      </c>
      <c r="H548" s="19" t="n">
        <v>0</v>
      </c>
      <c r="I548" s="21" t="n">
        <v>80.82</v>
      </c>
      <c r="J548" s="22" t="s">
        <v>764</v>
      </c>
      <c r="K548" s="11" t="n">
        <v>42</v>
      </c>
      <c r="L548" s="23"/>
      <c r="M548" s="24" t="b">
        <f aca="false">FALSE()</f>
        <v>0</v>
      </c>
      <c r="N548" s="11"/>
      <c r="O548" s="11" t="str">
        <f aca="false">IF(K548&lt;=StockP33,"Low",IF(K548&lt;=StockP67,"Moderate","High"))</f>
        <v>High</v>
      </c>
      <c r="P548" s="11" t="str">
        <f aca="false">IF(H548=0,"Low",IF(H548&lt;=MarkdownP75,"Moderate","High"))</f>
        <v>Low</v>
      </c>
      <c r="Q548" s="11" t="str">
        <f aca="false">IF(ISBLANK(L548),"Unknown",IF(L548&gt;=4,"Good",IF(L548&lt;=2,"Poor","Neutral")))</f>
        <v>Unknown</v>
      </c>
      <c r="R548" s="11" t="str">
        <f aca="false">IF(AND(O548="Low",P548="Low",Q548="Good"),"BUY / PRIORITIZE",IF(AND(O548="High",P548="High",OR(Q548="Poor",M548=TRUE())),"HOLD / REVIEW","MONITOR"))</f>
        <v>MONITOR</v>
      </c>
      <c r="S548" s="11" t="n">
        <f aca="false">K548+(ROW()/10000000)</f>
        <v>42.0000548</v>
      </c>
    </row>
    <row r="549" customFormat="false" ht="15" hidden="false" customHeight="false" outlineLevel="0" collapsed="false">
      <c r="A549" s="11" t="s">
        <v>765</v>
      </c>
      <c r="B549" s="11" t="s">
        <v>8</v>
      </c>
      <c r="C549" s="11" t="s">
        <v>77</v>
      </c>
      <c r="D549" s="11" t="s">
        <v>34</v>
      </c>
      <c r="E549" s="11"/>
      <c r="F549" s="11" t="s">
        <v>111</v>
      </c>
      <c r="G549" s="21" t="n">
        <v>56.44</v>
      </c>
      <c r="H549" s="19" t="n">
        <v>0</v>
      </c>
      <c r="I549" s="21" t="n">
        <v>56.44</v>
      </c>
      <c r="J549" s="22" t="s">
        <v>766</v>
      </c>
      <c r="K549" s="11" t="n">
        <v>35</v>
      </c>
      <c r="L549" s="23" t="n">
        <v>4</v>
      </c>
      <c r="M549" s="24" t="b">
        <f aca="false">FALSE()</f>
        <v>0</v>
      </c>
      <c r="N549" s="11"/>
      <c r="O549" s="11" t="str">
        <f aca="false">IF(K549&lt;=StockP33,"Low",IF(K549&lt;=StockP67,"Moderate","High"))</f>
        <v>High</v>
      </c>
      <c r="P549" s="11" t="str">
        <f aca="false">IF(H549=0,"Low",IF(H549&lt;=MarkdownP75,"Moderate","High"))</f>
        <v>Low</v>
      </c>
      <c r="Q549" s="11" t="str">
        <f aca="false">IF(ISBLANK(L549),"Unknown",IF(L549&gt;=4,"Good",IF(L549&lt;=2,"Poor","Neutral")))</f>
        <v>Good</v>
      </c>
      <c r="R549" s="11" t="str">
        <f aca="false">IF(AND(O549="Low",P549="Low",Q549="Good"),"BUY / PRIORITIZE",IF(AND(O549="High",P549="High",OR(Q549="Poor",M549=TRUE())),"HOLD / REVIEW","MONITOR"))</f>
        <v>MONITOR</v>
      </c>
      <c r="S549" s="11" t="n">
        <f aca="false">K549+(ROW()/10000000)</f>
        <v>35.0000549</v>
      </c>
    </row>
    <row r="550" customFormat="false" ht="15" hidden="false" customHeight="false" outlineLevel="0" collapsed="false">
      <c r="A550" s="11" t="s">
        <v>767</v>
      </c>
      <c r="B550" s="11" t="s">
        <v>27</v>
      </c>
      <c r="C550" s="11" t="s">
        <v>72</v>
      </c>
      <c r="D550" s="11" t="s">
        <v>36</v>
      </c>
      <c r="E550" s="11" t="s">
        <v>113</v>
      </c>
      <c r="F550" s="11" t="s">
        <v>111</v>
      </c>
      <c r="G550" s="21" t="n">
        <v>121.3</v>
      </c>
      <c r="H550" s="19" t="n">
        <v>0</v>
      </c>
      <c r="I550" s="21" t="n">
        <v>121.3</v>
      </c>
      <c r="J550" s="22" t="s">
        <v>80</v>
      </c>
      <c r="K550" s="11" t="n">
        <v>33</v>
      </c>
      <c r="L550" s="23" t="n">
        <v>2.3</v>
      </c>
      <c r="M550" s="24" t="b">
        <f aca="false">FALSE()</f>
        <v>0</v>
      </c>
      <c r="N550" s="11"/>
      <c r="O550" s="11" t="str">
        <f aca="false">IF(K550&lt;=StockP33,"Low",IF(K550&lt;=StockP67,"Moderate","High"))</f>
        <v>Moderate</v>
      </c>
      <c r="P550" s="11" t="str">
        <f aca="false">IF(H550=0,"Low",IF(H550&lt;=MarkdownP75,"Moderate","High"))</f>
        <v>Low</v>
      </c>
      <c r="Q550" s="11" t="str">
        <f aca="false">IF(ISBLANK(L550),"Unknown",IF(L550&gt;=4,"Good",IF(L550&lt;=2,"Poor","Neutral")))</f>
        <v>Neutral</v>
      </c>
      <c r="R550" s="11" t="str">
        <f aca="false">IF(AND(O550="Low",P550="Low",Q550="Good"),"BUY / PRIORITIZE",IF(AND(O550="High",P550="High",OR(Q550="Poor",M550=TRUE())),"HOLD / REVIEW","MONITOR"))</f>
        <v>MONITOR</v>
      </c>
      <c r="S550" s="11" t="n">
        <f aca="false">K550+(ROW()/10000000)</f>
        <v>33.000055</v>
      </c>
    </row>
    <row r="551" customFormat="false" ht="15" hidden="false" customHeight="false" outlineLevel="0" collapsed="false">
      <c r="A551" s="11" t="s">
        <v>768</v>
      </c>
      <c r="B551" s="11" t="s">
        <v>26</v>
      </c>
      <c r="C551" s="11" t="s">
        <v>116</v>
      </c>
      <c r="D551" s="11" t="s">
        <v>36</v>
      </c>
      <c r="E551" s="11"/>
      <c r="F551" s="11" t="s">
        <v>82</v>
      </c>
      <c r="G551" s="21" t="n">
        <v>101.98</v>
      </c>
      <c r="H551" s="19" t="n">
        <v>28.4</v>
      </c>
      <c r="I551" s="21" t="n">
        <v>73.02</v>
      </c>
      <c r="J551" s="22" t="s">
        <v>80</v>
      </c>
      <c r="K551" s="11" t="n">
        <v>40</v>
      </c>
      <c r="L551" s="23" t="n">
        <v>4.5</v>
      </c>
      <c r="M551" s="24" t="b">
        <f aca="false">FALSE()</f>
        <v>0</v>
      </c>
      <c r="N551" s="11"/>
      <c r="O551" s="11" t="str">
        <f aca="false">IF(K551&lt;=StockP33,"Low",IF(K551&lt;=StockP67,"Moderate","High"))</f>
        <v>High</v>
      </c>
      <c r="P551" s="11" t="str">
        <f aca="false">IF(H551=0,"Low",IF(H551&lt;=MarkdownP75,"Moderate","High"))</f>
        <v>High</v>
      </c>
      <c r="Q551" s="11" t="str">
        <f aca="false">IF(ISBLANK(L551),"Unknown",IF(L551&gt;=4,"Good",IF(L551&lt;=2,"Poor","Neutral")))</f>
        <v>Good</v>
      </c>
      <c r="R551" s="11" t="str">
        <f aca="false">IF(AND(O551="Low",P551="Low",Q551="Good"),"BUY / PRIORITIZE",IF(AND(O551="High",P551="High",OR(Q551="Poor",M551=TRUE())),"HOLD / REVIEW","MONITOR"))</f>
        <v>MONITOR</v>
      </c>
      <c r="S551" s="11" t="n">
        <f aca="false">K551+(ROW()/10000000)</f>
        <v>40.0000551</v>
      </c>
    </row>
    <row r="552" customFormat="false" ht="15" hidden="false" customHeight="false" outlineLevel="0" collapsed="false">
      <c r="A552" s="11" t="s">
        <v>769</v>
      </c>
      <c r="B552" s="11" t="s">
        <v>26</v>
      </c>
      <c r="C552" s="11" t="s">
        <v>86</v>
      </c>
      <c r="D552" s="11" t="s">
        <v>34</v>
      </c>
      <c r="E552" s="11" t="s">
        <v>78</v>
      </c>
      <c r="F552" s="11" t="s">
        <v>74</v>
      </c>
      <c r="G552" s="21" t="n">
        <v>89.99</v>
      </c>
      <c r="H552" s="19" t="n">
        <v>0</v>
      </c>
      <c r="I552" s="21" t="n">
        <v>89.99</v>
      </c>
      <c r="J552" s="22" t="s">
        <v>770</v>
      </c>
      <c r="K552" s="11" t="n">
        <v>26</v>
      </c>
      <c r="L552" s="23" t="n">
        <v>4.1</v>
      </c>
      <c r="M552" s="24" t="b">
        <f aca="false">FALSE()</f>
        <v>0</v>
      </c>
      <c r="N552" s="11"/>
      <c r="O552" s="11" t="str">
        <f aca="false">IF(K552&lt;=StockP33,"Low",IF(K552&lt;=StockP67,"Moderate","High"))</f>
        <v>Moderate</v>
      </c>
      <c r="P552" s="11" t="str">
        <f aca="false">IF(H552=0,"Low",IF(H552&lt;=MarkdownP75,"Moderate","High"))</f>
        <v>Low</v>
      </c>
      <c r="Q552" s="11" t="str">
        <f aca="false">IF(ISBLANK(L552),"Unknown",IF(L552&gt;=4,"Good",IF(L552&lt;=2,"Poor","Neutral")))</f>
        <v>Good</v>
      </c>
      <c r="R552" s="11" t="str">
        <f aca="false">IF(AND(O552="Low",P552="Low",Q552="Good"),"BUY / PRIORITIZE",IF(AND(O552="High",P552="High",OR(Q552="Poor",M552=TRUE())),"HOLD / REVIEW","MONITOR"))</f>
        <v>MONITOR</v>
      </c>
      <c r="S552" s="11" t="n">
        <f aca="false">K552+(ROW()/10000000)</f>
        <v>26.0000552</v>
      </c>
    </row>
    <row r="553" customFormat="false" ht="15" hidden="false" customHeight="false" outlineLevel="0" collapsed="false">
      <c r="A553" s="11" t="s">
        <v>771</v>
      </c>
      <c r="B553" s="11" t="s">
        <v>29</v>
      </c>
      <c r="C553" s="11" t="s">
        <v>130</v>
      </c>
      <c r="D553" s="11" t="s">
        <v>35</v>
      </c>
      <c r="E553" s="11" t="s">
        <v>102</v>
      </c>
      <c r="F553" s="11" t="s">
        <v>98</v>
      </c>
      <c r="G553" s="21" t="n">
        <v>64.31</v>
      </c>
      <c r="H553" s="19" t="n">
        <v>34.5</v>
      </c>
      <c r="I553" s="21" t="n">
        <v>42.12</v>
      </c>
      <c r="J553" s="22" t="s">
        <v>80</v>
      </c>
      <c r="K553" s="11" t="n">
        <v>48</v>
      </c>
      <c r="L553" s="23" t="n">
        <v>4.5</v>
      </c>
      <c r="M553" s="24" t="b">
        <f aca="false">FALSE()</f>
        <v>0</v>
      </c>
      <c r="N553" s="11"/>
      <c r="O553" s="11" t="str">
        <f aca="false">IF(K553&lt;=StockP33,"Low",IF(K553&lt;=StockP67,"Moderate","High"))</f>
        <v>High</v>
      </c>
      <c r="P553" s="11" t="str">
        <f aca="false">IF(H553=0,"Low",IF(H553&lt;=MarkdownP75,"Moderate","High"))</f>
        <v>High</v>
      </c>
      <c r="Q553" s="11" t="str">
        <f aca="false">IF(ISBLANK(L553),"Unknown",IF(L553&gt;=4,"Good",IF(L553&lt;=2,"Poor","Neutral")))</f>
        <v>Good</v>
      </c>
      <c r="R553" s="11" t="str">
        <f aca="false">IF(AND(O553="Low",P553="Low",Q553="Good"),"BUY / PRIORITIZE",IF(AND(O553="High",P553="High",OR(Q553="Poor",M553=TRUE())),"HOLD / REVIEW","MONITOR"))</f>
        <v>MONITOR</v>
      </c>
      <c r="S553" s="11" t="n">
        <f aca="false">K553+(ROW()/10000000)</f>
        <v>48.0000553</v>
      </c>
    </row>
    <row r="554" customFormat="false" ht="15" hidden="false" customHeight="false" outlineLevel="0" collapsed="false">
      <c r="A554" s="11" t="s">
        <v>772</v>
      </c>
      <c r="B554" s="11" t="s">
        <v>27</v>
      </c>
      <c r="C554" s="11" t="s">
        <v>72</v>
      </c>
      <c r="D554" s="11" t="s">
        <v>34</v>
      </c>
      <c r="E554" s="11" t="s">
        <v>78</v>
      </c>
      <c r="F554" s="11" t="s">
        <v>111</v>
      </c>
      <c r="G554" s="21" t="n">
        <v>168.92</v>
      </c>
      <c r="H554" s="19" t="n">
        <v>0</v>
      </c>
      <c r="I554" s="21" t="n">
        <v>168.92</v>
      </c>
      <c r="J554" s="22" t="s">
        <v>396</v>
      </c>
      <c r="K554" s="11" t="n">
        <v>11</v>
      </c>
      <c r="L554" s="23" t="n">
        <v>4.4</v>
      </c>
      <c r="M554" s="24" t="b">
        <f aca="false">FALSE()</f>
        <v>0</v>
      </c>
      <c r="N554" s="11"/>
      <c r="O554" s="11" t="str">
        <f aca="false">IF(K554&lt;=StockP33,"Low",IF(K554&lt;=StockP67,"Moderate","High"))</f>
        <v>Low</v>
      </c>
      <c r="P554" s="11" t="str">
        <f aca="false">IF(H554=0,"Low",IF(H554&lt;=MarkdownP75,"Moderate","High"))</f>
        <v>Low</v>
      </c>
      <c r="Q554" s="11" t="str">
        <f aca="false">IF(ISBLANK(L554),"Unknown",IF(L554&gt;=4,"Good",IF(L554&lt;=2,"Poor","Neutral")))</f>
        <v>Good</v>
      </c>
      <c r="R554" s="11" t="str">
        <f aca="false">IF(AND(O554="Low",P554="Low",Q554="Good"),"BUY / PRIORITIZE",IF(AND(O554="High",P554="High",OR(Q554="Poor",M554=TRUE())),"HOLD / REVIEW","MONITOR"))</f>
        <v>BUY / PRIORITIZE</v>
      </c>
      <c r="S554" s="11" t="n">
        <f aca="false">K554+(ROW()/10000000)</f>
        <v>11.0000554</v>
      </c>
    </row>
    <row r="555" customFormat="false" ht="15" hidden="false" customHeight="false" outlineLevel="0" collapsed="false">
      <c r="A555" s="11" t="s">
        <v>773</v>
      </c>
      <c r="B555" s="11" t="s">
        <v>26</v>
      </c>
      <c r="C555" s="11" t="s">
        <v>116</v>
      </c>
      <c r="D555" s="11" t="s">
        <v>35</v>
      </c>
      <c r="E555" s="11" t="s">
        <v>73</v>
      </c>
      <c r="F555" s="11" t="s">
        <v>118</v>
      </c>
      <c r="G555" s="21" t="n">
        <v>86.46</v>
      </c>
      <c r="H555" s="19" t="n">
        <v>49.5</v>
      </c>
      <c r="I555" s="21" t="n">
        <v>43.66</v>
      </c>
      <c r="J555" s="22" t="s">
        <v>80</v>
      </c>
      <c r="K555" s="11" t="n">
        <v>19</v>
      </c>
      <c r="L555" s="23" t="n">
        <v>4.3</v>
      </c>
      <c r="M555" s="24" t="b">
        <f aca="false">FALSE()</f>
        <v>0</v>
      </c>
      <c r="N555" s="11"/>
      <c r="O555" s="11" t="str">
        <f aca="false">IF(K555&lt;=StockP33,"Low",IF(K555&lt;=StockP67,"Moderate","High"))</f>
        <v>Moderate</v>
      </c>
      <c r="P555" s="11" t="str">
        <f aca="false">IF(H555=0,"Low",IF(H555&lt;=MarkdownP75,"Moderate","High"))</f>
        <v>High</v>
      </c>
      <c r="Q555" s="11" t="str">
        <f aca="false">IF(ISBLANK(L555),"Unknown",IF(L555&gt;=4,"Good",IF(L555&lt;=2,"Poor","Neutral")))</f>
        <v>Good</v>
      </c>
      <c r="R555" s="11" t="str">
        <f aca="false">IF(AND(O555="Low",P555="Low",Q555="Good"),"BUY / PRIORITIZE",IF(AND(O555="High",P555="High",OR(Q555="Poor",M555=TRUE())),"HOLD / REVIEW","MONITOR"))</f>
        <v>MONITOR</v>
      </c>
      <c r="S555" s="11" t="n">
        <f aca="false">K555+(ROW()/10000000)</f>
        <v>19.0000555</v>
      </c>
    </row>
    <row r="556" customFormat="false" ht="15" hidden="false" customHeight="false" outlineLevel="0" collapsed="false">
      <c r="A556" s="11" t="s">
        <v>774</v>
      </c>
      <c r="B556" s="11" t="s">
        <v>30</v>
      </c>
      <c r="C556" s="11" t="s">
        <v>130</v>
      </c>
      <c r="D556" s="11" t="s">
        <v>37</v>
      </c>
      <c r="E556" s="11" t="s">
        <v>110</v>
      </c>
      <c r="F556" s="11" t="s">
        <v>74</v>
      </c>
      <c r="G556" s="21" t="n">
        <v>36.84</v>
      </c>
      <c r="H556" s="19" t="n">
        <v>18.9</v>
      </c>
      <c r="I556" s="21" t="n">
        <v>29.88</v>
      </c>
      <c r="J556" s="22" t="s">
        <v>80</v>
      </c>
      <c r="K556" s="11" t="n">
        <v>39</v>
      </c>
      <c r="L556" s="23" t="n">
        <v>1.2</v>
      </c>
      <c r="M556" s="24" t="b">
        <f aca="false">FALSE()</f>
        <v>0</v>
      </c>
      <c r="N556" s="11"/>
      <c r="O556" s="11" t="str">
        <f aca="false">IF(K556&lt;=StockP33,"Low",IF(K556&lt;=StockP67,"Moderate","High"))</f>
        <v>High</v>
      </c>
      <c r="P556" s="11" t="str">
        <f aca="false">IF(H556=0,"Low",IF(H556&lt;=MarkdownP75,"Moderate","High"))</f>
        <v>Moderate</v>
      </c>
      <c r="Q556" s="11" t="str">
        <f aca="false">IF(ISBLANK(L556),"Unknown",IF(L556&gt;=4,"Good",IF(L556&lt;=2,"Poor","Neutral")))</f>
        <v>Poor</v>
      </c>
      <c r="R556" s="11" t="str">
        <f aca="false">IF(AND(O556="Low",P556="Low",Q556="Good"),"BUY / PRIORITIZE",IF(AND(O556="High",P556="High",OR(Q556="Poor",M556=TRUE())),"HOLD / REVIEW","MONITOR"))</f>
        <v>MONITOR</v>
      </c>
      <c r="S556" s="11" t="n">
        <f aca="false">K556+(ROW()/10000000)</f>
        <v>39.0000556</v>
      </c>
    </row>
    <row r="557" customFormat="false" ht="15" hidden="false" customHeight="false" outlineLevel="0" collapsed="false">
      <c r="A557" s="11" t="s">
        <v>775</v>
      </c>
      <c r="B557" s="11" t="s">
        <v>30</v>
      </c>
      <c r="C557" s="11" t="s">
        <v>107</v>
      </c>
      <c r="D557" s="11" t="s">
        <v>34</v>
      </c>
      <c r="E557" s="11" t="s">
        <v>110</v>
      </c>
      <c r="F557" s="11" t="s">
        <v>79</v>
      </c>
      <c r="G557" s="21" t="n">
        <v>38.5</v>
      </c>
      <c r="H557" s="19" t="n">
        <v>0</v>
      </c>
      <c r="I557" s="21" t="n">
        <v>38.5</v>
      </c>
      <c r="J557" s="22" t="s">
        <v>776</v>
      </c>
      <c r="K557" s="11" t="n">
        <v>2</v>
      </c>
      <c r="L557" s="23" t="n">
        <v>3.2</v>
      </c>
      <c r="M557" s="24" t="b">
        <f aca="false">FALSE()</f>
        <v>0</v>
      </c>
      <c r="N557" s="11"/>
      <c r="O557" s="11" t="str">
        <f aca="false">IF(K557&lt;=StockP33,"Low",IF(K557&lt;=StockP67,"Moderate","High"))</f>
        <v>Low</v>
      </c>
      <c r="P557" s="11" t="str">
        <f aca="false">IF(H557=0,"Low",IF(H557&lt;=MarkdownP75,"Moderate","High"))</f>
        <v>Low</v>
      </c>
      <c r="Q557" s="11" t="str">
        <f aca="false">IF(ISBLANK(L557),"Unknown",IF(L557&gt;=4,"Good",IF(L557&lt;=2,"Poor","Neutral")))</f>
        <v>Neutral</v>
      </c>
      <c r="R557" s="11" t="str">
        <f aca="false">IF(AND(O557="Low",P557="Low",Q557="Good"),"BUY / PRIORITIZE",IF(AND(O557="High",P557="High",OR(Q557="Poor",M557=TRUE())),"HOLD / REVIEW","MONITOR"))</f>
        <v>MONITOR</v>
      </c>
      <c r="S557" s="11" t="n">
        <f aca="false">K557+(ROW()/10000000)</f>
        <v>2.0000557</v>
      </c>
    </row>
    <row r="558" customFormat="false" ht="15" hidden="false" customHeight="false" outlineLevel="0" collapsed="false">
      <c r="A558" s="11" t="s">
        <v>777</v>
      </c>
      <c r="B558" s="11" t="s">
        <v>26</v>
      </c>
      <c r="C558" s="11" t="s">
        <v>95</v>
      </c>
      <c r="D558" s="11" t="s">
        <v>37</v>
      </c>
      <c r="E558" s="11"/>
      <c r="F558" s="11" t="s">
        <v>111</v>
      </c>
      <c r="G558" s="21" t="n">
        <v>68.02</v>
      </c>
      <c r="H558" s="19" t="n">
        <v>37.7</v>
      </c>
      <c r="I558" s="21" t="n">
        <v>42.38</v>
      </c>
      <c r="J558" s="22" t="s">
        <v>80</v>
      </c>
      <c r="K558" s="11" t="n">
        <v>40</v>
      </c>
      <c r="L558" s="23" t="n">
        <v>2.1</v>
      </c>
      <c r="M558" s="24" t="b">
        <f aca="false">FALSE()</f>
        <v>0</v>
      </c>
      <c r="N558" s="11"/>
      <c r="O558" s="11" t="str">
        <f aca="false">IF(K558&lt;=StockP33,"Low",IF(K558&lt;=StockP67,"Moderate","High"))</f>
        <v>High</v>
      </c>
      <c r="P558" s="11" t="str">
        <f aca="false">IF(H558=0,"Low",IF(H558&lt;=MarkdownP75,"Moderate","High"))</f>
        <v>High</v>
      </c>
      <c r="Q558" s="11" t="str">
        <f aca="false">IF(ISBLANK(L558),"Unknown",IF(L558&gt;=4,"Good",IF(L558&lt;=2,"Poor","Neutral")))</f>
        <v>Neutral</v>
      </c>
      <c r="R558" s="11" t="str">
        <f aca="false">IF(AND(O558="Low",P558="Low",Q558="Good"),"BUY / PRIORITIZE",IF(AND(O558="High",P558="High",OR(Q558="Poor",M558=TRUE())),"HOLD / REVIEW","MONITOR"))</f>
        <v>MONITOR</v>
      </c>
      <c r="S558" s="11" t="n">
        <f aca="false">K558+(ROW()/10000000)</f>
        <v>40.0000558</v>
      </c>
    </row>
    <row r="559" customFormat="false" ht="15" hidden="false" customHeight="false" outlineLevel="0" collapsed="false">
      <c r="A559" s="11" t="s">
        <v>778</v>
      </c>
      <c r="B559" s="11" t="s">
        <v>27</v>
      </c>
      <c r="C559" s="11" t="s">
        <v>77</v>
      </c>
      <c r="D559" s="11" t="s">
        <v>36</v>
      </c>
      <c r="E559" s="11" t="s">
        <v>113</v>
      </c>
      <c r="F559" s="11" t="s">
        <v>124</v>
      </c>
      <c r="G559" s="21" t="n">
        <v>117.23</v>
      </c>
      <c r="H559" s="19" t="n">
        <v>0</v>
      </c>
      <c r="I559" s="21" t="n">
        <v>117.23</v>
      </c>
      <c r="J559" s="22" t="s">
        <v>80</v>
      </c>
      <c r="K559" s="11" t="n">
        <v>30</v>
      </c>
      <c r="L559" s="23"/>
      <c r="M559" s="24" t="b">
        <f aca="false">TRUE()</f>
        <v>1</v>
      </c>
      <c r="N559" s="11" t="s">
        <v>178</v>
      </c>
      <c r="O559" s="11" t="str">
        <f aca="false">IF(K559&lt;=StockP33,"Low",IF(K559&lt;=StockP67,"Moderate","High"))</f>
        <v>Moderate</v>
      </c>
      <c r="P559" s="11" t="str">
        <f aca="false">IF(H559=0,"Low",IF(H559&lt;=MarkdownP75,"Moderate","High"))</f>
        <v>Low</v>
      </c>
      <c r="Q559" s="11" t="str">
        <f aca="false">IF(ISBLANK(L559),"Unknown",IF(L559&gt;=4,"Good",IF(L559&lt;=2,"Poor","Neutral")))</f>
        <v>Unknown</v>
      </c>
      <c r="R559" s="11" t="str">
        <f aca="false">IF(AND(O559="Low",P559="Low",Q559="Good"),"BUY / PRIORITIZE",IF(AND(O559="High",P559="High",OR(Q559="Poor",M559=TRUE())),"HOLD / REVIEW","MONITOR"))</f>
        <v>MONITOR</v>
      </c>
      <c r="S559" s="11" t="n">
        <f aca="false">K559+(ROW()/10000000)</f>
        <v>30.0000559</v>
      </c>
    </row>
    <row r="560" customFormat="false" ht="15" hidden="false" customHeight="false" outlineLevel="0" collapsed="false">
      <c r="A560" s="11" t="s">
        <v>779</v>
      </c>
      <c r="B560" s="11" t="s">
        <v>30</v>
      </c>
      <c r="C560" s="11" t="s">
        <v>107</v>
      </c>
      <c r="D560" s="11" t="s">
        <v>34</v>
      </c>
      <c r="E560" s="11" t="s">
        <v>91</v>
      </c>
      <c r="F560" s="11" t="s">
        <v>118</v>
      </c>
      <c r="G560" s="21" t="n">
        <v>79.33</v>
      </c>
      <c r="H560" s="19" t="n">
        <v>0</v>
      </c>
      <c r="I560" s="21" t="n">
        <v>79.33</v>
      </c>
      <c r="J560" s="22" t="s">
        <v>383</v>
      </c>
      <c r="K560" s="11" t="n">
        <v>10</v>
      </c>
      <c r="L560" s="23" t="n">
        <v>3.4</v>
      </c>
      <c r="M560" s="24" t="b">
        <f aca="false">TRUE()</f>
        <v>1</v>
      </c>
      <c r="N560" s="11" t="s">
        <v>178</v>
      </c>
      <c r="O560" s="11" t="str">
        <f aca="false">IF(K560&lt;=StockP33,"Low",IF(K560&lt;=StockP67,"Moderate","High"))</f>
        <v>Low</v>
      </c>
      <c r="P560" s="11" t="str">
        <f aca="false">IF(H560=0,"Low",IF(H560&lt;=MarkdownP75,"Moderate","High"))</f>
        <v>Low</v>
      </c>
      <c r="Q560" s="11" t="str">
        <f aca="false">IF(ISBLANK(L560),"Unknown",IF(L560&gt;=4,"Good",IF(L560&lt;=2,"Poor","Neutral")))</f>
        <v>Neutral</v>
      </c>
      <c r="R560" s="11" t="str">
        <f aca="false">IF(AND(O560="Low",P560="Low",Q560="Good"),"BUY / PRIORITIZE",IF(AND(O560="High",P560="High",OR(Q560="Poor",M560=TRUE())),"HOLD / REVIEW","MONITOR"))</f>
        <v>MONITOR</v>
      </c>
      <c r="S560" s="11" t="n">
        <f aca="false">K560+(ROW()/10000000)</f>
        <v>10.000056</v>
      </c>
    </row>
    <row r="561" customFormat="false" ht="15" hidden="false" customHeight="false" outlineLevel="0" collapsed="false">
      <c r="A561" s="11" t="s">
        <v>780</v>
      </c>
      <c r="B561" s="11" t="s">
        <v>26</v>
      </c>
      <c r="C561" s="11" t="s">
        <v>95</v>
      </c>
      <c r="D561" s="11" t="s">
        <v>35</v>
      </c>
      <c r="E561" s="11" t="s">
        <v>78</v>
      </c>
      <c r="F561" s="11" t="s">
        <v>98</v>
      </c>
      <c r="G561" s="21" t="n">
        <v>75.82</v>
      </c>
      <c r="H561" s="19" t="n">
        <v>42.7</v>
      </c>
      <c r="I561" s="21" t="n">
        <v>43.44</v>
      </c>
      <c r="J561" s="22" t="s">
        <v>80</v>
      </c>
      <c r="K561" s="11" t="n">
        <v>11</v>
      </c>
      <c r="L561" s="23" t="n">
        <v>2</v>
      </c>
      <c r="M561" s="24" t="b">
        <f aca="false">FALSE()</f>
        <v>0</v>
      </c>
      <c r="N561" s="11"/>
      <c r="O561" s="11" t="str">
        <f aca="false">IF(K561&lt;=StockP33,"Low",IF(K561&lt;=StockP67,"Moderate","High"))</f>
        <v>Low</v>
      </c>
      <c r="P561" s="11" t="str">
        <f aca="false">IF(H561=0,"Low",IF(H561&lt;=MarkdownP75,"Moderate","High"))</f>
        <v>High</v>
      </c>
      <c r="Q561" s="11" t="str">
        <f aca="false">IF(ISBLANK(L561),"Unknown",IF(L561&gt;=4,"Good",IF(L561&lt;=2,"Poor","Neutral")))</f>
        <v>Poor</v>
      </c>
      <c r="R561" s="11" t="str">
        <f aca="false">IF(AND(O561="Low",P561="Low",Q561="Good"),"BUY / PRIORITIZE",IF(AND(O561="High",P561="High",OR(Q561="Poor",M561=TRUE())),"HOLD / REVIEW","MONITOR"))</f>
        <v>MONITOR</v>
      </c>
      <c r="S561" s="11" t="n">
        <f aca="false">K561+(ROW()/10000000)</f>
        <v>11.0000561</v>
      </c>
    </row>
    <row r="562" customFormat="false" ht="15" hidden="false" customHeight="false" outlineLevel="0" collapsed="false">
      <c r="A562" s="11" t="s">
        <v>781</v>
      </c>
      <c r="B562" s="11" t="s">
        <v>27</v>
      </c>
      <c r="C562" s="11" t="s">
        <v>107</v>
      </c>
      <c r="D562" s="11" t="s">
        <v>34</v>
      </c>
      <c r="E562" s="11" t="s">
        <v>113</v>
      </c>
      <c r="F562" s="11" t="s">
        <v>88</v>
      </c>
      <c r="G562" s="21" t="n">
        <v>141.42</v>
      </c>
      <c r="H562" s="19" t="n">
        <v>0</v>
      </c>
      <c r="I562" s="21" t="n">
        <v>141.42</v>
      </c>
      <c r="J562" s="22" t="s">
        <v>782</v>
      </c>
      <c r="K562" s="11" t="n">
        <v>10</v>
      </c>
      <c r="L562" s="23" t="n">
        <v>2.5</v>
      </c>
      <c r="M562" s="24" t="b">
        <f aca="false">FALSE()</f>
        <v>0</v>
      </c>
      <c r="N562" s="11"/>
      <c r="O562" s="11" t="str">
        <f aca="false">IF(K562&lt;=StockP33,"Low",IF(K562&lt;=StockP67,"Moderate","High"))</f>
        <v>Low</v>
      </c>
      <c r="P562" s="11" t="str">
        <f aca="false">IF(H562=0,"Low",IF(H562&lt;=MarkdownP75,"Moderate","High"))</f>
        <v>Low</v>
      </c>
      <c r="Q562" s="11" t="str">
        <f aca="false">IF(ISBLANK(L562),"Unknown",IF(L562&gt;=4,"Good",IF(L562&lt;=2,"Poor","Neutral")))</f>
        <v>Neutral</v>
      </c>
      <c r="R562" s="11" t="str">
        <f aca="false">IF(AND(O562="Low",P562="Low",Q562="Good"),"BUY / PRIORITIZE",IF(AND(O562="High",P562="High",OR(Q562="Poor",M562=TRUE())),"HOLD / REVIEW","MONITOR"))</f>
        <v>MONITOR</v>
      </c>
      <c r="S562" s="11" t="n">
        <f aca="false">K562+(ROW()/10000000)</f>
        <v>10.0000562</v>
      </c>
    </row>
    <row r="563" customFormat="false" ht="15" hidden="false" customHeight="false" outlineLevel="0" collapsed="false">
      <c r="A563" s="11" t="s">
        <v>783</v>
      </c>
      <c r="B563" s="11" t="s">
        <v>29</v>
      </c>
      <c r="C563" s="11" t="s">
        <v>77</v>
      </c>
      <c r="D563" s="11" t="s">
        <v>34</v>
      </c>
      <c r="E563" s="11" t="s">
        <v>78</v>
      </c>
      <c r="F563" s="11" t="s">
        <v>82</v>
      </c>
      <c r="G563" s="21" t="n">
        <v>124.2</v>
      </c>
      <c r="H563" s="19" t="n">
        <v>0</v>
      </c>
      <c r="I563" s="21" t="n">
        <v>124.2</v>
      </c>
      <c r="J563" s="22" t="s">
        <v>327</v>
      </c>
      <c r="K563" s="11" t="n">
        <v>24</v>
      </c>
      <c r="L563" s="23" t="n">
        <v>1</v>
      </c>
      <c r="M563" s="24" t="b">
        <f aca="false">FALSE()</f>
        <v>0</v>
      </c>
      <c r="N563" s="11"/>
      <c r="O563" s="11" t="str">
        <f aca="false">IF(K563&lt;=StockP33,"Low",IF(K563&lt;=StockP67,"Moderate","High"))</f>
        <v>Moderate</v>
      </c>
      <c r="P563" s="11" t="str">
        <f aca="false">IF(H563=0,"Low",IF(H563&lt;=MarkdownP75,"Moderate","High"))</f>
        <v>Low</v>
      </c>
      <c r="Q563" s="11" t="str">
        <f aca="false">IF(ISBLANK(L563),"Unknown",IF(L563&gt;=4,"Good",IF(L563&lt;=2,"Poor","Neutral")))</f>
        <v>Poor</v>
      </c>
      <c r="R563" s="11" t="str">
        <f aca="false">IF(AND(O563="Low",P563="Low",Q563="Good"),"BUY / PRIORITIZE",IF(AND(O563="High",P563="High",OR(Q563="Poor",M563=TRUE())),"HOLD / REVIEW","MONITOR"))</f>
        <v>MONITOR</v>
      </c>
      <c r="S563" s="11" t="n">
        <f aca="false">K563+(ROW()/10000000)</f>
        <v>24.0000563</v>
      </c>
    </row>
    <row r="564" customFormat="false" ht="15" hidden="false" customHeight="false" outlineLevel="0" collapsed="false">
      <c r="A564" s="11" t="s">
        <v>784</v>
      </c>
      <c r="B564" s="11" t="s">
        <v>26</v>
      </c>
      <c r="C564" s="11" t="s">
        <v>130</v>
      </c>
      <c r="D564" s="11" t="s">
        <v>37</v>
      </c>
      <c r="E564" s="11" t="s">
        <v>78</v>
      </c>
      <c r="F564" s="11" t="s">
        <v>118</v>
      </c>
      <c r="G564" s="21" t="n">
        <v>48.42</v>
      </c>
      <c r="H564" s="19" t="n">
        <v>0</v>
      </c>
      <c r="I564" s="21" t="n">
        <v>48.42</v>
      </c>
      <c r="J564" s="22" t="s">
        <v>80</v>
      </c>
      <c r="K564" s="11" t="n">
        <v>6</v>
      </c>
      <c r="L564" s="23" t="n">
        <v>4.3</v>
      </c>
      <c r="M564" s="24" t="b">
        <f aca="false">FALSE()</f>
        <v>0</v>
      </c>
      <c r="N564" s="11"/>
      <c r="O564" s="11" t="str">
        <f aca="false">IF(K564&lt;=StockP33,"Low",IF(K564&lt;=StockP67,"Moderate","High"))</f>
        <v>Low</v>
      </c>
      <c r="P564" s="11" t="str">
        <f aca="false">IF(H564=0,"Low",IF(H564&lt;=MarkdownP75,"Moderate","High"))</f>
        <v>Low</v>
      </c>
      <c r="Q564" s="11" t="str">
        <f aca="false">IF(ISBLANK(L564),"Unknown",IF(L564&gt;=4,"Good",IF(L564&lt;=2,"Poor","Neutral")))</f>
        <v>Good</v>
      </c>
      <c r="R564" s="11" t="str">
        <f aca="false">IF(AND(O564="Low",P564="Low",Q564="Good"),"BUY / PRIORITIZE",IF(AND(O564="High",P564="High",OR(Q564="Poor",M564=TRUE())),"HOLD / REVIEW","MONITOR"))</f>
        <v>BUY / PRIORITIZE</v>
      </c>
      <c r="S564" s="11" t="n">
        <f aca="false">K564+(ROW()/10000000)</f>
        <v>6.0000564</v>
      </c>
    </row>
    <row r="565" customFormat="false" ht="15" hidden="false" customHeight="false" outlineLevel="0" collapsed="false">
      <c r="A565" s="11" t="s">
        <v>785</v>
      </c>
      <c r="B565" s="11" t="s">
        <v>27</v>
      </c>
      <c r="C565" s="11" t="s">
        <v>101</v>
      </c>
      <c r="D565" s="11" t="s">
        <v>36</v>
      </c>
      <c r="E565" s="11" t="s">
        <v>110</v>
      </c>
      <c r="F565" s="11" t="s">
        <v>92</v>
      </c>
      <c r="G565" s="21" t="n">
        <v>119.4</v>
      </c>
      <c r="H565" s="19" t="n">
        <v>0</v>
      </c>
      <c r="I565" s="21" t="n">
        <v>119.4</v>
      </c>
      <c r="J565" s="22" t="s">
        <v>80</v>
      </c>
      <c r="K565" s="11" t="n">
        <v>45</v>
      </c>
      <c r="L565" s="23" t="n">
        <v>4.2</v>
      </c>
      <c r="M565" s="24" t="b">
        <f aca="false">FALSE()</f>
        <v>0</v>
      </c>
      <c r="N565" s="11"/>
      <c r="O565" s="11" t="str">
        <f aca="false">IF(K565&lt;=StockP33,"Low",IF(K565&lt;=StockP67,"Moderate","High"))</f>
        <v>High</v>
      </c>
      <c r="P565" s="11" t="str">
        <f aca="false">IF(H565=0,"Low",IF(H565&lt;=MarkdownP75,"Moderate","High"))</f>
        <v>Low</v>
      </c>
      <c r="Q565" s="11" t="str">
        <f aca="false">IF(ISBLANK(L565),"Unknown",IF(L565&gt;=4,"Good",IF(L565&lt;=2,"Poor","Neutral")))</f>
        <v>Good</v>
      </c>
      <c r="R565" s="11" t="str">
        <f aca="false">IF(AND(O565="Low",P565="Low",Q565="Good"),"BUY / PRIORITIZE",IF(AND(O565="High",P565="High",OR(Q565="Poor",M565=TRUE())),"HOLD / REVIEW","MONITOR"))</f>
        <v>MONITOR</v>
      </c>
      <c r="S565" s="11" t="n">
        <f aca="false">K565+(ROW()/10000000)</f>
        <v>45.0000565</v>
      </c>
    </row>
    <row r="566" customFormat="false" ht="15" hidden="false" customHeight="false" outlineLevel="0" collapsed="false">
      <c r="A566" s="11" t="s">
        <v>786</v>
      </c>
      <c r="B566" s="11" t="s">
        <v>29</v>
      </c>
      <c r="C566" s="11" t="s">
        <v>95</v>
      </c>
      <c r="D566" s="11" t="s">
        <v>35</v>
      </c>
      <c r="E566" s="11" t="s">
        <v>113</v>
      </c>
      <c r="F566" s="11" t="s">
        <v>124</v>
      </c>
      <c r="G566" s="21" t="n">
        <v>186.07</v>
      </c>
      <c r="H566" s="19" t="n">
        <v>0</v>
      </c>
      <c r="I566" s="21" t="n">
        <v>186.07</v>
      </c>
      <c r="J566" s="22" t="s">
        <v>80</v>
      </c>
      <c r="K566" s="11" t="n">
        <v>41</v>
      </c>
      <c r="L566" s="23" t="n">
        <v>2.6</v>
      </c>
      <c r="M566" s="24" t="b">
        <f aca="false">FALSE()</f>
        <v>0</v>
      </c>
      <c r="N566" s="11"/>
      <c r="O566" s="11" t="str">
        <f aca="false">IF(K566&lt;=StockP33,"Low",IF(K566&lt;=StockP67,"Moderate","High"))</f>
        <v>High</v>
      </c>
      <c r="P566" s="11" t="str">
        <f aca="false">IF(H566=0,"Low",IF(H566&lt;=MarkdownP75,"Moderate","High"))</f>
        <v>Low</v>
      </c>
      <c r="Q566" s="11" t="str">
        <f aca="false">IF(ISBLANK(L566),"Unknown",IF(L566&gt;=4,"Good",IF(L566&lt;=2,"Poor","Neutral")))</f>
        <v>Neutral</v>
      </c>
      <c r="R566" s="11" t="str">
        <f aca="false">IF(AND(O566="Low",P566="Low",Q566="Good"),"BUY / PRIORITIZE",IF(AND(O566="High",P566="High",OR(Q566="Poor",M566=TRUE())),"HOLD / REVIEW","MONITOR"))</f>
        <v>MONITOR</v>
      </c>
      <c r="S566" s="11" t="n">
        <f aca="false">K566+(ROW()/10000000)</f>
        <v>41.0000566</v>
      </c>
    </row>
    <row r="567" customFormat="false" ht="15" hidden="false" customHeight="false" outlineLevel="0" collapsed="false">
      <c r="A567" s="11" t="s">
        <v>787</v>
      </c>
      <c r="B567" s="11" t="s">
        <v>29</v>
      </c>
      <c r="C567" s="11" t="s">
        <v>95</v>
      </c>
      <c r="D567" s="11" t="s">
        <v>35</v>
      </c>
      <c r="E567" s="11" t="s">
        <v>73</v>
      </c>
      <c r="F567" s="11" t="s">
        <v>124</v>
      </c>
      <c r="G567" s="21" t="n">
        <v>109.46</v>
      </c>
      <c r="H567" s="19" t="n">
        <v>0</v>
      </c>
      <c r="I567" s="21" t="n">
        <v>109.46</v>
      </c>
      <c r="J567" s="22" t="s">
        <v>80</v>
      </c>
      <c r="K567" s="11" t="n">
        <v>38</v>
      </c>
      <c r="L567" s="23" t="n">
        <v>4.1</v>
      </c>
      <c r="M567" s="24" t="b">
        <f aca="false">FALSE()</f>
        <v>0</v>
      </c>
      <c r="N567" s="11"/>
      <c r="O567" s="11" t="str">
        <f aca="false">IF(K567&lt;=StockP33,"Low",IF(K567&lt;=StockP67,"Moderate","High"))</f>
        <v>High</v>
      </c>
      <c r="P567" s="11" t="str">
        <f aca="false">IF(H567=0,"Low",IF(H567&lt;=MarkdownP75,"Moderate","High"))</f>
        <v>Low</v>
      </c>
      <c r="Q567" s="11" t="str">
        <f aca="false">IF(ISBLANK(L567),"Unknown",IF(L567&gt;=4,"Good",IF(L567&lt;=2,"Poor","Neutral")))</f>
        <v>Good</v>
      </c>
      <c r="R567" s="11" t="str">
        <f aca="false">IF(AND(O567="Low",P567="Low",Q567="Good"),"BUY / PRIORITIZE",IF(AND(O567="High",P567="High",OR(Q567="Poor",M567=TRUE())),"HOLD / REVIEW","MONITOR"))</f>
        <v>MONITOR</v>
      </c>
      <c r="S567" s="11" t="n">
        <f aca="false">K567+(ROW()/10000000)</f>
        <v>38.0000567</v>
      </c>
    </row>
    <row r="568" customFormat="false" ht="15" hidden="false" customHeight="false" outlineLevel="0" collapsed="false">
      <c r="A568" s="11" t="s">
        <v>788</v>
      </c>
      <c r="B568" s="11" t="s">
        <v>27</v>
      </c>
      <c r="C568" s="11" t="s">
        <v>116</v>
      </c>
      <c r="D568" s="11" t="s">
        <v>37</v>
      </c>
      <c r="E568" s="11" t="s">
        <v>91</v>
      </c>
      <c r="F568" s="11" t="s">
        <v>92</v>
      </c>
      <c r="G568" s="21" t="n">
        <v>116.18</v>
      </c>
      <c r="H568" s="19" t="n">
        <v>42.7</v>
      </c>
      <c r="I568" s="21" t="n">
        <v>66.57</v>
      </c>
      <c r="J568" s="22" t="s">
        <v>80</v>
      </c>
      <c r="K568" s="11" t="n">
        <v>3</v>
      </c>
      <c r="L568" s="23" t="n">
        <v>3.5</v>
      </c>
      <c r="M568" s="24" t="b">
        <f aca="false">FALSE()</f>
        <v>0</v>
      </c>
      <c r="N568" s="11"/>
      <c r="O568" s="11" t="str">
        <f aca="false">IF(K568&lt;=StockP33,"Low",IF(K568&lt;=StockP67,"Moderate","High"))</f>
        <v>Low</v>
      </c>
      <c r="P568" s="11" t="str">
        <f aca="false">IF(H568=0,"Low",IF(H568&lt;=MarkdownP75,"Moderate","High"))</f>
        <v>High</v>
      </c>
      <c r="Q568" s="11" t="str">
        <f aca="false">IF(ISBLANK(L568),"Unknown",IF(L568&gt;=4,"Good",IF(L568&lt;=2,"Poor","Neutral")))</f>
        <v>Neutral</v>
      </c>
      <c r="R568" s="11" t="str">
        <f aca="false">IF(AND(O568="Low",P568="Low",Q568="Good"),"BUY / PRIORITIZE",IF(AND(O568="High",P568="High",OR(Q568="Poor",M568=TRUE())),"HOLD / REVIEW","MONITOR"))</f>
        <v>MONITOR</v>
      </c>
      <c r="S568" s="11" t="n">
        <f aca="false">K568+(ROW()/10000000)</f>
        <v>3.0000568</v>
      </c>
    </row>
    <row r="569" customFormat="false" ht="15" hidden="false" customHeight="false" outlineLevel="0" collapsed="false">
      <c r="A569" s="11" t="s">
        <v>789</v>
      </c>
      <c r="B569" s="11" t="s">
        <v>8</v>
      </c>
      <c r="C569" s="11" t="s">
        <v>72</v>
      </c>
      <c r="D569" s="11" t="s">
        <v>37</v>
      </c>
      <c r="E569" s="11"/>
      <c r="F569" s="11" t="s">
        <v>98</v>
      </c>
      <c r="G569" s="21" t="n">
        <v>41.29</v>
      </c>
      <c r="H569" s="19" t="n">
        <v>26.3</v>
      </c>
      <c r="I569" s="21" t="n">
        <v>30.43</v>
      </c>
      <c r="J569" s="22" t="s">
        <v>80</v>
      </c>
      <c r="K569" s="11" t="n">
        <v>5</v>
      </c>
      <c r="L569" s="23" t="n">
        <v>4.7</v>
      </c>
      <c r="M569" s="24" t="b">
        <f aca="false">FALSE()</f>
        <v>0</v>
      </c>
      <c r="N569" s="11"/>
      <c r="O569" s="11" t="str">
        <f aca="false">IF(K569&lt;=StockP33,"Low",IF(K569&lt;=StockP67,"Moderate","High"))</f>
        <v>Low</v>
      </c>
      <c r="P569" s="11" t="str">
        <f aca="false">IF(H569=0,"Low",IF(H569&lt;=MarkdownP75,"Moderate","High"))</f>
        <v>High</v>
      </c>
      <c r="Q569" s="11" t="str">
        <f aca="false">IF(ISBLANK(L569),"Unknown",IF(L569&gt;=4,"Good",IF(L569&lt;=2,"Poor","Neutral")))</f>
        <v>Good</v>
      </c>
      <c r="R569" s="11" t="str">
        <f aca="false">IF(AND(O569="Low",P569="Low",Q569="Good"),"BUY / PRIORITIZE",IF(AND(O569="High",P569="High",OR(Q569="Poor",M569=TRUE())),"HOLD / REVIEW","MONITOR"))</f>
        <v>MONITOR</v>
      </c>
      <c r="S569" s="11" t="n">
        <f aca="false">K569+(ROW()/10000000)</f>
        <v>5.0000569</v>
      </c>
    </row>
    <row r="570" customFormat="false" ht="15" hidden="false" customHeight="false" outlineLevel="0" collapsed="false">
      <c r="A570" s="11" t="s">
        <v>790</v>
      </c>
      <c r="B570" s="11" t="s">
        <v>30</v>
      </c>
      <c r="C570" s="11" t="s">
        <v>77</v>
      </c>
      <c r="D570" s="11" t="s">
        <v>37</v>
      </c>
      <c r="E570" s="11" t="s">
        <v>91</v>
      </c>
      <c r="F570" s="11" t="s">
        <v>98</v>
      </c>
      <c r="G570" s="21" t="n">
        <v>94.68</v>
      </c>
      <c r="H570" s="19" t="n">
        <v>45</v>
      </c>
      <c r="I570" s="21" t="n">
        <v>52.07</v>
      </c>
      <c r="J570" s="22" t="s">
        <v>80</v>
      </c>
      <c r="K570" s="11" t="n">
        <v>47</v>
      </c>
      <c r="L570" s="23" t="n">
        <v>2.6</v>
      </c>
      <c r="M570" s="24" t="b">
        <f aca="false">FALSE()</f>
        <v>0</v>
      </c>
      <c r="N570" s="11"/>
      <c r="O570" s="11" t="str">
        <f aca="false">IF(K570&lt;=StockP33,"Low",IF(K570&lt;=StockP67,"Moderate","High"))</f>
        <v>High</v>
      </c>
      <c r="P570" s="11" t="str">
        <f aca="false">IF(H570=0,"Low",IF(H570&lt;=MarkdownP75,"Moderate","High"))</f>
        <v>High</v>
      </c>
      <c r="Q570" s="11" t="str">
        <f aca="false">IF(ISBLANK(L570),"Unknown",IF(L570&gt;=4,"Good",IF(L570&lt;=2,"Poor","Neutral")))</f>
        <v>Neutral</v>
      </c>
      <c r="R570" s="11" t="str">
        <f aca="false">IF(AND(O570="Low",P570="Low",Q570="Good"),"BUY / PRIORITIZE",IF(AND(O570="High",P570="High",OR(Q570="Poor",M570=TRUE())),"HOLD / REVIEW","MONITOR"))</f>
        <v>MONITOR</v>
      </c>
      <c r="S570" s="11" t="n">
        <f aca="false">K570+(ROW()/10000000)</f>
        <v>47.000057</v>
      </c>
    </row>
    <row r="571" customFormat="false" ht="15" hidden="false" customHeight="false" outlineLevel="0" collapsed="false">
      <c r="A571" s="11" t="s">
        <v>791</v>
      </c>
      <c r="B571" s="11" t="s">
        <v>8</v>
      </c>
      <c r="C571" s="11" t="s">
        <v>72</v>
      </c>
      <c r="D571" s="11" t="s">
        <v>34</v>
      </c>
      <c r="E571" s="11"/>
      <c r="F571" s="11" t="s">
        <v>88</v>
      </c>
      <c r="G571" s="21" t="n">
        <v>48.55</v>
      </c>
      <c r="H571" s="19" t="n">
        <v>32.7</v>
      </c>
      <c r="I571" s="21" t="n">
        <v>32.67</v>
      </c>
      <c r="J571" s="22" t="s">
        <v>281</v>
      </c>
      <c r="K571" s="11" t="n">
        <v>39</v>
      </c>
      <c r="L571" s="23" t="n">
        <v>2.8</v>
      </c>
      <c r="M571" s="24" t="b">
        <f aca="false">FALSE()</f>
        <v>0</v>
      </c>
      <c r="N571" s="11"/>
      <c r="O571" s="11" t="str">
        <f aca="false">IF(K571&lt;=StockP33,"Low",IF(K571&lt;=StockP67,"Moderate","High"))</f>
        <v>High</v>
      </c>
      <c r="P571" s="11" t="str">
        <f aca="false">IF(H571=0,"Low",IF(H571&lt;=MarkdownP75,"Moderate","High"))</f>
        <v>High</v>
      </c>
      <c r="Q571" s="11" t="str">
        <f aca="false">IF(ISBLANK(L571),"Unknown",IF(L571&gt;=4,"Good",IF(L571&lt;=2,"Poor","Neutral")))</f>
        <v>Neutral</v>
      </c>
      <c r="R571" s="11" t="str">
        <f aca="false">IF(AND(O571="Low",P571="Low",Q571="Good"),"BUY / PRIORITIZE",IF(AND(O571="High",P571="High",OR(Q571="Poor",M571=TRUE())),"HOLD / REVIEW","MONITOR"))</f>
        <v>MONITOR</v>
      </c>
      <c r="S571" s="11" t="n">
        <f aca="false">K571+(ROW()/10000000)</f>
        <v>39.0000571</v>
      </c>
    </row>
    <row r="572" customFormat="false" ht="15" hidden="false" customHeight="false" outlineLevel="0" collapsed="false">
      <c r="A572" s="11" t="s">
        <v>792</v>
      </c>
      <c r="B572" s="11" t="s">
        <v>30</v>
      </c>
      <c r="C572" s="11" t="s">
        <v>116</v>
      </c>
      <c r="D572" s="11" t="s">
        <v>35</v>
      </c>
      <c r="E572" s="11" t="s">
        <v>113</v>
      </c>
      <c r="F572" s="11" t="s">
        <v>120</v>
      </c>
      <c r="G572" s="21" t="n">
        <v>75.22</v>
      </c>
      <c r="H572" s="19" t="n">
        <v>0</v>
      </c>
      <c r="I572" s="21" t="n">
        <v>75.22</v>
      </c>
      <c r="J572" s="22" t="s">
        <v>80</v>
      </c>
      <c r="K572" s="11" t="n">
        <v>22</v>
      </c>
      <c r="L572" s="23" t="n">
        <v>2.1</v>
      </c>
      <c r="M572" s="24" t="b">
        <f aca="false">TRUE()</f>
        <v>1</v>
      </c>
      <c r="N572" s="11" t="s">
        <v>128</v>
      </c>
      <c r="O572" s="11" t="str">
        <f aca="false">IF(K572&lt;=StockP33,"Low",IF(K572&lt;=StockP67,"Moderate","High"))</f>
        <v>Moderate</v>
      </c>
      <c r="P572" s="11" t="str">
        <f aca="false">IF(H572=0,"Low",IF(H572&lt;=MarkdownP75,"Moderate","High"))</f>
        <v>Low</v>
      </c>
      <c r="Q572" s="11" t="str">
        <f aca="false">IF(ISBLANK(L572),"Unknown",IF(L572&gt;=4,"Good",IF(L572&lt;=2,"Poor","Neutral")))</f>
        <v>Neutral</v>
      </c>
      <c r="R572" s="11" t="str">
        <f aca="false">IF(AND(O572="Low",P572="Low",Q572="Good"),"BUY / PRIORITIZE",IF(AND(O572="High",P572="High",OR(Q572="Poor",M572=TRUE())),"HOLD / REVIEW","MONITOR"))</f>
        <v>MONITOR</v>
      </c>
      <c r="S572" s="11" t="n">
        <f aca="false">K572+(ROW()/10000000)</f>
        <v>22.0000572</v>
      </c>
    </row>
    <row r="573" customFormat="false" ht="15" hidden="false" customHeight="false" outlineLevel="0" collapsed="false">
      <c r="A573" s="11" t="s">
        <v>793</v>
      </c>
      <c r="B573" s="11" t="s">
        <v>29</v>
      </c>
      <c r="C573" s="11" t="s">
        <v>101</v>
      </c>
      <c r="D573" s="11" t="s">
        <v>35</v>
      </c>
      <c r="E573" s="11" t="s">
        <v>110</v>
      </c>
      <c r="F573" s="11" t="s">
        <v>88</v>
      </c>
      <c r="G573" s="21" t="n">
        <v>98.95</v>
      </c>
      <c r="H573" s="19" t="n">
        <v>30.3</v>
      </c>
      <c r="I573" s="21" t="n">
        <v>68.97</v>
      </c>
      <c r="J573" s="22" t="s">
        <v>80</v>
      </c>
      <c r="K573" s="11" t="n">
        <v>16</v>
      </c>
      <c r="L573" s="23"/>
      <c r="M573" s="24" t="b">
        <f aca="false">FALSE()</f>
        <v>0</v>
      </c>
      <c r="N573" s="11"/>
      <c r="O573" s="11" t="str">
        <f aca="false">IF(K573&lt;=StockP33,"Low",IF(K573&lt;=StockP67,"Moderate","High"))</f>
        <v>Low</v>
      </c>
      <c r="P573" s="11" t="str">
        <f aca="false">IF(H573=0,"Low",IF(H573&lt;=MarkdownP75,"Moderate","High"))</f>
        <v>High</v>
      </c>
      <c r="Q573" s="11" t="str">
        <f aca="false">IF(ISBLANK(L573),"Unknown",IF(L573&gt;=4,"Good",IF(L573&lt;=2,"Poor","Neutral")))</f>
        <v>Unknown</v>
      </c>
      <c r="R573" s="11" t="str">
        <f aca="false">IF(AND(O573="Low",P573="Low",Q573="Good"),"BUY / PRIORITIZE",IF(AND(O573="High",P573="High",OR(Q573="Poor",M573=TRUE())),"HOLD / REVIEW","MONITOR"))</f>
        <v>MONITOR</v>
      </c>
      <c r="S573" s="11" t="n">
        <f aca="false">K573+(ROW()/10000000)</f>
        <v>16.0000573</v>
      </c>
    </row>
    <row r="574" customFormat="false" ht="15" hidden="false" customHeight="false" outlineLevel="0" collapsed="false">
      <c r="A574" s="11" t="s">
        <v>794</v>
      </c>
      <c r="B574" s="11" t="s">
        <v>30</v>
      </c>
      <c r="C574" s="11" t="s">
        <v>101</v>
      </c>
      <c r="D574" s="11" t="s">
        <v>34</v>
      </c>
      <c r="E574" s="11" t="s">
        <v>73</v>
      </c>
      <c r="F574" s="11" t="s">
        <v>124</v>
      </c>
      <c r="G574" s="21" t="n">
        <v>39.56</v>
      </c>
      <c r="H574" s="19" t="n">
        <v>0</v>
      </c>
      <c r="I574" s="21" t="n">
        <v>39.56</v>
      </c>
      <c r="J574" s="22" t="s">
        <v>795</v>
      </c>
      <c r="K574" s="11" t="n">
        <v>15</v>
      </c>
      <c r="L574" s="23"/>
      <c r="M574" s="24" t="b">
        <f aca="false">FALSE()</f>
        <v>0</v>
      </c>
      <c r="N574" s="11"/>
      <c r="O574" s="11" t="str">
        <f aca="false">IF(K574&lt;=StockP33,"Low",IF(K574&lt;=StockP67,"Moderate","High"))</f>
        <v>Low</v>
      </c>
      <c r="P574" s="11" t="str">
        <f aca="false">IF(H574=0,"Low",IF(H574&lt;=MarkdownP75,"Moderate","High"))</f>
        <v>Low</v>
      </c>
      <c r="Q574" s="11" t="str">
        <f aca="false">IF(ISBLANK(L574),"Unknown",IF(L574&gt;=4,"Good",IF(L574&lt;=2,"Poor","Neutral")))</f>
        <v>Unknown</v>
      </c>
      <c r="R574" s="11" t="str">
        <f aca="false">IF(AND(O574="Low",P574="Low",Q574="Good"),"BUY / PRIORITIZE",IF(AND(O574="High",P574="High",OR(Q574="Poor",M574=TRUE())),"HOLD / REVIEW","MONITOR"))</f>
        <v>MONITOR</v>
      </c>
      <c r="S574" s="11" t="n">
        <f aca="false">K574+(ROW()/10000000)</f>
        <v>15.0000574</v>
      </c>
    </row>
    <row r="575" customFormat="false" ht="15" hidden="false" customHeight="false" outlineLevel="0" collapsed="false">
      <c r="A575" s="11" t="s">
        <v>796</v>
      </c>
      <c r="B575" s="11" t="s">
        <v>28</v>
      </c>
      <c r="C575" s="11" t="s">
        <v>77</v>
      </c>
      <c r="D575" s="11" t="s">
        <v>37</v>
      </c>
      <c r="E575" s="11" t="s">
        <v>91</v>
      </c>
      <c r="F575" s="11" t="s">
        <v>88</v>
      </c>
      <c r="G575" s="21" t="n">
        <v>153.88</v>
      </c>
      <c r="H575" s="19" t="n">
        <v>0</v>
      </c>
      <c r="I575" s="21" t="n">
        <v>153.88</v>
      </c>
      <c r="J575" s="22" t="s">
        <v>80</v>
      </c>
      <c r="K575" s="11" t="n">
        <v>42</v>
      </c>
      <c r="L575" s="23" t="n">
        <v>2.2</v>
      </c>
      <c r="M575" s="24" t="b">
        <f aca="false">FALSE()</f>
        <v>0</v>
      </c>
      <c r="N575" s="11"/>
      <c r="O575" s="11" t="str">
        <f aca="false">IF(K575&lt;=StockP33,"Low",IF(K575&lt;=StockP67,"Moderate","High"))</f>
        <v>High</v>
      </c>
      <c r="P575" s="11" t="str">
        <f aca="false">IF(H575=0,"Low",IF(H575&lt;=MarkdownP75,"Moderate","High"))</f>
        <v>Low</v>
      </c>
      <c r="Q575" s="11" t="str">
        <f aca="false">IF(ISBLANK(L575),"Unknown",IF(L575&gt;=4,"Good",IF(L575&lt;=2,"Poor","Neutral")))</f>
        <v>Neutral</v>
      </c>
      <c r="R575" s="11" t="str">
        <f aca="false">IF(AND(O575="Low",P575="Low",Q575="Good"),"BUY / PRIORITIZE",IF(AND(O575="High",P575="High",OR(Q575="Poor",M575=TRUE())),"HOLD / REVIEW","MONITOR"))</f>
        <v>MONITOR</v>
      </c>
      <c r="S575" s="11" t="n">
        <f aca="false">K575+(ROW()/10000000)</f>
        <v>42.0000575</v>
      </c>
    </row>
    <row r="576" customFormat="false" ht="15" hidden="false" customHeight="false" outlineLevel="0" collapsed="false">
      <c r="A576" s="11" t="s">
        <v>797</v>
      </c>
      <c r="B576" s="11" t="s">
        <v>8</v>
      </c>
      <c r="C576" s="11" t="s">
        <v>107</v>
      </c>
      <c r="D576" s="11" t="s">
        <v>35</v>
      </c>
      <c r="E576" s="11"/>
      <c r="F576" s="11" t="s">
        <v>111</v>
      </c>
      <c r="G576" s="21" t="n">
        <v>68.87</v>
      </c>
      <c r="H576" s="19" t="n">
        <v>0</v>
      </c>
      <c r="I576" s="21" t="n">
        <v>68.87</v>
      </c>
      <c r="J576" s="22" t="s">
        <v>80</v>
      </c>
      <c r="K576" s="11" t="n">
        <v>9</v>
      </c>
      <c r="L576" s="23" t="n">
        <v>1.1</v>
      </c>
      <c r="M576" s="24" t="b">
        <f aca="false">FALSE()</f>
        <v>0</v>
      </c>
      <c r="N576" s="11"/>
      <c r="O576" s="11" t="str">
        <f aca="false">IF(K576&lt;=StockP33,"Low",IF(K576&lt;=StockP67,"Moderate","High"))</f>
        <v>Low</v>
      </c>
      <c r="P576" s="11" t="str">
        <f aca="false">IF(H576=0,"Low",IF(H576&lt;=MarkdownP75,"Moderate","High"))</f>
        <v>Low</v>
      </c>
      <c r="Q576" s="11" t="str">
        <f aca="false">IF(ISBLANK(L576),"Unknown",IF(L576&gt;=4,"Good",IF(L576&lt;=2,"Poor","Neutral")))</f>
        <v>Poor</v>
      </c>
      <c r="R576" s="11" t="str">
        <f aca="false">IF(AND(O576="Low",P576="Low",Q576="Good"),"BUY / PRIORITIZE",IF(AND(O576="High",P576="High",OR(Q576="Poor",M576=TRUE())),"HOLD / REVIEW","MONITOR"))</f>
        <v>MONITOR</v>
      </c>
      <c r="S576" s="11" t="n">
        <f aca="false">K576+(ROW()/10000000)</f>
        <v>9.0000576</v>
      </c>
    </row>
    <row r="577" customFormat="false" ht="15" hidden="false" customHeight="false" outlineLevel="0" collapsed="false">
      <c r="A577" s="11" t="s">
        <v>798</v>
      </c>
      <c r="B577" s="11" t="s">
        <v>26</v>
      </c>
      <c r="C577" s="11" t="s">
        <v>107</v>
      </c>
      <c r="D577" s="11" t="s">
        <v>36</v>
      </c>
      <c r="E577" s="11" t="s">
        <v>113</v>
      </c>
      <c r="F577" s="11" t="s">
        <v>79</v>
      </c>
      <c r="G577" s="21" t="n">
        <v>25.56</v>
      </c>
      <c r="H577" s="19" t="n">
        <v>38.9</v>
      </c>
      <c r="I577" s="21" t="n">
        <v>15.62</v>
      </c>
      <c r="J577" s="22" t="s">
        <v>80</v>
      </c>
      <c r="K577" s="11" t="n">
        <v>48</v>
      </c>
      <c r="L577" s="23"/>
      <c r="M577" s="24" t="b">
        <f aca="false">FALSE()</f>
        <v>0</v>
      </c>
      <c r="N577" s="11"/>
      <c r="O577" s="11" t="str">
        <f aca="false">IF(K577&lt;=StockP33,"Low",IF(K577&lt;=StockP67,"Moderate","High"))</f>
        <v>High</v>
      </c>
      <c r="P577" s="11" t="str">
        <f aca="false">IF(H577=0,"Low",IF(H577&lt;=MarkdownP75,"Moderate","High"))</f>
        <v>High</v>
      </c>
      <c r="Q577" s="11" t="str">
        <f aca="false">IF(ISBLANK(L577),"Unknown",IF(L577&gt;=4,"Good",IF(L577&lt;=2,"Poor","Neutral")))</f>
        <v>Unknown</v>
      </c>
      <c r="R577" s="11" t="str">
        <f aca="false">IF(AND(O577="Low",P577="Low",Q577="Good"),"BUY / PRIORITIZE",IF(AND(O577="High",P577="High",OR(Q577="Poor",M577=TRUE())),"HOLD / REVIEW","MONITOR"))</f>
        <v>MONITOR</v>
      </c>
      <c r="S577" s="11" t="n">
        <f aca="false">K577+(ROW()/10000000)</f>
        <v>48.0000577</v>
      </c>
    </row>
    <row r="578" customFormat="false" ht="15" hidden="false" customHeight="false" outlineLevel="0" collapsed="false">
      <c r="A578" s="11" t="s">
        <v>799</v>
      </c>
      <c r="B578" s="11" t="s">
        <v>28</v>
      </c>
      <c r="C578" s="11" t="s">
        <v>101</v>
      </c>
      <c r="D578" s="11" t="s">
        <v>36</v>
      </c>
      <c r="E578" s="11" t="s">
        <v>102</v>
      </c>
      <c r="F578" s="11" t="s">
        <v>88</v>
      </c>
      <c r="G578" s="21" t="n">
        <v>246.49</v>
      </c>
      <c r="H578" s="19" t="n">
        <v>0</v>
      </c>
      <c r="I578" s="21" t="n">
        <v>246.49</v>
      </c>
      <c r="J578" s="22" t="s">
        <v>80</v>
      </c>
      <c r="K578" s="11" t="n">
        <v>20</v>
      </c>
      <c r="L578" s="23" t="n">
        <v>4.8</v>
      </c>
      <c r="M578" s="24" t="b">
        <f aca="false">FALSE()</f>
        <v>0</v>
      </c>
      <c r="N578" s="11"/>
      <c r="O578" s="11" t="str">
        <f aca="false">IF(K578&lt;=StockP33,"Low",IF(K578&lt;=StockP67,"Moderate","High"))</f>
        <v>Moderate</v>
      </c>
      <c r="P578" s="11" t="str">
        <f aca="false">IF(H578=0,"Low",IF(H578&lt;=MarkdownP75,"Moderate","High"))</f>
        <v>Low</v>
      </c>
      <c r="Q578" s="11" t="str">
        <f aca="false">IF(ISBLANK(L578),"Unknown",IF(L578&gt;=4,"Good",IF(L578&lt;=2,"Poor","Neutral")))</f>
        <v>Good</v>
      </c>
      <c r="R578" s="11" t="str">
        <f aca="false">IF(AND(O578="Low",P578="Low",Q578="Good"),"BUY / PRIORITIZE",IF(AND(O578="High",P578="High",OR(Q578="Poor",M578=TRUE())),"HOLD / REVIEW","MONITOR"))</f>
        <v>MONITOR</v>
      </c>
      <c r="S578" s="11" t="n">
        <f aca="false">K578+(ROW()/10000000)</f>
        <v>20.0000578</v>
      </c>
    </row>
    <row r="579" customFormat="false" ht="15" hidden="false" customHeight="false" outlineLevel="0" collapsed="false">
      <c r="A579" s="11" t="s">
        <v>800</v>
      </c>
      <c r="B579" s="11" t="s">
        <v>8</v>
      </c>
      <c r="C579" s="11" t="s">
        <v>101</v>
      </c>
      <c r="D579" s="11" t="s">
        <v>36</v>
      </c>
      <c r="E579" s="11"/>
      <c r="F579" s="11" t="s">
        <v>98</v>
      </c>
      <c r="G579" s="21" t="n">
        <v>52.41</v>
      </c>
      <c r="H579" s="19" t="n">
        <v>0</v>
      </c>
      <c r="I579" s="21" t="n">
        <v>52.41</v>
      </c>
      <c r="J579" s="22" t="s">
        <v>80</v>
      </c>
      <c r="K579" s="11" t="n">
        <v>14</v>
      </c>
      <c r="L579" s="23"/>
      <c r="M579" s="24" t="b">
        <f aca="false">FALSE()</f>
        <v>0</v>
      </c>
      <c r="N579" s="11"/>
      <c r="O579" s="11" t="str">
        <f aca="false">IF(K579&lt;=StockP33,"Low",IF(K579&lt;=StockP67,"Moderate","High"))</f>
        <v>Low</v>
      </c>
      <c r="P579" s="11" t="str">
        <f aca="false">IF(H579=0,"Low",IF(H579&lt;=MarkdownP75,"Moderate","High"))</f>
        <v>Low</v>
      </c>
      <c r="Q579" s="11" t="str">
        <f aca="false">IF(ISBLANK(L579),"Unknown",IF(L579&gt;=4,"Good",IF(L579&lt;=2,"Poor","Neutral")))</f>
        <v>Unknown</v>
      </c>
      <c r="R579" s="11" t="str">
        <f aca="false">IF(AND(O579="Low",P579="Low",Q579="Good"),"BUY / PRIORITIZE",IF(AND(O579="High",P579="High",OR(Q579="Poor",M579=TRUE())),"HOLD / REVIEW","MONITOR"))</f>
        <v>MONITOR</v>
      </c>
      <c r="S579" s="11" t="n">
        <f aca="false">K579+(ROW()/10000000)</f>
        <v>14.0000579</v>
      </c>
    </row>
    <row r="580" customFormat="false" ht="15" hidden="false" customHeight="false" outlineLevel="0" collapsed="false">
      <c r="A580" s="11" t="s">
        <v>801</v>
      </c>
      <c r="B580" s="11" t="s">
        <v>30</v>
      </c>
      <c r="C580" s="11" t="s">
        <v>72</v>
      </c>
      <c r="D580" s="11" t="s">
        <v>35</v>
      </c>
      <c r="E580" s="11" t="s">
        <v>113</v>
      </c>
      <c r="F580" s="11" t="s">
        <v>118</v>
      </c>
      <c r="G580" s="21" t="n">
        <v>33.77</v>
      </c>
      <c r="H580" s="19" t="n">
        <v>0</v>
      </c>
      <c r="I580" s="21" t="n">
        <v>33.77</v>
      </c>
      <c r="J580" s="22" t="s">
        <v>80</v>
      </c>
      <c r="K580" s="11" t="n">
        <v>12</v>
      </c>
      <c r="L580" s="23" t="n">
        <v>3.8</v>
      </c>
      <c r="M580" s="24" t="b">
        <f aca="false">FALSE()</f>
        <v>0</v>
      </c>
      <c r="N580" s="11"/>
      <c r="O580" s="11" t="str">
        <f aca="false">IF(K580&lt;=StockP33,"Low",IF(K580&lt;=StockP67,"Moderate","High"))</f>
        <v>Low</v>
      </c>
      <c r="P580" s="11" t="str">
        <f aca="false">IF(H580=0,"Low",IF(H580&lt;=MarkdownP75,"Moderate","High"))</f>
        <v>Low</v>
      </c>
      <c r="Q580" s="11" t="str">
        <f aca="false">IF(ISBLANK(L580),"Unknown",IF(L580&gt;=4,"Good",IF(L580&lt;=2,"Poor","Neutral")))</f>
        <v>Neutral</v>
      </c>
      <c r="R580" s="11" t="str">
        <f aca="false">IF(AND(O580="Low",P580="Low",Q580="Good"),"BUY / PRIORITIZE",IF(AND(O580="High",P580="High",OR(Q580="Poor",M580=TRUE())),"HOLD / REVIEW","MONITOR"))</f>
        <v>MONITOR</v>
      </c>
      <c r="S580" s="11" t="n">
        <f aca="false">K580+(ROW()/10000000)</f>
        <v>12.000058</v>
      </c>
    </row>
    <row r="581" customFormat="false" ht="15" hidden="false" customHeight="false" outlineLevel="0" collapsed="false">
      <c r="A581" s="11" t="s">
        <v>802</v>
      </c>
      <c r="B581" s="11" t="s">
        <v>29</v>
      </c>
      <c r="C581" s="11" t="s">
        <v>101</v>
      </c>
      <c r="D581" s="11" t="s">
        <v>35</v>
      </c>
      <c r="E581" s="11" t="s">
        <v>113</v>
      </c>
      <c r="F581" s="11" t="s">
        <v>79</v>
      </c>
      <c r="G581" s="21" t="n">
        <v>96.7</v>
      </c>
      <c r="H581" s="19" t="n">
        <v>0</v>
      </c>
      <c r="I581" s="21" t="n">
        <v>96.7</v>
      </c>
      <c r="J581" s="22" t="s">
        <v>80</v>
      </c>
      <c r="K581" s="11" t="n">
        <v>28</v>
      </c>
      <c r="L581" s="23" t="n">
        <v>3</v>
      </c>
      <c r="M581" s="24" t="b">
        <f aca="false">FALSE()</f>
        <v>0</v>
      </c>
      <c r="N581" s="11"/>
      <c r="O581" s="11" t="str">
        <f aca="false">IF(K581&lt;=StockP33,"Low",IF(K581&lt;=StockP67,"Moderate","High"))</f>
        <v>Moderate</v>
      </c>
      <c r="P581" s="11" t="str">
        <f aca="false">IF(H581=0,"Low",IF(H581&lt;=MarkdownP75,"Moderate","High"))</f>
        <v>Low</v>
      </c>
      <c r="Q581" s="11" t="str">
        <f aca="false">IF(ISBLANK(L581),"Unknown",IF(L581&gt;=4,"Good",IF(L581&lt;=2,"Poor","Neutral")))</f>
        <v>Neutral</v>
      </c>
      <c r="R581" s="11" t="str">
        <f aca="false">IF(AND(O581="Low",P581="Low",Q581="Good"),"BUY / PRIORITIZE",IF(AND(O581="High",P581="High",OR(Q581="Poor",M581=TRUE())),"HOLD / REVIEW","MONITOR"))</f>
        <v>MONITOR</v>
      </c>
      <c r="S581" s="11" t="n">
        <f aca="false">K581+(ROW()/10000000)</f>
        <v>28.0000581</v>
      </c>
    </row>
    <row r="582" customFormat="false" ht="15" hidden="false" customHeight="false" outlineLevel="0" collapsed="false">
      <c r="A582" s="11" t="s">
        <v>803</v>
      </c>
      <c r="B582" s="11" t="s">
        <v>27</v>
      </c>
      <c r="C582" s="11" t="s">
        <v>101</v>
      </c>
      <c r="D582" s="11" t="s">
        <v>34</v>
      </c>
      <c r="E582" s="11" t="s">
        <v>113</v>
      </c>
      <c r="F582" s="11" t="s">
        <v>74</v>
      </c>
      <c r="G582" s="21" t="n">
        <v>95.81</v>
      </c>
      <c r="H582" s="19" t="n">
        <v>0</v>
      </c>
      <c r="I582" s="21" t="n">
        <v>95.81</v>
      </c>
      <c r="J582" s="22" t="s">
        <v>517</v>
      </c>
      <c r="K582" s="11" t="n">
        <v>47</v>
      </c>
      <c r="L582" s="23" t="n">
        <v>4.9</v>
      </c>
      <c r="M582" s="24" t="b">
        <f aca="false">FALSE()</f>
        <v>0</v>
      </c>
      <c r="N582" s="11"/>
      <c r="O582" s="11" t="str">
        <f aca="false">IF(K582&lt;=StockP33,"Low",IF(K582&lt;=StockP67,"Moderate","High"))</f>
        <v>High</v>
      </c>
      <c r="P582" s="11" t="str">
        <f aca="false">IF(H582=0,"Low",IF(H582&lt;=MarkdownP75,"Moderate","High"))</f>
        <v>Low</v>
      </c>
      <c r="Q582" s="11" t="str">
        <f aca="false">IF(ISBLANK(L582),"Unknown",IF(L582&gt;=4,"Good",IF(L582&lt;=2,"Poor","Neutral")))</f>
        <v>Good</v>
      </c>
      <c r="R582" s="11" t="str">
        <f aca="false">IF(AND(O582="Low",P582="Low",Q582="Good"),"BUY / PRIORITIZE",IF(AND(O582="High",P582="High",OR(Q582="Poor",M582=TRUE())),"HOLD / REVIEW","MONITOR"))</f>
        <v>MONITOR</v>
      </c>
      <c r="S582" s="11" t="n">
        <f aca="false">K582+(ROW()/10000000)</f>
        <v>47.0000582</v>
      </c>
    </row>
    <row r="583" customFormat="false" ht="15" hidden="false" customHeight="false" outlineLevel="0" collapsed="false">
      <c r="A583" s="11" t="s">
        <v>804</v>
      </c>
      <c r="B583" s="11" t="s">
        <v>30</v>
      </c>
      <c r="C583" s="11" t="s">
        <v>116</v>
      </c>
      <c r="D583" s="11" t="s">
        <v>36</v>
      </c>
      <c r="E583" s="11" t="s">
        <v>113</v>
      </c>
      <c r="F583" s="11" t="s">
        <v>124</v>
      </c>
      <c r="G583" s="21" t="n">
        <v>41.58</v>
      </c>
      <c r="H583" s="19" t="n">
        <v>0</v>
      </c>
      <c r="I583" s="21" t="n">
        <v>41.58</v>
      </c>
      <c r="J583" s="22" t="s">
        <v>80</v>
      </c>
      <c r="K583" s="11" t="n">
        <v>3</v>
      </c>
      <c r="L583" s="23" t="n">
        <v>1.6</v>
      </c>
      <c r="M583" s="24" t="b">
        <f aca="false">FALSE()</f>
        <v>0</v>
      </c>
      <c r="N583" s="11"/>
      <c r="O583" s="11" t="str">
        <f aca="false">IF(K583&lt;=StockP33,"Low",IF(K583&lt;=StockP67,"Moderate","High"))</f>
        <v>Low</v>
      </c>
      <c r="P583" s="11" t="str">
        <f aca="false">IF(H583=0,"Low",IF(H583&lt;=MarkdownP75,"Moderate","High"))</f>
        <v>Low</v>
      </c>
      <c r="Q583" s="11" t="str">
        <f aca="false">IF(ISBLANK(L583),"Unknown",IF(L583&gt;=4,"Good",IF(L583&lt;=2,"Poor","Neutral")))</f>
        <v>Poor</v>
      </c>
      <c r="R583" s="11" t="str">
        <f aca="false">IF(AND(O583="Low",P583="Low",Q583="Good"),"BUY / PRIORITIZE",IF(AND(O583="High",P583="High",OR(Q583="Poor",M583=TRUE())),"HOLD / REVIEW","MONITOR"))</f>
        <v>MONITOR</v>
      </c>
      <c r="S583" s="11" t="n">
        <f aca="false">K583+(ROW()/10000000)</f>
        <v>3.0000583</v>
      </c>
    </row>
    <row r="584" customFormat="false" ht="15" hidden="false" customHeight="false" outlineLevel="0" collapsed="false">
      <c r="A584" s="11" t="s">
        <v>805</v>
      </c>
      <c r="B584" s="11" t="s">
        <v>30</v>
      </c>
      <c r="C584" s="11" t="s">
        <v>77</v>
      </c>
      <c r="D584" s="11" t="s">
        <v>35</v>
      </c>
      <c r="E584" s="11" t="s">
        <v>73</v>
      </c>
      <c r="F584" s="11" t="s">
        <v>92</v>
      </c>
      <c r="G584" s="21" t="n">
        <v>46.67</v>
      </c>
      <c r="H584" s="19" t="n">
        <v>6.6</v>
      </c>
      <c r="I584" s="21" t="n">
        <v>43.59</v>
      </c>
      <c r="J584" s="22" t="s">
        <v>80</v>
      </c>
      <c r="K584" s="11" t="n">
        <v>35</v>
      </c>
      <c r="L584" s="23" t="n">
        <v>1.3</v>
      </c>
      <c r="M584" s="24" t="b">
        <f aca="false">TRUE()</f>
        <v>1</v>
      </c>
      <c r="N584" s="11" t="s">
        <v>140</v>
      </c>
      <c r="O584" s="11" t="str">
        <f aca="false">IF(K584&lt;=StockP33,"Low",IF(K584&lt;=StockP67,"Moderate","High"))</f>
        <v>High</v>
      </c>
      <c r="P584" s="11" t="str">
        <f aca="false">IF(H584=0,"Low",IF(H584&lt;=MarkdownP75,"Moderate","High"))</f>
        <v>Moderate</v>
      </c>
      <c r="Q584" s="11" t="str">
        <f aca="false">IF(ISBLANK(L584),"Unknown",IF(L584&gt;=4,"Good",IF(L584&lt;=2,"Poor","Neutral")))</f>
        <v>Poor</v>
      </c>
      <c r="R584" s="11" t="str">
        <f aca="false">IF(AND(O584="Low",P584="Low",Q584="Good"),"BUY / PRIORITIZE",IF(AND(O584="High",P584="High",OR(Q584="Poor",M584=TRUE())),"HOLD / REVIEW","MONITOR"))</f>
        <v>MONITOR</v>
      </c>
      <c r="S584" s="11" t="n">
        <f aca="false">K584+(ROW()/10000000)</f>
        <v>35.0000584</v>
      </c>
    </row>
    <row r="585" customFormat="false" ht="15" hidden="false" customHeight="false" outlineLevel="0" collapsed="false">
      <c r="A585" s="11" t="s">
        <v>806</v>
      </c>
      <c r="B585" s="11" t="s">
        <v>26</v>
      </c>
      <c r="C585" s="11" t="s">
        <v>72</v>
      </c>
      <c r="D585" s="11" t="s">
        <v>37</v>
      </c>
      <c r="E585" s="11" t="s">
        <v>78</v>
      </c>
      <c r="F585" s="11" t="s">
        <v>111</v>
      </c>
      <c r="G585" s="21" t="n">
        <v>25.98</v>
      </c>
      <c r="H585" s="19" t="n">
        <v>59.4</v>
      </c>
      <c r="I585" s="21" t="n">
        <v>10.55</v>
      </c>
      <c r="J585" s="22" t="s">
        <v>80</v>
      </c>
      <c r="K585" s="11" t="n">
        <v>40</v>
      </c>
      <c r="L585" s="23"/>
      <c r="M585" s="24" t="b">
        <f aca="false">FALSE()</f>
        <v>0</v>
      </c>
      <c r="N585" s="11"/>
      <c r="O585" s="11" t="str">
        <f aca="false">IF(K585&lt;=StockP33,"Low",IF(K585&lt;=StockP67,"Moderate","High"))</f>
        <v>High</v>
      </c>
      <c r="P585" s="11" t="str">
        <f aca="false">IF(H585=0,"Low",IF(H585&lt;=MarkdownP75,"Moderate","High"))</f>
        <v>High</v>
      </c>
      <c r="Q585" s="11" t="str">
        <f aca="false">IF(ISBLANK(L585),"Unknown",IF(L585&gt;=4,"Good",IF(L585&lt;=2,"Poor","Neutral")))</f>
        <v>Unknown</v>
      </c>
      <c r="R585" s="11" t="str">
        <f aca="false">IF(AND(O585="Low",P585="Low",Q585="Good"),"BUY / PRIORITIZE",IF(AND(O585="High",P585="High",OR(Q585="Poor",M585=TRUE())),"HOLD / REVIEW","MONITOR"))</f>
        <v>MONITOR</v>
      </c>
      <c r="S585" s="11" t="n">
        <f aca="false">K585+(ROW()/10000000)</f>
        <v>40.0000585</v>
      </c>
    </row>
    <row r="586" customFormat="false" ht="15" hidden="false" customHeight="false" outlineLevel="0" collapsed="false">
      <c r="A586" s="11" t="s">
        <v>807</v>
      </c>
      <c r="B586" s="11" t="s">
        <v>28</v>
      </c>
      <c r="C586" s="11" t="s">
        <v>77</v>
      </c>
      <c r="D586" s="11" t="s">
        <v>35</v>
      </c>
      <c r="E586" s="11" t="s">
        <v>78</v>
      </c>
      <c r="F586" s="11" t="s">
        <v>111</v>
      </c>
      <c r="G586" s="21" t="n">
        <v>204.82</v>
      </c>
      <c r="H586" s="19" t="n">
        <v>14</v>
      </c>
      <c r="I586" s="21" t="n">
        <v>176.15</v>
      </c>
      <c r="J586" s="22" t="s">
        <v>80</v>
      </c>
      <c r="K586" s="11" t="n">
        <v>27</v>
      </c>
      <c r="L586" s="23" t="n">
        <v>3.8</v>
      </c>
      <c r="M586" s="24" t="b">
        <f aca="false">FALSE()</f>
        <v>0</v>
      </c>
      <c r="N586" s="11"/>
      <c r="O586" s="11" t="str">
        <f aca="false">IF(K586&lt;=StockP33,"Low",IF(K586&lt;=StockP67,"Moderate","High"))</f>
        <v>Moderate</v>
      </c>
      <c r="P586" s="11" t="str">
        <f aca="false">IF(H586=0,"Low",IF(H586&lt;=MarkdownP75,"Moderate","High"))</f>
        <v>Moderate</v>
      </c>
      <c r="Q586" s="11" t="str">
        <f aca="false">IF(ISBLANK(L586),"Unknown",IF(L586&gt;=4,"Good",IF(L586&lt;=2,"Poor","Neutral")))</f>
        <v>Neutral</v>
      </c>
      <c r="R586" s="11" t="str">
        <f aca="false">IF(AND(O586="Low",P586="Low",Q586="Good"),"BUY / PRIORITIZE",IF(AND(O586="High",P586="High",OR(Q586="Poor",M586=TRUE())),"HOLD / REVIEW","MONITOR"))</f>
        <v>MONITOR</v>
      </c>
      <c r="S586" s="11" t="n">
        <f aca="false">K586+(ROW()/10000000)</f>
        <v>27.0000586</v>
      </c>
    </row>
    <row r="587" customFormat="false" ht="15" hidden="false" customHeight="false" outlineLevel="0" collapsed="false">
      <c r="A587" s="11" t="s">
        <v>808</v>
      </c>
      <c r="B587" s="11" t="s">
        <v>30</v>
      </c>
      <c r="C587" s="11" t="s">
        <v>72</v>
      </c>
      <c r="D587" s="11" t="s">
        <v>37</v>
      </c>
      <c r="E587" s="11" t="s">
        <v>102</v>
      </c>
      <c r="F587" s="11" t="s">
        <v>79</v>
      </c>
      <c r="G587" s="21" t="n">
        <v>43.43</v>
      </c>
      <c r="H587" s="19" t="n">
        <v>47.1</v>
      </c>
      <c r="I587" s="21" t="n">
        <v>22.97</v>
      </c>
      <c r="J587" s="22" t="s">
        <v>80</v>
      </c>
      <c r="K587" s="11" t="n">
        <v>44</v>
      </c>
      <c r="L587" s="23" t="n">
        <v>4.7</v>
      </c>
      <c r="M587" s="24" t="b">
        <f aca="false">FALSE()</f>
        <v>0</v>
      </c>
      <c r="N587" s="11"/>
      <c r="O587" s="11" t="str">
        <f aca="false">IF(K587&lt;=StockP33,"Low",IF(K587&lt;=StockP67,"Moderate","High"))</f>
        <v>High</v>
      </c>
      <c r="P587" s="11" t="str">
        <f aca="false">IF(H587=0,"Low",IF(H587&lt;=MarkdownP75,"Moderate","High"))</f>
        <v>High</v>
      </c>
      <c r="Q587" s="11" t="str">
        <f aca="false">IF(ISBLANK(L587),"Unknown",IF(L587&gt;=4,"Good",IF(L587&lt;=2,"Poor","Neutral")))</f>
        <v>Good</v>
      </c>
      <c r="R587" s="11" t="str">
        <f aca="false">IF(AND(O587="Low",P587="Low",Q587="Good"),"BUY / PRIORITIZE",IF(AND(O587="High",P587="High",OR(Q587="Poor",M587=TRUE())),"HOLD / REVIEW","MONITOR"))</f>
        <v>MONITOR</v>
      </c>
      <c r="S587" s="11" t="n">
        <f aca="false">K587+(ROW()/10000000)</f>
        <v>44.0000587</v>
      </c>
    </row>
    <row r="588" customFormat="false" ht="15" hidden="false" customHeight="false" outlineLevel="0" collapsed="false">
      <c r="A588" s="11" t="s">
        <v>809</v>
      </c>
      <c r="B588" s="11" t="s">
        <v>8</v>
      </c>
      <c r="C588" s="11" t="s">
        <v>101</v>
      </c>
      <c r="D588" s="11" t="s">
        <v>35</v>
      </c>
      <c r="E588" s="11"/>
      <c r="F588" s="11" t="s">
        <v>96</v>
      </c>
      <c r="G588" s="21" t="n">
        <v>40.5</v>
      </c>
      <c r="H588" s="19" t="n">
        <v>40.5</v>
      </c>
      <c r="I588" s="21" t="n">
        <v>24.1</v>
      </c>
      <c r="J588" s="22" t="s">
        <v>80</v>
      </c>
      <c r="K588" s="11" t="n">
        <v>25</v>
      </c>
      <c r="L588" s="23" t="n">
        <v>2.9</v>
      </c>
      <c r="M588" s="24" t="b">
        <f aca="false">FALSE()</f>
        <v>0</v>
      </c>
      <c r="N588" s="11"/>
      <c r="O588" s="11" t="str">
        <f aca="false">IF(K588&lt;=StockP33,"Low",IF(K588&lt;=StockP67,"Moderate","High"))</f>
        <v>Moderate</v>
      </c>
      <c r="P588" s="11" t="str">
        <f aca="false">IF(H588=0,"Low",IF(H588&lt;=MarkdownP75,"Moderate","High"))</f>
        <v>High</v>
      </c>
      <c r="Q588" s="11" t="str">
        <f aca="false">IF(ISBLANK(L588),"Unknown",IF(L588&gt;=4,"Good",IF(L588&lt;=2,"Poor","Neutral")))</f>
        <v>Neutral</v>
      </c>
      <c r="R588" s="11" t="str">
        <f aca="false">IF(AND(O588="Low",P588="Low",Q588="Good"),"BUY / PRIORITIZE",IF(AND(O588="High",P588="High",OR(Q588="Poor",M588=TRUE())),"HOLD / REVIEW","MONITOR"))</f>
        <v>MONITOR</v>
      </c>
      <c r="S588" s="11" t="n">
        <f aca="false">K588+(ROW()/10000000)</f>
        <v>25.0000588</v>
      </c>
    </row>
    <row r="589" customFormat="false" ht="15" hidden="false" customHeight="false" outlineLevel="0" collapsed="false">
      <c r="A589" s="11" t="s">
        <v>810</v>
      </c>
      <c r="B589" s="11" t="s">
        <v>26</v>
      </c>
      <c r="C589" s="11" t="s">
        <v>130</v>
      </c>
      <c r="D589" s="11" t="s">
        <v>37</v>
      </c>
      <c r="E589" s="11" t="s">
        <v>113</v>
      </c>
      <c r="F589" s="11" t="s">
        <v>74</v>
      </c>
      <c r="G589" s="21" t="n">
        <v>73.59</v>
      </c>
      <c r="H589" s="19" t="n">
        <v>16.6</v>
      </c>
      <c r="I589" s="21" t="n">
        <v>61.37</v>
      </c>
      <c r="J589" s="22" t="s">
        <v>80</v>
      </c>
      <c r="K589" s="11" t="n">
        <v>34</v>
      </c>
      <c r="L589" s="23" t="n">
        <v>4</v>
      </c>
      <c r="M589" s="24" t="b">
        <f aca="false">FALSE()</f>
        <v>0</v>
      </c>
      <c r="N589" s="11"/>
      <c r="O589" s="11" t="str">
        <f aca="false">IF(K589&lt;=StockP33,"Low",IF(K589&lt;=StockP67,"Moderate","High"))</f>
        <v>High</v>
      </c>
      <c r="P589" s="11" t="str">
        <f aca="false">IF(H589=0,"Low",IF(H589&lt;=MarkdownP75,"Moderate","High"))</f>
        <v>Moderate</v>
      </c>
      <c r="Q589" s="11" t="str">
        <f aca="false">IF(ISBLANK(L589),"Unknown",IF(L589&gt;=4,"Good",IF(L589&lt;=2,"Poor","Neutral")))</f>
        <v>Good</v>
      </c>
      <c r="R589" s="11" t="str">
        <f aca="false">IF(AND(O589="Low",P589="Low",Q589="Good"),"BUY / PRIORITIZE",IF(AND(O589="High",P589="High",OR(Q589="Poor",M589=TRUE())),"HOLD / REVIEW","MONITOR"))</f>
        <v>MONITOR</v>
      </c>
      <c r="S589" s="11" t="n">
        <f aca="false">K589+(ROW()/10000000)</f>
        <v>34.0000589</v>
      </c>
    </row>
    <row r="590" customFormat="false" ht="15" hidden="false" customHeight="false" outlineLevel="0" collapsed="false">
      <c r="A590" s="11" t="s">
        <v>811</v>
      </c>
      <c r="B590" s="11" t="s">
        <v>8</v>
      </c>
      <c r="C590" s="11" t="s">
        <v>107</v>
      </c>
      <c r="D590" s="11" t="s">
        <v>35</v>
      </c>
      <c r="E590" s="11"/>
      <c r="F590" s="11" t="s">
        <v>118</v>
      </c>
      <c r="G590" s="21" t="n">
        <v>17.67</v>
      </c>
      <c r="H590" s="19" t="n">
        <v>0</v>
      </c>
      <c r="I590" s="21" t="n">
        <v>17.67</v>
      </c>
      <c r="J590" s="22" t="s">
        <v>80</v>
      </c>
      <c r="K590" s="11" t="n">
        <v>29</v>
      </c>
      <c r="L590" s="23" t="n">
        <v>4.3</v>
      </c>
      <c r="M590" s="24" t="b">
        <f aca="false">FALSE()</f>
        <v>0</v>
      </c>
      <c r="N590" s="11"/>
      <c r="O590" s="11" t="str">
        <f aca="false">IF(K590&lt;=StockP33,"Low",IF(K590&lt;=StockP67,"Moderate","High"))</f>
        <v>Moderate</v>
      </c>
      <c r="P590" s="11" t="str">
        <f aca="false">IF(H590=0,"Low",IF(H590&lt;=MarkdownP75,"Moderate","High"))</f>
        <v>Low</v>
      </c>
      <c r="Q590" s="11" t="str">
        <f aca="false">IF(ISBLANK(L590),"Unknown",IF(L590&gt;=4,"Good",IF(L590&lt;=2,"Poor","Neutral")))</f>
        <v>Good</v>
      </c>
      <c r="R590" s="11" t="str">
        <f aca="false">IF(AND(O590="Low",P590="Low",Q590="Good"),"BUY / PRIORITIZE",IF(AND(O590="High",P590="High",OR(Q590="Poor",M590=TRUE())),"HOLD / REVIEW","MONITOR"))</f>
        <v>MONITOR</v>
      </c>
      <c r="S590" s="11" t="n">
        <f aca="false">K590+(ROW()/10000000)</f>
        <v>29.000059</v>
      </c>
    </row>
    <row r="591" customFormat="false" ht="15" hidden="false" customHeight="false" outlineLevel="0" collapsed="false">
      <c r="A591" s="11" t="s">
        <v>812</v>
      </c>
      <c r="B591" s="11" t="s">
        <v>27</v>
      </c>
      <c r="C591" s="11" t="s">
        <v>116</v>
      </c>
      <c r="D591" s="11" t="s">
        <v>37</v>
      </c>
      <c r="E591" s="11" t="s">
        <v>91</v>
      </c>
      <c r="F591" s="11" t="s">
        <v>98</v>
      </c>
      <c r="G591" s="21" t="n">
        <v>70.01</v>
      </c>
      <c r="H591" s="19" t="n">
        <v>28</v>
      </c>
      <c r="I591" s="21" t="n">
        <v>50.41</v>
      </c>
      <c r="J591" s="22" t="s">
        <v>80</v>
      </c>
      <c r="K591" s="11" t="n">
        <v>23</v>
      </c>
      <c r="L591" s="23"/>
      <c r="M591" s="24" t="b">
        <f aca="false">FALSE()</f>
        <v>0</v>
      </c>
      <c r="N591" s="11"/>
      <c r="O591" s="11" t="str">
        <f aca="false">IF(K591&lt;=StockP33,"Low",IF(K591&lt;=StockP67,"Moderate","High"))</f>
        <v>Moderate</v>
      </c>
      <c r="P591" s="11" t="str">
        <f aca="false">IF(H591=0,"Low",IF(H591&lt;=MarkdownP75,"Moderate","High"))</f>
        <v>High</v>
      </c>
      <c r="Q591" s="11" t="str">
        <f aca="false">IF(ISBLANK(L591),"Unknown",IF(L591&gt;=4,"Good",IF(L591&lt;=2,"Poor","Neutral")))</f>
        <v>Unknown</v>
      </c>
      <c r="R591" s="11" t="str">
        <f aca="false">IF(AND(O591="Low",P591="Low",Q591="Good"),"BUY / PRIORITIZE",IF(AND(O591="High",P591="High",OR(Q591="Poor",M591=TRUE())),"HOLD / REVIEW","MONITOR"))</f>
        <v>MONITOR</v>
      </c>
      <c r="S591" s="11" t="n">
        <f aca="false">K591+(ROW()/10000000)</f>
        <v>23.0000591</v>
      </c>
    </row>
    <row r="592" customFormat="false" ht="15" hidden="false" customHeight="false" outlineLevel="0" collapsed="false">
      <c r="A592" s="11" t="s">
        <v>813</v>
      </c>
      <c r="B592" s="11" t="s">
        <v>29</v>
      </c>
      <c r="C592" s="11" t="s">
        <v>95</v>
      </c>
      <c r="D592" s="11" t="s">
        <v>36</v>
      </c>
      <c r="E592" s="11" t="s">
        <v>110</v>
      </c>
      <c r="F592" s="11" t="s">
        <v>74</v>
      </c>
      <c r="G592" s="21" t="n">
        <v>79.32</v>
      </c>
      <c r="H592" s="19" t="n">
        <v>33.7</v>
      </c>
      <c r="I592" s="21" t="n">
        <v>52.59</v>
      </c>
      <c r="J592" s="22" t="s">
        <v>80</v>
      </c>
      <c r="K592" s="11" t="n">
        <v>38</v>
      </c>
      <c r="L592" s="23" t="n">
        <v>3</v>
      </c>
      <c r="M592" s="24" t="b">
        <f aca="false">TRUE()</f>
        <v>1</v>
      </c>
      <c r="N592" s="11" t="s">
        <v>128</v>
      </c>
      <c r="O592" s="11" t="str">
        <f aca="false">IF(K592&lt;=StockP33,"Low",IF(K592&lt;=StockP67,"Moderate","High"))</f>
        <v>High</v>
      </c>
      <c r="P592" s="11" t="str">
        <f aca="false">IF(H592=0,"Low",IF(H592&lt;=MarkdownP75,"Moderate","High"))</f>
        <v>High</v>
      </c>
      <c r="Q592" s="11" t="str">
        <f aca="false">IF(ISBLANK(L592),"Unknown",IF(L592&gt;=4,"Good",IF(L592&lt;=2,"Poor","Neutral")))</f>
        <v>Neutral</v>
      </c>
      <c r="R592" s="11" t="str">
        <f aca="false">IF(AND(O592="Low",P592="Low",Q592="Good"),"BUY / PRIORITIZE",IF(AND(O592="High",P592="High",OR(Q592="Poor",M592=TRUE())),"HOLD / REVIEW","MONITOR"))</f>
        <v>HOLD / REVIEW</v>
      </c>
      <c r="S592" s="11" t="n">
        <f aca="false">K592+(ROW()/10000000)</f>
        <v>38.0000592</v>
      </c>
    </row>
    <row r="593" customFormat="false" ht="15" hidden="false" customHeight="false" outlineLevel="0" collapsed="false">
      <c r="A593" s="11" t="s">
        <v>814</v>
      </c>
      <c r="B593" s="11" t="s">
        <v>8</v>
      </c>
      <c r="C593" s="11" t="s">
        <v>72</v>
      </c>
      <c r="D593" s="11" t="s">
        <v>35</v>
      </c>
      <c r="E593" s="11"/>
      <c r="F593" s="11" t="s">
        <v>111</v>
      </c>
      <c r="G593" s="21" t="n">
        <v>45.24</v>
      </c>
      <c r="H593" s="19" t="n">
        <v>0</v>
      </c>
      <c r="I593" s="21" t="n">
        <v>45.24</v>
      </c>
      <c r="J593" s="22" t="s">
        <v>80</v>
      </c>
      <c r="K593" s="11" t="n">
        <v>20</v>
      </c>
      <c r="L593" s="23" t="n">
        <v>3</v>
      </c>
      <c r="M593" s="24" t="b">
        <f aca="false">TRUE()</f>
        <v>1</v>
      </c>
      <c r="N593" s="11" t="s">
        <v>140</v>
      </c>
      <c r="O593" s="11" t="str">
        <f aca="false">IF(K593&lt;=StockP33,"Low",IF(K593&lt;=StockP67,"Moderate","High"))</f>
        <v>Moderate</v>
      </c>
      <c r="P593" s="11" t="str">
        <f aca="false">IF(H593=0,"Low",IF(H593&lt;=MarkdownP75,"Moderate","High"))</f>
        <v>Low</v>
      </c>
      <c r="Q593" s="11" t="str">
        <f aca="false">IF(ISBLANK(L593),"Unknown",IF(L593&gt;=4,"Good",IF(L593&lt;=2,"Poor","Neutral")))</f>
        <v>Neutral</v>
      </c>
      <c r="R593" s="11" t="str">
        <f aca="false">IF(AND(O593="Low",P593="Low",Q593="Good"),"BUY / PRIORITIZE",IF(AND(O593="High",P593="High",OR(Q593="Poor",M593=TRUE())),"HOLD / REVIEW","MONITOR"))</f>
        <v>MONITOR</v>
      </c>
      <c r="S593" s="11" t="n">
        <f aca="false">K593+(ROW()/10000000)</f>
        <v>20.0000593</v>
      </c>
    </row>
    <row r="594" customFormat="false" ht="15" hidden="false" customHeight="false" outlineLevel="0" collapsed="false">
      <c r="A594" s="11" t="s">
        <v>815</v>
      </c>
      <c r="B594" s="11" t="s">
        <v>30</v>
      </c>
      <c r="C594" s="11" t="s">
        <v>101</v>
      </c>
      <c r="D594" s="11" t="s">
        <v>35</v>
      </c>
      <c r="E594" s="11" t="s">
        <v>102</v>
      </c>
      <c r="F594" s="11" t="s">
        <v>74</v>
      </c>
      <c r="G594" s="21" t="n">
        <v>63.51</v>
      </c>
      <c r="H594" s="19" t="n">
        <v>13.6</v>
      </c>
      <c r="I594" s="21" t="n">
        <v>54.87</v>
      </c>
      <c r="J594" s="22" t="s">
        <v>80</v>
      </c>
      <c r="K594" s="11" t="n">
        <v>19</v>
      </c>
      <c r="L594" s="23"/>
      <c r="M594" s="24" t="b">
        <f aca="false">FALSE()</f>
        <v>0</v>
      </c>
      <c r="N594" s="11"/>
      <c r="O594" s="11" t="str">
        <f aca="false">IF(K594&lt;=StockP33,"Low",IF(K594&lt;=StockP67,"Moderate","High"))</f>
        <v>Moderate</v>
      </c>
      <c r="P594" s="11" t="str">
        <f aca="false">IF(H594=0,"Low",IF(H594&lt;=MarkdownP75,"Moderate","High"))</f>
        <v>Moderate</v>
      </c>
      <c r="Q594" s="11" t="str">
        <f aca="false">IF(ISBLANK(L594),"Unknown",IF(L594&gt;=4,"Good",IF(L594&lt;=2,"Poor","Neutral")))</f>
        <v>Unknown</v>
      </c>
      <c r="R594" s="11" t="str">
        <f aca="false">IF(AND(O594="Low",P594="Low",Q594="Good"),"BUY / PRIORITIZE",IF(AND(O594="High",P594="High",OR(Q594="Poor",M594=TRUE())),"HOLD / REVIEW","MONITOR"))</f>
        <v>MONITOR</v>
      </c>
      <c r="S594" s="11" t="n">
        <f aca="false">K594+(ROW()/10000000)</f>
        <v>19.0000594</v>
      </c>
    </row>
    <row r="595" customFormat="false" ht="15" hidden="false" customHeight="false" outlineLevel="0" collapsed="false">
      <c r="A595" s="11" t="s">
        <v>816</v>
      </c>
      <c r="B595" s="11" t="s">
        <v>26</v>
      </c>
      <c r="C595" s="11" t="s">
        <v>107</v>
      </c>
      <c r="D595" s="11" t="s">
        <v>37</v>
      </c>
      <c r="E595" s="11" t="s">
        <v>102</v>
      </c>
      <c r="F595" s="11" t="s">
        <v>88</v>
      </c>
      <c r="G595" s="21" t="n">
        <v>55.23</v>
      </c>
      <c r="H595" s="19" t="n">
        <v>33.6</v>
      </c>
      <c r="I595" s="21" t="n">
        <v>36.67</v>
      </c>
      <c r="J595" s="22" t="s">
        <v>80</v>
      </c>
      <c r="K595" s="11" t="n">
        <v>9</v>
      </c>
      <c r="L595" s="23"/>
      <c r="M595" s="24" t="b">
        <f aca="false">FALSE()</f>
        <v>0</v>
      </c>
      <c r="N595" s="11"/>
      <c r="O595" s="11" t="str">
        <f aca="false">IF(K595&lt;=StockP33,"Low",IF(K595&lt;=StockP67,"Moderate","High"))</f>
        <v>Low</v>
      </c>
      <c r="P595" s="11" t="str">
        <f aca="false">IF(H595=0,"Low",IF(H595&lt;=MarkdownP75,"Moderate","High"))</f>
        <v>High</v>
      </c>
      <c r="Q595" s="11" t="str">
        <f aca="false">IF(ISBLANK(L595),"Unknown",IF(L595&gt;=4,"Good",IF(L595&lt;=2,"Poor","Neutral")))</f>
        <v>Unknown</v>
      </c>
      <c r="R595" s="11" t="str">
        <f aca="false">IF(AND(O595="Low",P595="Low",Q595="Good"),"BUY / PRIORITIZE",IF(AND(O595="High",P595="High",OR(Q595="Poor",M595=TRUE())),"HOLD / REVIEW","MONITOR"))</f>
        <v>MONITOR</v>
      </c>
      <c r="S595" s="11" t="n">
        <f aca="false">K595+(ROW()/10000000)</f>
        <v>9.0000595</v>
      </c>
    </row>
    <row r="596" customFormat="false" ht="15" hidden="false" customHeight="false" outlineLevel="0" collapsed="false">
      <c r="A596" s="11" t="s">
        <v>817</v>
      </c>
      <c r="B596" s="11" t="s">
        <v>27</v>
      </c>
      <c r="C596" s="11" t="s">
        <v>86</v>
      </c>
      <c r="D596" s="11" t="s">
        <v>36</v>
      </c>
      <c r="E596" s="11" t="s">
        <v>113</v>
      </c>
      <c r="F596" s="11" t="s">
        <v>118</v>
      </c>
      <c r="G596" s="21" t="n">
        <v>137.59</v>
      </c>
      <c r="H596" s="19" t="n">
        <v>0</v>
      </c>
      <c r="I596" s="21" t="n">
        <v>137.59</v>
      </c>
      <c r="J596" s="22" t="s">
        <v>80</v>
      </c>
      <c r="K596" s="11" t="n">
        <v>18</v>
      </c>
      <c r="L596" s="23"/>
      <c r="M596" s="24" t="b">
        <f aca="false">FALSE()</f>
        <v>0</v>
      </c>
      <c r="N596" s="11"/>
      <c r="O596" s="11" t="str">
        <f aca="false">IF(K596&lt;=StockP33,"Low",IF(K596&lt;=StockP67,"Moderate","High"))</f>
        <v>Moderate</v>
      </c>
      <c r="P596" s="11" t="str">
        <f aca="false">IF(H596=0,"Low",IF(H596&lt;=MarkdownP75,"Moderate","High"))</f>
        <v>Low</v>
      </c>
      <c r="Q596" s="11" t="str">
        <f aca="false">IF(ISBLANK(L596),"Unknown",IF(L596&gt;=4,"Good",IF(L596&lt;=2,"Poor","Neutral")))</f>
        <v>Unknown</v>
      </c>
      <c r="R596" s="11" t="str">
        <f aca="false">IF(AND(O596="Low",P596="Low",Q596="Good"),"BUY / PRIORITIZE",IF(AND(O596="High",P596="High",OR(Q596="Poor",M596=TRUE())),"HOLD / REVIEW","MONITOR"))</f>
        <v>MONITOR</v>
      </c>
      <c r="S596" s="11" t="n">
        <f aca="false">K596+(ROW()/10000000)</f>
        <v>18.0000596</v>
      </c>
    </row>
    <row r="597" customFormat="false" ht="15" hidden="false" customHeight="false" outlineLevel="0" collapsed="false">
      <c r="A597" s="11" t="s">
        <v>818</v>
      </c>
      <c r="B597" s="11" t="s">
        <v>29</v>
      </c>
      <c r="C597" s="11" t="s">
        <v>101</v>
      </c>
      <c r="D597" s="11" t="s">
        <v>36</v>
      </c>
      <c r="E597" s="11"/>
      <c r="F597" s="11" t="s">
        <v>88</v>
      </c>
      <c r="G597" s="21" t="n">
        <v>65.8</v>
      </c>
      <c r="H597" s="19" t="n">
        <v>0</v>
      </c>
      <c r="I597" s="21" t="n">
        <v>65.8</v>
      </c>
      <c r="J597" s="22" t="s">
        <v>80</v>
      </c>
      <c r="K597" s="11" t="n">
        <v>46</v>
      </c>
      <c r="L597" s="23" t="n">
        <v>3.2</v>
      </c>
      <c r="M597" s="24" t="b">
        <f aca="false">FALSE()</f>
        <v>0</v>
      </c>
      <c r="N597" s="11"/>
      <c r="O597" s="11" t="str">
        <f aca="false">IF(K597&lt;=StockP33,"Low",IF(K597&lt;=StockP67,"Moderate","High"))</f>
        <v>High</v>
      </c>
      <c r="P597" s="11" t="str">
        <f aca="false">IF(H597=0,"Low",IF(H597&lt;=MarkdownP75,"Moderate","High"))</f>
        <v>Low</v>
      </c>
      <c r="Q597" s="11" t="str">
        <f aca="false">IF(ISBLANK(L597),"Unknown",IF(L597&gt;=4,"Good",IF(L597&lt;=2,"Poor","Neutral")))</f>
        <v>Neutral</v>
      </c>
      <c r="R597" s="11" t="str">
        <f aca="false">IF(AND(O597="Low",P597="Low",Q597="Good"),"BUY / PRIORITIZE",IF(AND(O597="High",P597="High",OR(Q597="Poor",M597=TRUE())),"HOLD / REVIEW","MONITOR"))</f>
        <v>MONITOR</v>
      </c>
      <c r="S597" s="11" t="n">
        <f aca="false">K597+(ROW()/10000000)</f>
        <v>46.0000597</v>
      </c>
    </row>
    <row r="598" customFormat="false" ht="15" hidden="false" customHeight="false" outlineLevel="0" collapsed="false">
      <c r="A598" s="11" t="s">
        <v>819</v>
      </c>
      <c r="B598" s="11" t="s">
        <v>29</v>
      </c>
      <c r="C598" s="11" t="s">
        <v>77</v>
      </c>
      <c r="D598" s="11" t="s">
        <v>37</v>
      </c>
      <c r="E598" s="11" t="s">
        <v>73</v>
      </c>
      <c r="F598" s="11" t="s">
        <v>96</v>
      </c>
      <c r="G598" s="21" t="n">
        <v>88.42</v>
      </c>
      <c r="H598" s="19" t="n">
        <v>0</v>
      </c>
      <c r="I598" s="21" t="n">
        <v>88.42</v>
      </c>
      <c r="J598" s="22" t="s">
        <v>80</v>
      </c>
      <c r="K598" s="11" t="n">
        <v>44</v>
      </c>
      <c r="L598" s="23" t="n">
        <v>3.4</v>
      </c>
      <c r="M598" s="24" t="b">
        <f aca="false">TRUE()</f>
        <v>1</v>
      </c>
      <c r="N598" s="11" t="s">
        <v>134</v>
      </c>
      <c r="O598" s="11" t="str">
        <f aca="false">IF(K598&lt;=StockP33,"Low",IF(K598&lt;=StockP67,"Moderate","High"))</f>
        <v>High</v>
      </c>
      <c r="P598" s="11" t="str">
        <f aca="false">IF(H598=0,"Low",IF(H598&lt;=MarkdownP75,"Moderate","High"))</f>
        <v>Low</v>
      </c>
      <c r="Q598" s="11" t="str">
        <f aca="false">IF(ISBLANK(L598),"Unknown",IF(L598&gt;=4,"Good",IF(L598&lt;=2,"Poor","Neutral")))</f>
        <v>Neutral</v>
      </c>
      <c r="R598" s="11" t="str">
        <f aca="false">IF(AND(O598="Low",P598="Low",Q598="Good"),"BUY / PRIORITIZE",IF(AND(O598="High",P598="High",OR(Q598="Poor",M598=TRUE())),"HOLD / REVIEW","MONITOR"))</f>
        <v>MONITOR</v>
      </c>
      <c r="S598" s="11" t="n">
        <f aca="false">K598+(ROW()/10000000)</f>
        <v>44.0000598</v>
      </c>
    </row>
    <row r="599" customFormat="false" ht="15" hidden="false" customHeight="false" outlineLevel="0" collapsed="false">
      <c r="A599" s="11" t="s">
        <v>820</v>
      </c>
      <c r="B599" s="11" t="s">
        <v>27</v>
      </c>
      <c r="C599" s="11" t="s">
        <v>95</v>
      </c>
      <c r="D599" s="11" t="s">
        <v>36</v>
      </c>
      <c r="E599" s="11" t="s">
        <v>113</v>
      </c>
      <c r="F599" s="11" t="s">
        <v>74</v>
      </c>
      <c r="G599" s="21" t="n">
        <v>75.54</v>
      </c>
      <c r="H599" s="19" t="n">
        <v>0</v>
      </c>
      <c r="I599" s="21" t="n">
        <v>75.54</v>
      </c>
      <c r="J599" s="22" t="s">
        <v>80</v>
      </c>
      <c r="K599" s="11" t="n">
        <v>6</v>
      </c>
      <c r="L599" s="23" t="n">
        <v>4.6</v>
      </c>
      <c r="M599" s="24" t="b">
        <f aca="false">FALSE()</f>
        <v>0</v>
      </c>
      <c r="N599" s="11"/>
      <c r="O599" s="11" t="str">
        <f aca="false">IF(K599&lt;=StockP33,"Low",IF(K599&lt;=StockP67,"Moderate","High"))</f>
        <v>Low</v>
      </c>
      <c r="P599" s="11" t="str">
        <f aca="false">IF(H599=0,"Low",IF(H599&lt;=MarkdownP75,"Moderate","High"))</f>
        <v>Low</v>
      </c>
      <c r="Q599" s="11" t="str">
        <f aca="false">IF(ISBLANK(L599),"Unknown",IF(L599&gt;=4,"Good",IF(L599&lt;=2,"Poor","Neutral")))</f>
        <v>Good</v>
      </c>
      <c r="R599" s="11" t="str">
        <f aca="false">IF(AND(O599="Low",P599="Low",Q599="Good"),"BUY / PRIORITIZE",IF(AND(O599="High",P599="High",OR(Q599="Poor",M599=TRUE())),"HOLD / REVIEW","MONITOR"))</f>
        <v>BUY / PRIORITIZE</v>
      </c>
      <c r="S599" s="11" t="n">
        <f aca="false">K599+(ROW()/10000000)</f>
        <v>6.0000599</v>
      </c>
    </row>
    <row r="600" customFormat="false" ht="15" hidden="false" customHeight="false" outlineLevel="0" collapsed="false">
      <c r="A600" s="11" t="s">
        <v>821</v>
      </c>
      <c r="B600" s="11" t="s">
        <v>29</v>
      </c>
      <c r="C600" s="11" t="s">
        <v>101</v>
      </c>
      <c r="D600" s="11" t="s">
        <v>34</v>
      </c>
      <c r="E600" s="11" t="s">
        <v>78</v>
      </c>
      <c r="F600" s="11" t="s">
        <v>88</v>
      </c>
      <c r="G600" s="21" t="n">
        <v>185.13</v>
      </c>
      <c r="H600" s="19" t="n">
        <v>0</v>
      </c>
      <c r="I600" s="21" t="n">
        <v>185.13</v>
      </c>
      <c r="J600" s="22" t="s">
        <v>517</v>
      </c>
      <c r="K600" s="11" t="n">
        <v>49</v>
      </c>
      <c r="L600" s="23" t="n">
        <v>4.9</v>
      </c>
      <c r="M600" s="24" t="b">
        <f aca="false">FALSE()</f>
        <v>0</v>
      </c>
      <c r="N600" s="11"/>
      <c r="O600" s="11" t="str">
        <f aca="false">IF(K600&lt;=StockP33,"Low",IF(K600&lt;=StockP67,"Moderate","High"))</f>
        <v>High</v>
      </c>
      <c r="P600" s="11" t="str">
        <f aca="false">IF(H600=0,"Low",IF(H600&lt;=MarkdownP75,"Moderate","High"))</f>
        <v>Low</v>
      </c>
      <c r="Q600" s="11" t="str">
        <f aca="false">IF(ISBLANK(L600),"Unknown",IF(L600&gt;=4,"Good",IF(L600&lt;=2,"Poor","Neutral")))</f>
        <v>Good</v>
      </c>
      <c r="R600" s="11" t="str">
        <f aca="false">IF(AND(O600="Low",P600="Low",Q600="Good"),"BUY / PRIORITIZE",IF(AND(O600="High",P600="High",OR(Q600="Poor",M600=TRUE())),"HOLD / REVIEW","MONITOR"))</f>
        <v>MONITOR</v>
      </c>
      <c r="S600" s="11" t="n">
        <f aca="false">K600+(ROW()/10000000)</f>
        <v>49.00006</v>
      </c>
    </row>
    <row r="601" customFormat="false" ht="15" hidden="false" customHeight="false" outlineLevel="0" collapsed="false">
      <c r="A601" s="11" t="s">
        <v>822</v>
      </c>
      <c r="B601" s="11" t="s">
        <v>28</v>
      </c>
      <c r="C601" s="11" t="s">
        <v>95</v>
      </c>
      <c r="D601" s="11" t="s">
        <v>36</v>
      </c>
      <c r="E601" s="11" t="s">
        <v>78</v>
      </c>
      <c r="F601" s="11" t="s">
        <v>82</v>
      </c>
      <c r="G601" s="21" t="n">
        <v>132.58</v>
      </c>
      <c r="H601" s="19" t="n">
        <v>0</v>
      </c>
      <c r="I601" s="21" t="n">
        <v>132.58</v>
      </c>
      <c r="J601" s="22" t="s">
        <v>80</v>
      </c>
      <c r="K601" s="11" t="n">
        <v>45</v>
      </c>
      <c r="L601" s="23" t="n">
        <v>1.6</v>
      </c>
      <c r="M601" s="24" t="b">
        <f aca="false">FALSE()</f>
        <v>0</v>
      </c>
      <c r="N601" s="11"/>
      <c r="O601" s="11" t="str">
        <f aca="false">IF(K601&lt;=StockP33,"Low",IF(K601&lt;=StockP67,"Moderate","High"))</f>
        <v>High</v>
      </c>
      <c r="P601" s="11" t="str">
        <f aca="false">IF(H601=0,"Low",IF(H601&lt;=MarkdownP75,"Moderate","High"))</f>
        <v>Low</v>
      </c>
      <c r="Q601" s="11" t="str">
        <f aca="false">IF(ISBLANK(L601),"Unknown",IF(L601&gt;=4,"Good",IF(L601&lt;=2,"Poor","Neutral")))</f>
        <v>Poor</v>
      </c>
      <c r="R601" s="11" t="str">
        <f aca="false">IF(AND(O601="Low",P601="Low",Q601="Good"),"BUY / PRIORITIZE",IF(AND(O601="High",P601="High",OR(Q601="Poor",M601=TRUE())),"HOLD / REVIEW","MONITOR"))</f>
        <v>MONITOR</v>
      </c>
      <c r="S601" s="11" t="n">
        <f aca="false">K601+(ROW()/10000000)</f>
        <v>45.0000601</v>
      </c>
    </row>
    <row r="602" customFormat="false" ht="15" hidden="false" customHeight="false" outlineLevel="0" collapsed="false">
      <c r="A602" s="11" t="s">
        <v>823</v>
      </c>
      <c r="B602" s="11" t="s">
        <v>26</v>
      </c>
      <c r="C602" s="11" t="s">
        <v>72</v>
      </c>
      <c r="D602" s="11" t="s">
        <v>36</v>
      </c>
      <c r="E602" s="11" t="s">
        <v>113</v>
      </c>
      <c r="F602" s="11" t="s">
        <v>88</v>
      </c>
      <c r="G602" s="21" t="n">
        <v>93.38</v>
      </c>
      <c r="H602" s="19" t="n">
        <v>0</v>
      </c>
      <c r="I602" s="21" t="n">
        <v>93.38</v>
      </c>
      <c r="J602" s="22" t="s">
        <v>80</v>
      </c>
      <c r="K602" s="11" t="n">
        <v>7</v>
      </c>
      <c r="L602" s="23" t="n">
        <v>3.5</v>
      </c>
      <c r="M602" s="24" t="b">
        <f aca="false">FALSE()</f>
        <v>0</v>
      </c>
      <c r="N602" s="11"/>
      <c r="O602" s="11" t="str">
        <f aca="false">IF(K602&lt;=StockP33,"Low",IF(K602&lt;=StockP67,"Moderate","High"))</f>
        <v>Low</v>
      </c>
      <c r="P602" s="11" t="str">
        <f aca="false">IF(H602=0,"Low",IF(H602&lt;=MarkdownP75,"Moderate","High"))</f>
        <v>Low</v>
      </c>
      <c r="Q602" s="11" t="str">
        <f aca="false">IF(ISBLANK(L602),"Unknown",IF(L602&gt;=4,"Good",IF(L602&lt;=2,"Poor","Neutral")))</f>
        <v>Neutral</v>
      </c>
      <c r="R602" s="11" t="str">
        <f aca="false">IF(AND(O602="Low",P602="Low",Q602="Good"),"BUY / PRIORITIZE",IF(AND(O602="High",P602="High",OR(Q602="Poor",M602=TRUE())),"HOLD / REVIEW","MONITOR"))</f>
        <v>MONITOR</v>
      </c>
      <c r="S602" s="11" t="n">
        <f aca="false">K602+(ROW()/10000000)</f>
        <v>7.0000602</v>
      </c>
    </row>
    <row r="603" customFormat="false" ht="15" hidden="false" customHeight="false" outlineLevel="0" collapsed="false">
      <c r="A603" s="11" t="s">
        <v>824</v>
      </c>
      <c r="B603" s="11" t="s">
        <v>8</v>
      </c>
      <c r="C603" s="11" t="s">
        <v>107</v>
      </c>
      <c r="D603" s="11" t="s">
        <v>36</v>
      </c>
      <c r="E603" s="11"/>
      <c r="F603" s="11" t="s">
        <v>82</v>
      </c>
      <c r="G603" s="21" t="n">
        <v>47.28</v>
      </c>
      <c r="H603" s="19" t="n">
        <v>0</v>
      </c>
      <c r="I603" s="21" t="n">
        <v>47.28</v>
      </c>
      <c r="J603" s="22" t="s">
        <v>80</v>
      </c>
      <c r="K603" s="11" t="n">
        <v>38</v>
      </c>
      <c r="L603" s="23" t="n">
        <v>4.2</v>
      </c>
      <c r="M603" s="24" t="b">
        <f aca="false">FALSE()</f>
        <v>0</v>
      </c>
      <c r="N603" s="11"/>
      <c r="O603" s="11" t="str">
        <f aca="false">IF(K603&lt;=StockP33,"Low",IF(K603&lt;=StockP67,"Moderate","High"))</f>
        <v>High</v>
      </c>
      <c r="P603" s="11" t="str">
        <f aca="false">IF(H603=0,"Low",IF(H603&lt;=MarkdownP75,"Moderate","High"))</f>
        <v>Low</v>
      </c>
      <c r="Q603" s="11" t="str">
        <f aca="false">IF(ISBLANK(L603),"Unknown",IF(L603&gt;=4,"Good",IF(L603&lt;=2,"Poor","Neutral")))</f>
        <v>Good</v>
      </c>
      <c r="R603" s="11" t="str">
        <f aca="false">IF(AND(O603="Low",P603="Low",Q603="Good"),"BUY / PRIORITIZE",IF(AND(O603="High",P603="High",OR(Q603="Poor",M603=TRUE())),"HOLD / REVIEW","MONITOR"))</f>
        <v>MONITOR</v>
      </c>
      <c r="S603" s="11" t="n">
        <f aca="false">K603+(ROW()/10000000)</f>
        <v>38.0000603</v>
      </c>
    </row>
    <row r="604" customFormat="false" ht="15" hidden="false" customHeight="false" outlineLevel="0" collapsed="false">
      <c r="A604" s="11" t="s">
        <v>825</v>
      </c>
      <c r="B604" s="11" t="s">
        <v>26</v>
      </c>
      <c r="C604" s="11" t="s">
        <v>86</v>
      </c>
      <c r="D604" s="11" t="s">
        <v>34</v>
      </c>
      <c r="E604" s="11" t="s">
        <v>78</v>
      </c>
      <c r="F604" s="11" t="s">
        <v>98</v>
      </c>
      <c r="G604" s="21" t="n">
        <v>59.88</v>
      </c>
      <c r="H604" s="19" t="n">
        <v>0</v>
      </c>
      <c r="I604" s="21" t="n">
        <v>59.88</v>
      </c>
      <c r="J604" s="22" t="s">
        <v>826</v>
      </c>
      <c r="K604" s="11" t="n">
        <v>33</v>
      </c>
      <c r="L604" s="23" t="n">
        <v>2.9</v>
      </c>
      <c r="M604" s="24" t="b">
        <f aca="false">FALSE()</f>
        <v>0</v>
      </c>
      <c r="N604" s="11"/>
      <c r="O604" s="11" t="str">
        <f aca="false">IF(K604&lt;=StockP33,"Low",IF(K604&lt;=StockP67,"Moderate","High"))</f>
        <v>Moderate</v>
      </c>
      <c r="P604" s="11" t="str">
        <f aca="false">IF(H604=0,"Low",IF(H604&lt;=MarkdownP75,"Moderate","High"))</f>
        <v>Low</v>
      </c>
      <c r="Q604" s="11" t="str">
        <f aca="false">IF(ISBLANK(L604),"Unknown",IF(L604&gt;=4,"Good",IF(L604&lt;=2,"Poor","Neutral")))</f>
        <v>Neutral</v>
      </c>
      <c r="R604" s="11" t="str">
        <f aca="false">IF(AND(O604="Low",P604="Low",Q604="Good"),"BUY / PRIORITIZE",IF(AND(O604="High",P604="High",OR(Q604="Poor",M604=TRUE())),"HOLD / REVIEW","MONITOR"))</f>
        <v>MONITOR</v>
      </c>
      <c r="S604" s="11" t="n">
        <f aca="false">K604+(ROW()/10000000)</f>
        <v>33.0000604</v>
      </c>
    </row>
    <row r="605" customFormat="false" ht="15" hidden="false" customHeight="false" outlineLevel="0" collapsed="false">
      <c r="A605" s="11" t="s">
        <v>827</v>
      </c>
      <c r="B605" s="11" t="s">
        <v>27</v>
      </c>
      <c r="C605" s="11" t="s">
        <v>101</v>
      </c>
      <c r="D605" s="11" t="s">
        <v>37</v>
      </c>
      <c r="E605" s="11" t="s">
        <v>102</v>
      </c>
      <c r="F605" s="11" t="s">
        <v>82</v>
      </c>
      <c r="G605" s="21" t="n">
        <v>140.07</v>
      </c>
      <c r="H605" s="19" t="n">
        <v>0</v>
      </c>
      <c r="I605" s="21" t="n">
        <v>140.07</v>
      </c>
      <c r="J605" s="22" t="s">
        <v>80</v>
      </c>
      <c r="K605" s="11" t="n">
        <v>15</v>
      </c>
      <c r="L605" s="23" t="n">
        <v>2.7</v>
      </c>
      <c r="M605" s="24" t="b">
        <f aca="false">FALSE()</f>
        <v>0</v>
      </c>
      <c r="N605" s="11"/>
      <c r="O605" s="11" t="str">
        <f aca="false">IF(K605&lt;=StockP33,"Low",IF(K605&lt;=StockP67,"Moderate","High"))</f>
        <v>Low</v>
      </c>
      <c r="P605" s="11" t="str">
        <f aca="false">IF(H605=0,"Low",IF(H605&lt;=MarkdownP75,"Moderate","High"))</f>
        <v>Low</v>
      </c>
      <c r="Q605" s="11" t="str">
        <f aca="false">IF(ISBLANK(L605),"Unknown",IF(L605&gt;=4,"Good",IF(L605&lt;=2,"Poor","Neutral")))</f>
        <v>Neutral</v>
      </c>
      <c r="R605" s="11" t="str">
        <f aca="false">IF(AND(O605="Low",P605="Low",Q605="Good"),"BUY / PRIORITIZE",IF(AND(O605="High",P605="High",OR(Q605="Poor",M605=TRUE())),"HOLD / REVIEW","MONITOR"))</f>
        <v>MONITOR</v>
      </c>
      <c r="S605" s="11" t="n">
        <f aca="false">K605+(ROW()/10000000)</f>
        <v>15.0000605</v>
      </c>
    </row>
    <row r="606" customFormat="false" ht="15" hidden="false" customHeight="false" outlineLevel="0" collapsed="false">
      <c r="A606" s="11" t="s">
        <v>828</v>
      </c>
      <c r="B606" s="11" t="s">
        <v>8</v>
      </c>
      <c r="C606" s="11" t="s">
        <v>77</v>
      </c>
      <c r="D606" s="11" t="s">
        <v>37</v>
      </c>
      <c r="E606" s="11"/>
      <c r="F606" s="11" t="s">
        <v>82</v>
      </c>
      <c r="G606" s="21" t="n">
        <v>66.6</v>
      </c>
      <c r="H606" s="19" t="n">
        <v>0</v>
      </c>
      <c r="I606" s="21" t="n">
        <v>66.6</v>
      </c>
      <c r="J606" s="22" t="s">
        <v>80</v>
      </c>
      <c r="K606" s="11" t="n">
        <v>47</v>
      </c>
      <c r="L606" s="23" t="n">
        <v>4</v>
      </c>
      <c r="M606" s="24" t="b">
        <f aca="false">FALSE()</f>
        <v>0</v>
      </c>
      <c r="N606" s="11"/>
      <c r="O606" s="11" t="str">
        <f aca="false">IF(K606&lt;=StockP33,"Low",IF(K606&lt;=StockP67,"Moderate","High"))</f>
        <v>High</v>
      </c>
      <c r="P606" s="11" t="str">
        <f aca="false">IF(H606=0,"Low",IF(H606&lt;=MarkdownP75,"Moderate","High"))</f>
        <v>Low</v>
      </c>
      <c r="Q606" s="11" t="str">
        <f aca="false">IF(ISBLANK(L606),"Unknown",IF(L606&gt;=4,"Good",IF(L606&lt;=2,"Poor","Neutral")))</f>
        <v>Good</v>
      </c>
      <c r="R606" s="11" t="str">
        <f aca="false">IF(AND(O606="Low",P606="Low",Q606="Good"),"BUY / PRIORITIZE",IF(AND(O606="High",P606="High",OR(Q606="Poor",M606=TRUE())),"HOLD / REVIEW","MONITOR"))</f>
        <v>MONITOR</v>
      </c>
      <c r="S606" s="11" t="n">
        <f aca="false">K606+(ROW()/10000000)</f>
        <v>47.0000606</v>
      </c>
    </row>
    <row r="607" customFormat="false" ht="15" hidden="false" customHeight="false" outlineLevel="0" collapsed="false">
      <c r="A607" s="11" t="s">
        <v>829</v>
      </c>
      <c r="B607" s="11" t="s">
        <v>8</v>
      </c>
      <c r="C607" s="11" t="s">
        <v>116</v>
      </c>
      <c r="D607" s="11" t="s">
        <v>35</v>
      </c>
      <c r="E607" s="11"/>
      <c r="F607" s="11" t="s">
        <v>120</v>
      </c>
      <c r="G607" s="21" t="n">
        <v>39.82</v>
      </c>
      <c r="H607" s="19" t="n">
        <v>35.4</v>
      </c>
      <c r="I607" s="21" t="n">
        <v>25.72</v>
      </c>
      <c r="J607" s="22" t="s">
        <v>80</v>
      </c>
      <c r="K607" s="11" t="n">
        <v>9</v>
      </c>
      <c r="L607" s="23" t="n">
        <v>4.6</v>
      </c>
      <c r="M607" s="24" t="b">
        <f aca="false">FALSE()</f>
        <v>0</v>
      </c>
      <c r="N607" s="11"/>
      <c r="O607" s="11" t="str">
        <f aca="false">IF(K607&lt;=StockP33,"Low",IF(K607&lt;=StockP67,"Moderate","High"))</f>
        <v>Low</v>
      </c>
      <c r="P607" s="11" t="str">
        <f aca="false">IF(H607=0,"Low",IF(H607&lt;=MarkdownP75,"Moderate","High"))</f>
        <v>High</v>
      </c>
      <c r="Q607" s="11" t="str">
        <f aca="false">IF(ISBLANK(L607),"Unknown",IF(L607&gt;=4,"Good",IF(L607&lt;=2,"Poor","Neutral")))</f>
        <v>Good</v>
      </c>
      <c r="R607" s="11" t="str">
        <f aca="false">IF(AND(O607="Low",P607="Low",Q607="Good"),"BUY / PRIORITIZE",IF(AND(O607="High",P607="High",OR(Q607="Poor",M607=TRUE())),"HOLD / REVIEW","MONITOR"))</f>
        <v>MONITOR</v>
      </c>
      <c r="S607" s="11" t="n">
        <f aca="false">K607+(ROW()/10000000)</f>
        <v>9.0000607</v>
      </c>
    </row>
    <row r="608" customFormat="false" ht="15" hidden="false" customHeight="false" outlineLevel="0" collapsed="false">
      <c r="A608" s="11" t="s">
        <v>830</v>
      </c>
      <c r="B608" s="11" t="s">
        <v>8</v>
      </c>
      <c r="C608" s="11" t="s">
        <v>72</v>
      </c>
      <c r="D608" s="11" t="s">
        <v>36</v>
      </c>
      <c r="E608" s="11"/>
      <c r="F608" s="11" t="s">
        <v>74</v>
      </c>
      <c r="G608" s="21" t="n">
        <v>70.74</v>
      </c>
      <c r="H608" s="19" t="n">
        <v>0</v>
      </c>
      <c r="I608" s="21" t="n">
        <v>70.74</v>
      </c>
      <c r="J608" s="22" t="s">
        <v>80</v>
      </c>
      <c r="K608" s="11" t="n">
        <v>49</v>
      </c>
      <c r="L608" s="23" t="n">
        <v>1.8</v>
      </c>
      <c r="M608" s="24" t="b">
        <f aca="false">FALSE()</f>
        <v>0</v>
      </c>
      <c r="N608" s="11"/>
      <c r="O608" s="11" t="str">
        <f aca="false">IF(K608&lt;=StockP33,"Low",IF(K608&lt;=StockP67,"Moderate","High"))</f>
        <v>High</v>
      </c>
      <c r="P608" s="11" t="str">
        <f aca="false">IF(H608=0,"Low",IF(H608&lt;=MarkdownP75,"Moderate","High"))</f>
        <v>Low</v>
      </c>
      <c r="Q608" s="11" t="str">
        <f aca="false">IF(ISBLANK(L608),"Unknown",IF(L608&gt;=4,"Good",IF(L608&lt;=2,"Poor","Neutral")))</f>
        <v>Poor</v>
      </c>
      <c r="R608" s="11" t="str">
        <f aca="false">IF(AND(O608="Low",P608="Low",Q608="Good"),"BUY / PRIORITIZE",IF(AND(O608="High",P608="High",OR(Q608="Poor",M608=TRUE())),"HOLD / REVIEW","MONITOR"))</f>
        <v>MONITOR</v>
      </c>
      <c r="S608" s="11" t="n">
        <f aca="false">K608+(ROW()/10000000)</f>
        <v>49.0000608</v>
      </c>
    </row>
    <row r="609" customFormat="false" ht="15" hidden="false" customHeight="false" outlineLevel="0" collapsed="false">
      <c r="A609" s="11" t="s">
        <v>831</v>
      </c>
      <c r="B609" s="11" t="s">
        <v>27</v>
      </c>
      <c r="C609" s="11" t="s">
        <v>72</v>
      </c>
      <c r="D609" s="11" t="s">
        <v>34</v>
      </c>
      <c r="E609" s="11" t="s">
        <v>113</v>
      </c>
      <c r="F609" s="11" t="s">
        <v>74</v>
      </c>
      <c r="G609" s="21" t="n">
        <v>95.33</v>
      </c>
      <c r="H609" s="19" t="n">
        <v>0</v>
      </c>
      <c r="I609" s="21" t="n">
        <v>95.33</v>
      </c>
      <c r="J609" s="22" t="s">
        <v>832</v>
      </c>
      <c r="K609" s="11" t="n">
        <v>36</v>
      </c>
      <c r="L609" s="23"/>
      <c r="M609" s="24" t="b">
        <f aca="false">TRUE()</f>
        <v>1</v>
      </c>
      <c r="N609" s="11" t="s">
        <v>140</v>
      </c>
      <c r="O609" s="11" t="str">
        <f aca="false">IF(K609&lt;=StockP33,"Low",IF(K609&lt;=StockP67,"Moderate","High"))</f>
        <v>High</v>
      </c>
      <c r="P609" s="11" t="str">
        <f aca="false">IF(H609=0,"Low",IF(H609&lt;=MarkdownP75,"Moderate","High"))</f>
        <v>Low</v>
      </c>
      <c r="Q609" s="11" t="str">
        <f aca="false">IF(ISBLANK(L609),"Unknown",IF(L609&gt;=4,"Good",IF(L609&lt;=2,"Poor","Neutral")))</f>
        <v>Unknown</v>
      </c>
      <c r="R609" s="11" t="str">
        <f aca="false">IF(AND(O609="Low",P609="Low",Q609="Good"),"BUY / PRIORITIZE",IF(AND(O609="High",P609="High",OR(Q609="Poor",M609=TRUE())),"HOLD / REVIEW","MONITOR"))</f>
        <v>MONITOR</v>
      </c>
      <c r="S609" s="11" t="n">
        <f aca="false">K609+(ROW()/10000000)</f>
        <v>36.0000609</v>
      </c>
    </row>
    <row r="610" customFormat="false" ht="15" hidden="false" customHeight="false" outlineLevel="0" collapsed="false">
      <c r="A610" s="11" t="s">
        <v>833</v>
      </c>
      <c r="B610" s="11" t="s">
        <v>8</v>
      </c>
      <c r="C610" s="11" t="s">
        <v>130</v>
      </c>
      <c r="D610" s="11" t="s">
        <v>34</v>
      </c>
      <c r="E610" s="11"/>
      <c r="F610" s="11" t="s">
        <v>74</v>
      </c>
      <c r="G610" s="21" t="n">
        <v>32.62</v>
      </c>
      <c r="H610" s="19" t="n">
        <v>29.1</v>
      </c>
      <c r="I610" s="21" t="n">
        <v>23.13</v>
      </c>
      <c r="J610" s="22" t="s">
        <v>834</v>
      </c>
      <c r="K610" s="11" t="n">
        <v>9</v>
      </c>
      <c r="L610" s="23" t="n">
        <v>1.4</v>
      </c>
      <c r="M610" s="24" t="b">
        <f aca="false">FALSE()</f>
        <v>0</v>
      </c>
      <c r="N610" s="11"/>
      <c r="O610" s="11" t="str">
        <f aca="false">IF(K610&lt;=StockP33,"Low",IF(K610&lt;=StockP67,"Moderate","High"))</f>
        <v>Low</v>
      </c>
      <c r="P610" s="11" t="str">
        <f aca="false">IF(H610=0,"Low",IF(H610&lt;=MarkdownP75,"Moderate","High"))</f>
        <v>High</v>
      </c>
      <c r="Q610" s="11" t="str">
        <f aca="false">IF(ISBLANK(L610),"Unknown",IF(L610&gt;=4,"Good",IF(L610&lt;=2,"Poor","Neutral")))</f>
        <v>Poor</v>
      </c>
      <c r="R610" s="11" t="str">
        <f aca="false">IF(AND(O610="Low",P610="Low",Q610="Good"),"BUY / PRIORITIZE",IF(AND(O610="High",P610="High",OR(Q610="Poor",M610=TRUE())),"HOLD / REVIEW","MONITOR"))</f>
        <v>MONITOR</v>
      </c>
      <c r="S610" s="11" t="n">
        <f aca="false">K610+(ROW()/10000000)</f>
        <v>9.000061</v>
      </c>
    </row>
    <row r="611" customFormat="false" ht="15" hidden="false" customHeight="false" outlineLevel="0" collapsed="false">
      <c r="A611" s="11" t="s">
        <v>835</v>
      </c>
      <c r="B611" s="11" t="s">
        <v>26</v>
      </c>
      <c r="C611" s="11" t="s">
        <v>95</v>
      </c>
      <c r="D611" s="11" t="s">
        <v>35</v>
      </c>
      <c r="E611" s="11" t="s">
        <v>73</v>
      </c>
      <c r="F611" s="11" t="s">
        <v>120</v>
      </c>
      <c r="G611" s="21" t="n">
        <v>41.07</v>
      </c>
      <c r="H611" s="19" t="n">
        <v>0</v>
      </c>
      <c r="I611" s="21" t="n">
        <v>41.07</v>
      </c>
      <c r="J611" s="22" t="s">
        <v>80</v>
      </c>
      <c r="K611" s="11" t="n">
        <v>10</v>
      </c>
      <c r="L611" s="23" t="n">
        <v>4.8</v>
      </c>
      <c r="M611" s="24" t="b">
        <f aca="false">FALSE()</f>
        <v>0</v>
      </c>
      <c r="N611" s="11"/>
      <c r="O611" s="11" t="str">
        <f aca="false">IF(K611&lt;=StockP33,"Low",IF(K611&lt;=StockP67,"Moderate","High"))</f>
        <v>Low</v>
      </c>
      <c r="P611" s="11" t="str">
        <f aca="false">IF(H611=0,"Low",IF(H611&lt;=MarkdownP75,"Moderate","High"))</f>
        <v>Low</v>
      </c>
      <c r="Q611" s="11" t="str">
        <f aca="false">IF(ISBLANK(L611),"Unknown",IF(L611&gt;=4,"Good",IF(L611&lt;=2,"Poor","Neutral")))</f>
        <v>Good</v>
      </c>
      <c r="R611" s="11" t="str">
        <f aca="false">IF(AND(O611="Low",P611="Low",Q611="Good"),"BUY / PRIORITIZE",IF(AND(O611="High",P611="High",OR(Q611="Poor",M611=TRUE())),"HOLD / REVIEW","MONITOR"))</f>
        <v>BUY / PRIORITIZE</v>
      </c>
      <c r="S611" s="11" t="n">
        <f aca="false">K611+(ROW()/10000000)</f>
        <v>10.0000611</v>
      </c>
    </row>
    <row r="612" customFormat="false" ht="15" hidden="false" customHeight="false" outlineLevel="0" collapsed="false">
      <c r="A612" s="11" t="s">
        <v>836</v>
      </c>
      <c r="B612" s="11" t="s">
        <v>26</v>
      </c>
      <c r="C612" s="11" t="s">
        <v>72</v>
      </c>
      <c r="D612" s="11" t="s">
        <v>37</v>
      </c>
      <c r="E612" s="11" t="s">
        <v>73</v>
      </c>
      <c r="F612" s="11" t="s">
        <v>92</v>
      </c>
      <c r="G612" s="21" t="n">
        <v>43.1</v>
      </c>
      <c r="H612" s="19" t="n">
        <v>0</v>
      </c>
      <c r="I612" s="21" t="n">
        <v>43.1</v>
      </c>
      <c r="J612" s="22" t="s">
        <v>80</v>
      </c>
      <c r="K612" s="11" t="n">
        <v>34</v>
      </c>
      <c r="L612" s="23" t="n">
        <v>4.9</v>
      </c>
      <c r="M612" s="24" t="b">
        <f aca="false">FALSE()</f>
        <v>0</v>
      </c>
      <c r="N612" s="11"/>
      <c r="O612" s="11" t="str">
        <f aca="false">IF(K612&lt;=StockP33,"Low",IF(K612&lt;=StockP67,"Moderate","High"))</f>
        <v>High</v>
      </c>
      <c r="P612" s="11" t="str">
        <f aca="false">IF(H612=0,"Low",IF(H612&lt;=MarkdownP75,"Moderate","High"))</f>
        <v>Low</v>
      </c>
      <c r="Q612" s="11" t="str">
        <f aca="false">IF(ISBLANK(L612),"Unknown",IF(L612&gt;=4,"Good",IF(L612&lt;=2,"Poor","Neutral")))</f>
        <v>Good</v>
      </c>
      <c r="R612" s="11" t="str">
        <f aca="false">IF(AND(O612="Low",P612="Low",Q612="Good"),"BUY / PRIORITIZE",IF(AND(O612="High",P612="High",OR(Q612="Poor",M612=TRUE())),"HOLD / REVIEW","MONITOR"))</f>
        <v>MONITOR</v>
      </c>
      <c r="S612" s="11" t="n">
        <f aca="false">K612+(ROW()/10000000)</f>
        <v>34.0000612</v>
      </c>
    </row>
    <row r="613" customFormat="false" ht="15" hidden="false" customHeight="false" outlineLevel="0" collapsed="false">
      <c r="A613" s="11" t="s">
        <v>837</v>
      </c>
      <c r="B613" s="11" t="s">
        <v>28</v>
      </c>
      <c r="C613" s="11" t="s">
        <v>107</v>
      </c>
      <c r="D613" s="11" t="s">
        <v>37</v>
      </c>
      <c r="E613" s="11" t="s">
        <v>102</v>
      </c>
      <c r="F613" s="11" t="s">
        <v>118</v>
      </c>
      <c r="G613" s="21" t="n">
        <v>102.03</v>
      </c>
      <c r="H613" s="19" t="n">
        <v>27.9</v>
      </c>
      <c r="I613" s="21" t="n">
        <v>73.56</v>
      </c>
      <c r="J613" s="22" t="s">
        <v>80</v>
      </c>
      <c r="K613" s="11" t="n">
        <v>21</v>
      </c>
      <c r="L613" s="23" t="n">
        <v>2.2</v>
      </c>
      <c r="M613" s="24" t="b">
        <f aca="false">TRUE()</f>
        <v>1</v>
      </c>
      <c r="N613" s="11" t="s">
        <v>128</v>
      </c>
      <c r="O613" s="11" t="str">
        <f aca="false">IF(K613&lt;=StockP33,"Low",IF(K613&lt;=StockP67,"Moderate","High"))</f>
        <v>Moderate</v>
      </c>
      <c r="P613" s="11" t="str">
        <f aca="false">IF(H613=0,"Low",IF(H613&lt;=MarkdownP75,"Moderate","High"))</f>
        <v>High</v>
      </c>
      <c r="Q613" s="11" t="str">
        <f aca="false">IF(ISBLANK(L613),"Unknown",IF(L613&gt;=4,"Good",IF(L613&lt;=2,"Poor","Neutral")))</f>
        <v>Neutral</v>
      </c>
      <c r="R613" s="11" t="str">
        <f aca="false">IF(AND(O613="Low",P613="Low",Q613="Good"),"BUY / PRIORITIZE",IF(AND(O613="High",P613="High",OR(Q613="Poor",M613=TRUE())),"HOLD / REVIEW","MONITOR"))</f>
        <v>MONITOR</v>
      </c>
      <c r="S613" s="11" t="n">
        <f aca="false">K613+(ROW()/10000000)</f>
        <v>21.0000613</v>
      </c>
    </row>
    <row r="614" customFormat="false" ht="15" hidden="false" customHeight="false" outlineLevel="0" collapsed="false">
      <c r="A614" s="11" t="s">
        <v>838</v>
      </c>
      <c r="B614" s="11" t="s">
        <v>8</v>
      </c>
      <c r="C614" s="11" t="s">
        <v>95</v>
      </c>
      <c r="D614" s="11" t="s">
        <v>37</v>
      </c>
      <c r="E614" s="11"/>
      <c r="F614" s="11" t="s">
        <v>74</v>
      </c>
      <c r="G614" s="21" t="n">
        <v>54.11</v>
      </c>
      <c r="H614" s="19" t="n">
        <v>0</v>
      </c>
      <c r="I614" s="21" t="n">
        <v>54.11</v>
      </c>
      <c r="J614" s="22" t="s">
        <v>80</v>
      </c>
      <c r="K614" s="11" t="n">
        <v>15</v>
      </c>
      <c r="L614" s="23" t="n">
        <v>2.6</v>
      </c>
      <c r="M614" s="24" t="b">
        <f aca="false">FALSE()</f>
        <v>0</v>
      </c>
      <c r="N614" s="11"/>
      <c r="O614" s="11" t="str">
        <f aca="false">IF(K614&lt;=StockP33,"Low",IF(K614&lt;=StockP67,"Moderate","High"))</f>
        <v>Low</v>
      </c>
      <c r="P614" s="11" t="str">
        <f aca="false">IF(H614=0,"Low",IF(H614&lt;=MarkdownP75,"Moderate","High"))</f>
        <v>Low</v>
      </c>
      <c r="Q614" s="11" t="str">
        <f aca="false">IF(ISBLANK(L614),"Unknown",IF(L614&gt;=4,"Good",IF(L614&lt;=2,"Poor","Neutral")))</f>
        <v>Neutral</v>
      </c>
      <c r="R614" s="11" t="str">
        <f aca="false">IF(AND(O614="Low",P614="Low",Q614="Good"),"BUY / PRIORITIZE",IF(AND(O614="High",P614="High",OR(Q614="Poor",M614=TRUE())),"HOLD / REVIEW","MONITOR"))</f>
        <v>MONITOR</v>
      </c>
      <c r="S614" s="11" t="n">
        <f aca="false">K614+(ROW()/10000000)</f>
        <v>15.0000614</v>
      </c>
    </row>
    <row r="615" customFormat="false" ht="15" hidden="false" customHeight="false" outlineLevel="0" collapsed="false">
      <c r="A615" s="11" t="s">
        <v>839</v>
      </c>
      <c r="B615" s="11" t="s">
        <v>8</v>
      </c>
      <c r="C615" s="11" t="s">
        <v>95</v>
      </c>
      <c r="D615" s="11" t="s">
        <v>37</v>
      </c>
      <c r="E615" s="11"/>
      <c r="F615" s="11" t="s">
        <v>120</v>
      </c>
      <c r="G615" s="21" t="n">
        <v>43.5</v>
      </c>
      <c r="H615" s="19" t="n">
        <v>0</v>
      </c>
      <c r="I615" s="21" t="n">
        <v>43.5</v>
      </c>
      <c r="J615" s="22" t="s">
        <v>80</v>
      </c>
      <c r="K615" s="11" t="n">
        <v>35</v>
      </c>
      <c r="L615" s="23" t="n">
        <v>2.8</v>
      </c>
      <c r="M615" s="24" t="b">
        <f aca="false">FALSE()</f>
        <v>0</v>
      </c>
      <c r="N615" s="11"/>
      <c r="O615" s="11" t="str">
        <f aca="false">IF(K615&lt;=StockP33,"Low",IF(K615&lt;=StockP67,"Moderate","High"))</f>
        <v>High</v>
      </c>
      <c r="P615" s="11" t="str">
        <f aca="false">IF(H615=0,"Low",IF(H615&lt;=MarkdownP75,"Moderate","High"))</f>
        <v>Low</v>
      </c>
      <c r="Q615" s="11" t="str">
        <f aca="false">IF(ISBLANK(L615),"Unknown",IF(L615&gt;=4,"Good",IF(L615&lt;=2,"Poor","Neutral")))</f>
        <v>Neutral</v>
      </c>
      <c r="R615" s="11" t="str">
        <f aca="false">IF(AND(O615="Low",P615="Low",Q615="Good"),"BUY / PRIORITIZE",IF(AND(O615="High",P615="High",OR(Q615="Poor",M615=TRUE())),"HOLD / REVIEW","MONITOR"))</f>
        <v>MONITOR</v>
      </c>
      <c r="S615" s="11" t="n">
        <f aca="false">K615+(ROW()/10000000)</f>
        <v>35.0000615</v>
      </c>
    </row>
    <row r="616" customFormat="false" ht="15" hidden="false" customHeight="false" outlineLevel="0" collapsed="false">
      <c r="A616" s="11" t="s">
        <v>840</v>
      </c>
      <c r="B616" s="11" t="s">
        <v>8</v>
      </c>
      <c r="C616" s="11" t="s">
        <v>86</v>
      </c>
      <c r="D616" s="11" t="s">
        <v>37</v>
      </c>
      <c r="E616" s="11"/>
      <c r="F616" s="11" t="s">
        <v>79</v>
      </c>
      <c r="G616" s="21" t="n">
        <v>66</v>
      </c>
      <c r="H616" s="19" t="n">
        <v>0</v>
      </c>
      <c r="I616" s="21" t="n">
        <v>66</v>
      </c>
      <c r="J616" s="22" t="s">
        <v>80</v>
      </c>
      <c r="K616" s="11" t="n">
        <v>19</v>
      </c>
      <c r="L616" s="23" t="n">
        <v>2.6</v>
      </c>
      <c r="M616" s="24" t="b">
        <f aca="false">FALSE()</f>
        <v>0</v>
      </c>
      <c r="N616" s="11"/>
      <c r="O616" s="11" t="str">
        <f aca="false">IF(K616&lt;=StockP33,"Low",IF(K616&lt;=StockP67,"Moderate","High"))</f>
        <v>Moderate</v>
      </c>
      <c r="P616" s="11" t="str">
        <f aca="false">IF(H616=0,"Low",IF(H616&lt;=MarkdownP75,"Moderate","High"))</f>
        <v>Low</v>
      </c>
      <c r="Q616" s="11" t="str">
        <f aca="false">IF(ISBLANK(L616),"Unknown",IF(L616&gt;=4,"Good",IF(L616&lt;=2,"Poor","Neutral")))</f>
        <v>Neutral</v>
      </c>
      <c r="R616" s="11" t="str">
        <f aca="false">IF(AND(O616="Low",P616="Low",Q616="Good"),"BUY / PRIORITIZE",IF(AND(O616="High",P616="High",OR(Q616="Poor",M616=TRUE())),"HOLD / REVIEW","MONITOR"))</f>
        <v>MONITOR</v>
      </c>
      <c r="S616" s="11" t="n">
        <f aca="false">K616+(ROW()/10000000)</f>
        <v>19.0000616</v>
      </c>
    </row>
    <row r="617" customFormat="false" ht="15" hidden="false" customHeight="false" outlineLevel="0" collapsed="false">
      <c r="A617" s="11" t="s">
        <v>841</v>
      </c>
      <c r="B617" s="11" t="s">
        <v>26</v>
      </c>
      <c r="C617" s="11" t="s">
        <v>86</v>
      </c>
      <c r="D617" s="11" t="s">
        <v>35</v>
      </c>
      <c r="E617" s="11" t="s">
        <v>113</v>
      </c>
      <c r="F617" s="11" t="s">
        <v>88</v>
      </c>
      <c r="G617" s="21" t="n">
        <v>38.85</v>
      </c>
      <c r="H617" s="19" t="n">
        <v>0</v>
      </c>
      <c r="I617" s="21" t="n">
        <v>38.85</v>
      </c>
      <c r="J617" s="22" t="s">
        <v>80</v>
      </c>
      <c r="K617" s="11" t="n">
        <v>10</v>
      </c>
      <c r="L617" s="23" t="n">
        <v>3.8</v>
      </c>
      <c r="M617" s="24" t="b">
        <f aca="false">FALSE()</f>
        <v>0</v>
      </c>
      <c r="N617" s="11"/>
      <c r="O617" s="11" t="str">
        <f aca="false">IF(K617&lt;=StockP33,"Low",IF(K617&lt;=StockP67,"Moderate","High"))</f>
        <v>Low</v>
      </c>
      <c r="P617" s="11" t="str">
        <f aca="false">IF(H617=0,"Low",IF(H617&lt;=MarkdownP75,"Moderate","High"))</f>
        <v>Low</v>
      </c>
      <c r="Q617" s="11" t="str">
        <f aca="false">IF(ISBLANK(L617),"Unknown",IF(L617&gt;=4,"Good",IF(L617&lt;=2,"Poor","Neutral")))</f>
        <v>Neutral</v>
      </c>
      <c r="R617" s="11" t="str">
        <f aca="false">IF(AND(O617="Low",P617="Low",Q617="Good"),"BUY / PRIORITIZE",IF(AND(O617="High",P617="High",OR(Q617="Poor",M617=TRUE())),"HOLD / REVIEW","MONITOR"))</f>
        <v>MONITOR</v>
      </c>
      <c r="S617" s="11" t="n">
        <f aca="false">K617+(ROW()/10000000)</f>
        <v>10.0000617</v>
      </c>
    </row>
    <row r="618" customFormat="false" ht="15" hidden="false" customHeight="false" outlineLevel="0" collapsed="false">
      <c r="A618" s="11" t="s">
        <v>842</v>
      </c>
      <c r="B618" s="11" t="s">
        <v>8</v>
      </c>
      <c r="C618" s="11" t="s">
        <v>72</v>
      </c>
      <c r="D618" s="11" t="s">
        <v>35</v>
      </c>
      <c r="E618" s="11"/>
      <c r="F618" s="11" t="s">
        <v>111</v>
      </c>
      <c r="G618" s="21" t="n">
        <v>61.29</v>
      </c>
      <c r="H618" s="19" t="n">
        <v>0</v>
      </c>
      <c r="I618" s="21" t="n">
        <v>61.29</v>
      </c>
      <c r="J618" s="22" t="s">
        <v>80</v>
      </c>
      <c r="K618" s="11" t="n">
        <v>15</v>
      </c>
      <c r="L618" s="23" t="n">
        <v>4</v>
      </c>
      <c r="M618" s="24" t="b">
        <f aca="false">FALSE()</f>
        <v>0</v>
      </c>
      <c r="N618" s="11"/>
      <c r="O618" s="11" t="str">
        <f aca="false">IF(K618&lt;=StockP33,"Low",IF(K618&lt;=StockP67,"Moderate","High"))</f>
        <v>Low</v>
      </c>
      <c r="P618" s="11" t="str">
        <f aca="false">IF(H618=0,"Low",IF(H618&lt;=MarkdownP75,"Moderate","High"))</f>
        <v>Low</v>
      </c>
      <c r="Q618" s="11" t="str">
        <f aca="false">IF(ISBLANK(L618),"Unknown",IF(L618&gt;=4,"Good",IF(L618&lt;=2,"Poor","Neutral")))</f>
        <v>Good</v>
      </c>
      <c r="R618" s="11" t="str">
        <f aca="false">IF(AND(O618="Low",P618="Low",Q618="Good"),"BUY / PRIORITIZE",IF(AND(O618="High",P618="High",OR(Q618="Poor",M618=TRUE())),"HOLD / REVIEW","MONITOR"))</f>
        <v>BUY / PRIORITIZE</v>
      </c>
      <c r="S618" s="11" t="n">
        <f aca="false">K618+(ROW()/10000000)</f>
        <v>15.0000618</v>
      </c>
    </row>
    <row r="619" customFormat="false" ht="15" hidden="false" customHeight="false" outlineLevel="0" collapsed="false">
      <c r="A619" s="11" t="s">
        <v>843</v>
      </c>
      <c r="B619" s="11" t="s">
        <v>26</v>
      </c>
      <c r="C619" s="11" t="s">
        <v>101</v>
      </c>
      <c r="D619" s="11" t="s">
        <v>34</v>
      </c>
      <c r="E619" s="11" t="s">
        <v>110</v>
      </c>
      <c r="F619" s="11" t="s">
        <v>111</v>
      </c>
      <c r="G619" s="21" t="n">
        <v>90.66</v>
      </c>
      <c r="H619" s="19" t="n">
        <v>0</v>
      </c>
      <c r="I619" s="21" t="n">
        <v>90.66</v>
      </c>
      <c r="J619" s="22" t="s">
        <v>844</v>
      </c>
      <c r="K619" s="11" t="n">
        <v>49</v>
      </c>
      <c r="L619" s="23" t="n">
        <v>2.4</v>
      </c>
      <c r="M619" s="24" t="b">
        <f aca="false">TRUE()</f>
        <v>1</v>
      </c>
      <c r="N619" s="11" t="s">
        <v>89</v>
      </c>
      <c r="O619" s="11" t="str">
        <f aca="false">IF(K619&lt;=StockP33,"Low",IF(K619&lt;=StockP67,"Moderate","High"))</f>
        <v>High</v>
      </c>
      <c r="P619" s="11" t="str">
        <f aca="false">IF(H619=0,"Low",IF(H619&lt;=MarkdownP75,"Moderate","High"))</f>
        <v>Low</v>
      </c>
      <c r="Q619" s="11" t="str">
        <f aca="false">IF(ISBLANK(L619),"Unknown",IF(L619&gt;=4,"Good",IF(L619&lt;=2,"Poor","Neutral")))</f>
        <v>Neutral</v>
      </c>
      <c r="R619" s="11" t="str">
        <f aca="false">IF(AND(O619="Low",P619="Low",Q619="Good"),"BUY / PRIORITIZE",IF(AND(O619="High",P619="High",OR(Q619="Poor",M619=TRUE())),"HOLD / REVIEW","MONITOR"))</f>
        <v>MONITOR</v>
      </c>
      <c r="S619" s="11" t="n">
        <f aca="false">K619+(ROW()/10000000)</f>
        <v>49.0000619</v>
      </c>
    </row>
    <row r="620" customFormat="false" ht="15" hidden="false" customHeight="false" outlineLevel="0" collapsed="false">
      <c r="A620" s="11" t="s">
        <v>845</v>
      </c>
      <c r="B620" s="11" t="s">
        <v>27</v>
      </c>
      <c r="C620" s="11" t="s">
        <v>95</v>
      </c>
      <c r="D620" s="11" t="s">
        <v>36</v>
      </c>
      <c r="E620" s="11" t="s">
        <v>73</v>
      </c>
      <c r="F620" s="11" t="s">
        <v>98</v>
      </c>
      <c r="G620" s="21" t="n">
        <v>119.96</v>
      </c>
      <c r="H620" s="19" t="n">
        <v>0</v>
      </c>
      <c r="I620" s="21" t="n">
        <v>119.96</v>
      </c>
      <c r="J620" s="22" t="s">
        <v>80</v>
      </c>
      <c r="K620" s="11" t="n">
        <v>5</v>
      </c>
      <c r="L620" s="23" t="n">
        <v>5</v>
      </c>
      <c r="M620" s="24" t="b">
        <f aca="false">FALSE()</f>
        <v>0</v>
      </c>
      <c r="N620" s="11"/>
      <c r="O620" s="11" t="str">
        <f aca="false">IF(K620&lt;=StockP33,"Low",IF(K620&lt;=StockP67,"Moderate","High"))</f>
        <v>Low</v>
      </c>
      <c r="P620" s="11" t="str">
        <f aca="false">IF(H620=0,"Low",IF(H620&lt;=MarkdownP75,"Moderate","High"))</f>
        <v>Low</v>
      </c>
      <c r="Q620" s="11" t="str">
        <f aca="false">IF(ISBLANK(L620),"Unknown",IF(L620&gt;=4,"Good",IF(L620&lt;=2,"Poor","Neutral")))</f>
        <v>Good</v>
      </c>
      <c r="R620" s="11" t="str">
        <f aca="false">IF(AND(O620="Low",P620="Low",Q620="Good"),"BUY / PRIORITIZE",IF(AND(O620="High",P620="High",OR(Q620="Poor",M620=TRUE())),"HOLD / REVIEW","MONITOR"))</f>
        <v>BUY / PRIORITIZE</v>
      </c>
      <c r="S620" s="11" t="n">
        <f aca="false">K620+(ROW()/10000000)</f>
        <v>5.000062</v>
      </c>
    </row>
    <row r="621" customFormat="false" ht="15" hidden="false" customHeight="false" outlineLevel="0" collapsed="false">
      <c r="A621" s="11" t="s">
        <v>846</v>
      </c>
      <c r="B621" s="11" t="s">
        <v>29</v>
      </c>
      <c r="C621" s="11" t="s">
        <v>130</v>
      </c>
      <c r="D621" s="11" t="s">
        <v>36</v>
      </c>
      <c r="E621" s="11" t="s">
        <v>102</v>
      </c>
      <c r="F621" s="11" t="s">
        <v>74</v>
      </c>
      <c r="G621" s="21" t="n">
        <v>130.21</v>
      </c>
      <c r="H621" s="19" t="n">
        <v>0</v>
      </c>
      <c r="I621" s="21" t="n">
        <v>130.21</v>
      </c>
      <c r="J621" s="22" t="s">
        <v>80</v>
      </c>
      <c r="K621" s="11" t="n">
        <v>50</v>
      </c>
      <c r="L621" s="23" t="n">
        <v>4.7</v>
      </c>
      <c r="M621" s="24" t="b">
        <f aca="false">FALSE()</f>
        <v>0</v>
      </c>
      <c r="N621" s="11"/>
      <c r="O621" s="11" t="str">
        <f aca="false">IF(K621&lt;=StockP33,"Low",IF(K621&lt;=StockP67,"Moderate","High"))</f>
        <v>High</v>
      </c>
      <c r="P621" s="11" t="str">
        <f aca="false">IF(H621=0,"Low",IF(H621&lt;=MarkdownP75,"Moderate","High"))</f>
        <v>Low</v>
      </c>
      <c r="Q621" s="11" t="str">
        <f aca="false">IF(ISBLANK(L621),"Unknown",IF(L621&gt;=4,"Good",IF(L621&lt;=2,"Poor","Neutral")))</f>
        <v>Good</v>
      </c>
      <c r="R621" s="11" t="str">
        <f aca="false">IF(AND(O621="Low",P621="Low",Q621="Good"),"BUY / PRIORITIZE",IF(AND(O621="High",P621="High",OR(Q621="Poor",M621=TRUE())),"HOLD / REVIEW","MONITOR"))</f>
        <v>MONITOR</v>
      </c>
      <c r="S621" s="11" t="n">
        <f aca="false">K621+(ROW()/10000000)</f>
        <v>50.0000621</v>
      </c>
    </row>
    <row r="622" customFormat="false" ht="15" hidden="false" customHeight="false" outlineLevel="0" collapsed="false">
      <c r="A622" s="11" t="s">
        <v>847</v>
      </c>
      <c r="B622" s="11" t="s">
        <v>30</v>
      </c>
      <c r="C622" s="11" t="s">
        <v>86</v>
      </c>
      <c r="D622" s="11" t="s">
        <v>37</v>
      </c>
      <c r="E622" s="11" t="s">
        <v>110</v>
      </c>
      <c r="F622" s="11" t="s">
        <v>74</v>
      </c>
      <c r="G622" s="21" t="n">
        <v>49.68</v>
      </c>
      <c r="H622" s="19" t="n">
        <v>0</v>
      </c>
      <c r="I622" s="21" t="n">
        <v>49.68</v>
      </c>
      <c r="J622" s="22" t="s">
        <v>80</v>
      </c>
      <c r="K622" s="11" t="n">
        <v>15</v>
      </c>
      <c r="L622" s="23" t="n">
        <v>2.8</v>
      </c>
      <c r="M622" s="24" t="b">
        <f aca="false">FALSE()</f>
        <v>0</v>
      </c>
      <c r="N622" s="11"/>
      <c r="O622" s="11" t="str">
        <f aca="false">IF(K622&lt;=StockP33,"Low",IF(K622&lt;=StockP67,"Moderate","High"))</f>
        <v>Low</v>
      </c>
      <c r="P622" s="11" t="str">
        <f aca="false">IF(H622=0,"Low",IF(H622&lt;=MarkdownP75,"Moderate","High"))</f>
        <v>Low</v>
      </c>
      <c r="Q622" s="11" t="str">
        <f aca="false">IF(ISBLANK(L622),"Unknown",IF(L622&gt;=4,"Good",IF(L622&lt;=2,"Poor","Neutral")))</f>
        <v>Neutral</v>
      </c>
      <c r="R622" s="11" t="str">
        <f aca="false">IF(AND(O622="Low",P622="Low",Q622="Good"),"BUY / PRIORITIZE",IF(AND(O622="High",P622="High",OR(Q622="Poor",M622=TRUE())),"HOLD / REVIEW","MONITOR"))</f>
        <v>MONITOR</v>
      </c>
      <c r="S622" s="11" t="n">
        <f aca="false">K622+(ROW()/10000000)</f>
        <v>15.0000622</v>
      </c>
    </row>
    <row r="623" customFormat="false" ht="15" hidden="false" customHeight="false" outlineLevel="0" collapsed="false">
      <c r="A623" s="11" t="s">
        <v>848</v>
      </c>
      <c r="B623" s="11" t="s">
        <v>8</v>
      </c>
      <c r="C623" s="11" t="s">
        <v>72</v>
      </c>
      <c r="D623" s="11" t="s">
        <v>34</v>
      </c>
      <c r="E623" s="11"/>
      <c r="F623" s="11" t="s">
        <v>120</v>
      </c>
      <c r="G623" s="21" t="n">
        <v>46.58</v>
      </c>
      <c r="H623" s="19" t="n">
        <v>0</v>
      </c>
      <c r="I623" s="21" t="n">
        <v>46.58</v>
      </c>
      <c r="J623" s="22" t="s">
        <v>708</v>
      </c>
      <c r="K623" s="11" t="n">
        <v>42</v>
      </c>
      <c r="L623" s="23" t="n">
        <v>1.7</v>
      </c>
      <c r="M623" s="24" t="b">
        <f aca="false">FALSE()</f>
        <v>0</v>
      </c>
      <c r="N623" s="11"/>
      <c r="O623" s="11" t="str">
        <f aca="false">IF(K623&lt;=StockP33,"Low",IF(K623&lt;=StockP67,"Moderate","High"))</f>
        <v>High</v>
      </c>
      <c r="P623" s="11" t="str">
        <f aca="false">IF(H623=0,"Low",IF(H623&lt;=MarkdownP75,"Moderate","High"))</f>
        <v>Low</v>
      </c>
      <c r="Q623" s="11" t="str">
        <f aca="false">IF(ISBLANK(L623),"Unknown",IF(L623&gt;=4,"Good",IF(L623&lt;=2,"Poor","Neutral")))</f>
        <v>Poor</v>
      </c>
      <c r="R623" s="11" t="str">
        <f aca="false">IF(AND(O623="Low",P623="Low",Q623="Good"),"BUY / PRIORITIZE",IF(AND(O623="High",P623="High",OR(Q623="Poor",M623=TRUE())),"HOLD / REVIEW","MONITOR"))</f>
        <v>MONITOR</v>
      </c>
      <c r="S623" s="11" t="n">
        <f aca="false">K623+(ROW()/10000000)</f>
        <v>42.0000623</v>
      </c>
    </row>
    <row r="624" customFormat="false" ht="15" hidden="false" customHeight="false" outlineLevel="0" collapsed="false">
      <c r="A624" s="11" t="s">
        <v>849</v>
      </c>
      <c r="B624" s="11" t="s">
        <v>8</v>
      </c>
      <c r="C624" s="11" t="s">
        <v>95</v>
      </c>
      <c r="D624" s="11" t="s">
        <v>35</v>
      </c>
      <c r="E624" s="11"/>
      <c r="F624" s="11" t="s">
        <v>124</v>
      </c>
      <c r="G624" s="21" t="n">
        <v>69.88</v>
      </c>
      <c r="H624" s="19" t="n">
        <v>0</v>
      </c>
      <c r="I624" s="21" t="n">
        <v>69.88</v>
      </c>
      <c r="J624" s="22" t="s">
        <v>80</v>
      </c>
      <c r="K624" s="11" t="n">
        <v>8</v>
      </c>
      <c r="L624" s="23" t="n">
        <v>2.8</v>
      </c>
      <c r="M624" s="24" t="b">
        <f aca="false">FALSE()</f>
        <v>0</v>
      </c>
      <c r="N624" s="11"/>
      <c r="O624" s="11" t="str">
        <f aca="false">IF(K624&lt;=StockP33,"Low",IF(K624&lt;=StockP67,"Moderate","High"))</f>
        <v>Low</v>
      </c>
      <c r="P624" s="11" t="str">
        <f aca="false">IF(H624=0,"Low",IF(H624&lt;=MarkdownP75,"Moderate","High"))</f>
        <v>Low</v>
      </c>
      <c r="Q624" s="11" t="str">
        <f aca="false">IF(ISBLANK(L624),"Unknown",IF(L624&gt;=4,"Good",IF(L624&lt;=2,"Poor","Neutral")))</f>
        <v>Neutral</v>
      </c>
      <c r="R624" s="11" t="str">
        <f aca="false">IF(AND(O624="Low",P624="Low",Q624="Good"),"BUY / PRIORITIZE",IF(AND(O624="High",P624="High",OR(Q624="Poor",M624=TRUE())),"HOLD / REVIEW","MONITOR"))</f>
        <v>MONITOR</v>
      </c>
      <c r="S624" s="11" t="n">
        <f aca="false">K624+(ROW()/10000000)</f>
        <v>8.0000624</v>
      </c>
    </row>
    <row r="625" customFormat="false" ht="15" hidden="false" customHeight="false" outlineLevel="0" collapsed="false">
      <c r="A625" s="11" t="s">
        <v>850</v>
      </c>
      <c r="B625" s="11" t="s">
        <v>8</v>
      </c>
      <c r="C625" s="11" t="s">
        <v>130</v>
      </c>
      <c r="D625" s="11" t="s">
        <v>36</v>
      </c>
      <c r="E625" s="11"/>
      <c r="F625" s="11" t="s">
        <v>98</v>
      </c>
      <c r="G625" s="21" t="n">
        <v>32.15</v>
      </c>
      <c r="H625" s="19" t="n">
        <v>0</v>
      </c>
      <c r="I625" s="21" t="n">
        <v>32.15</v>
      </c>
      <c r="J625" s="22" t="s">
        <v>80</v>
      </c>
      <c r="K625" s="11" t="n">
        <v>17</v>
      </c>
      <c r="L625" s="23" t="n">
        <v>1.9</v>
      </c>
      <c r="M625" s="24" t="b">
        <f aca="false">TRUE()</f>
        <v>1</v>
      </c>
      <c r="N625" s="11" t="s">
        <v>140</v>
      </c>
      <c r="O625" s="11" t="str">
        <f aca="false">IF(K625&lt;=StockP33,"Low",IF(K625&lt;=StockP67,"Moderate","High"))</f>
        <v>Low</v>
      </c>
      <c r="P625" s="11" t="str">
        <f aca="false">IF(H625=0,"Low",IF(H625&lt;=MarkdownP75,"Moderate","High"))</f>
        <v>Low</v>
      </c>
      <c r="Q625" s="11" t="str">
        <f aca="false">IF(ISBLANK(L625),"Unknown",IF(L625&gt;=4,"Good",IF(L625&lt;=2,"Poor","Neutral")))</f>
        <v>Poor</v>
      </c>
      <c r="R625" s="11" t="str">
        <f aca="false">IF(AND(O625="Low",P625="Low",Q625="Good"),"BUY / PRIORITIZE",IF(AND(O625="High",P625="High",OR(Q625="Poor",M625=TRUE())),"HOLD / REVIEW","MONITOR"))</f>
        <v>MONITOR</v>
      </c>
      <c r="S625" s="11" t="n">
        <f aca="false">K625+(ROW()/10000000)</f>
        <v>17.0000625</v>
      </c>
    </row>
    <row r="626" customFormat="false" ht="15" hidden="false" customHeight="false" outlineLevel="0" collapsed="false">
      <c r="A626" s="11" t="s">
        <v>851</v>
      </c>
      <c r="B626" s="11" t="s">
        <v>26</v>
      </c>
      <c r="C626" s="11" t="s">
        <v>130</v>
      </c>
      <c r="D626" s="11" t="s">
        <v>35</v>
      </c>
      <c r="E626" s="11" t="s">
        <v>91</v>
      </c>
      <c r="F626" s="11" t="s">
        <v>82</v>
      </c>
      <c r="G626" s="21" t="n">
        <v>36.34</v>
      </c>
      <c r="H626" s="19" t="n">
        <v>0</v>
      </c>
      <c r="I626" s="21" t="n">
        <v>36.34</v>
      </c>
      <c r="J626" s="22" t="s">
        <v>80</v>
      </c>
      <c r="K626" s="11" t="n">
        <v>6</v>
      </c>
      <c r="L626" s="23" t="n">
        <v>4.5</v>
      </c>
      <c r="M626" s="24" t="b">
        <f aca="false">TRUE()</f>
        <v>1</v>
      </c>
      <c r="N626" s="11" t="s">
        <v>134</v>
      </c>
      <c r="O626" s="11" t="str">
        <f aca="false">IF(K626&lt;=StockP33,"Low",IF(K626&lt;=StockP67,"Moderate","High"))</f>
        <v>Low</v>
      </c>
      <c r="P626" s="11" t="str">
        <f aca="false">IF(H626=0,"Low",IF(H626&lt;=MarkdownP75,"Moderate","High"))</f>
        <v>Low</v>
      </c>
      <c r="Q626" s="11" t="str">
        <f aca="false">IF(ISBLANK(L626),"Unknown",IF(L626&gt;=4,"Good",IF(L626&lt;=2,"Poor","Neutral")))</f>
        <v>Good</v>
      </c>
      <c r="R626" s="11" t="str">
        <f aca="false">IF(AND(O626="Low",P626="Low",Q626="Good"),"BUY / PRIORITIZE",IF(AND(O626="High",P626="High",OR(Q626="Poor",M626=TRUE())),"HOLD / REVIEW","MONITOR"))</f>
        <v>BUY / PRIORITIZE</v>
      </c>
      <c r="S626" s="11" t="n">
        <f aca="false">K626+(ROW()/10000000)</f>
        <v>6.0000626</v>
      </c>
    </row>
    <row r="627" customFormat="false" ht="15" hidden="false" customHeight="false" outlineLevel="0" collapsed="false">
      <c r="A627" s="11" t="s">
        <v>852</v>
      </c>
      <c r="B627" s="11" t="s">
        <v>26</v>
      </c>
      <c r="C627" s="11" t="s">
        <v>95</v>
      </c>
      <c r="D627" s="11" t="s">
        <v>36</v>
      </c>
      <c r="E627" s="11" t="s">
        <v>113</v>
      </c>
      <c r="F627" s="11" t="s">
        <v>111</v>
      </c>
      <c r="G627" s="21" t="n">
        <v>93.01</v>
      </c>
      <c r="H627" s="19" t="n">
        <v>0</v>
      </c>
      <c r="I627" s="21" t="n">
        <v>93.01</v>
      </c>
      <c r="J627" s="22" t="s">
        <v>80</v>
      </c>
      <c r="K627" s="11" t="n">
        <v>34</v>
      </c>
      <c r="L627" s="23" t="n">
        <v>1.4</v>
      </c>
      <c r="M627" s="24" t="b">
        <f aca="false">FALSE()</f>
        <v>0</v>
      </c>
      <c r="N627" s="11"/>
      <c r="O627" s="11" t="str">
        <f aca="false">IF(K627&lt;=StockP33,"Low",IF(K627&lt;=StockP67,"Moderate","High"))</f>
        <v>High</v>
      </c>
      <c r="P627" s="11" t="str">
        <f aca="false">IF(H627=0,"Low",IF(H627&lt;=MarkdownP75,"Moderate","High"))</f>
        <v>Low</v>
      </c>
      <c r="Q627" s="11" t="str">
        <f aca="false">IF(ISBLANK(L627),"Unknown",IF(L627&gt;=4,"Good",IF(L627&lt;=2,"Poor","Neutral")))</f>
        <v>Poor</v>
      </c>
      <c r="R627" s="11" t="str">
        <f aca="false">IF(AND(O627="Low",P627="Low",Q627="Good"),"BUY / PRIORITIZE",IF(AND(O627="High",P627="High",OR(Q627="Poor",M627=TRUE())),"HOLD / REVIEW","MONITOR"))</f>
        <v>MONITOR</v>
      </c>
      <c r="S627" s="11" t="n">
        <f aca="false">K627+(ROW()/10000000)</f>
        <v>34.0000627</v>
      </c>
    </row>
    <row r="628" customFormat="false" ht="15" hidden="false" customHeight="false" outlineLevel="0" collapsed="false">
      <c r="A628" s="11" t="s">
        <v>853</v>
      </c>
      <c r="B628" s="11" t="s">
        <v>30</v>
      </c>
      <c r="C628" s="11" t="s">
        <v>116</v>
      </c>
      <c r="D628" s="11" t="s">
        <v>37</v>
      </c>
      <c r="E628" s="11" t="s">
        <v>91</v>
      </c>
      <c r="F628" s="11" t="s">
        <v>124</v>
      </c>
      <c r="G628" s="21" t="n">
        <v>75</v>
      </c>
      <c r="H628" s="19" t="n">
        <v>0</v>
      </c>
      <c r="I628" s="21" t="n">
        <v>75</v>
      </c>
      <c r="J628" s="22" t="s">
        <v>80</v>
      </c>
      <c r="K628" s="11" t="n">
        <v>19</v>
      </c>
      <c r="L628" s="23" t="n">
        <v>1.6</v>
      </c>
      <c r="M628" s="24" t="b">
        <f aca="false">FALSE()</f>
        <v>0</v>
      </c>
      <c r="N628" s="11"/>
      <c r="O628" s="11" t="str">
        <f aca="false">IF(K628&lt;=StockP33,"Low",IF(K628&lt;=StockP67,"Moderate","High"))</f>
        <v>Moderate</v>
      </c>
      <c r="P628" s="11" t="str">
        <f aca="false">IF(H628=0,"Low",IF(H628&lt;=MarkdownP75,"Moderate","High"))</f>
        <v>Low</v>
      </c>
      <c r="Q628" s="11" t="str">
        <f aca="false">IF(ISBLANK(L628),"Unknown",IF(L628&gt;=4,"Good",IF(L628&lt;=2,"Poor","Neutral")))</f>
        <v>Poor</v>
      </c>
      <c r="R628" s="11" t="str">
        <f aca="false">IF(AND(O628="Low",P628="Low",Q628="Good"),"BUY / PRIORITIZE",IF(AND(O628="High",P628="High",OR(Q628="Poor",M628=TRUE())),"HOLD / REVIEW","MONITOR"))</f>
        <v>MONITOR</v>
      </c>
      <c r="S628" s="11" t="n">
        <f aca="false">K628+(ROW()/10000000)</f>
        <v>19.0000628</v>
      </c>
    </row>
    <row r="629" customFormat="false" ht="15" hidden="false" customHeight="false" outlineLevel="0" collapsed="false">
      <c r="A629" s="11" t="s">
        <v>854</v>
      </c>
      <c r="B629" s="11" t="s">
        <v>28</v>
      </c>
      <c r="C629" s="11" t="s">
        <v>72</v>
      </c>
      <c r="D629" s="11" t="s">
        <v>36</v>
      </c>
      <c r="E629" s="11" t="s">
        <v>113</v>
      </c>
      <c r="F629" s="11" t="s">
        <v>96</v>
      </c>
      <c r="G629" s="21" t="n">
        <v>81.63</v>
      </c>
      <c r="H629" s="19" t="n">
        <v>12.4</v>
      </c>
      <c r="I629" s="21" t="n">
        <v>71.51</v>
      </c>
      <c r="J629" s="22" t="s">
        <v>80</v>
      </c>
      <c r="K629" s="11" t="n">
        <v>3</v>
      </c>
      <c r="L629" s="23"/>
      <c r="M629" s="24" t="b">
        <f aca="false">FALSE()</f>
        <v>0</v>
      </c>
      <c r="N629" s="11"/>
      <c r="O629" s="11" t="str">
        <f aca="false">IF(K629&lt;=StockP33,"Low",IF(K629&lt;=StockP67,"Moderate","High"))</f>
        <v>Low</v>
      </c>
      <c r="P629" s="11" t="str">
        <f aca="false">IF(H629=0,"Low",IF(H629&lt;=MarkdownP75,"Moderate","High"))</f>
        <v>Moderate</v>
      </c>
      <c r="Q629" s="11" t="str">
        <f aca="false">IF(ISBLANK(L629),"Unknown",IF(L629&gt;=4,"Good",IF(L629&lt;=2,"Poor","Neutral")))</f>
        <v>Unknown</v>
      </c>
      <c r="R629" s="11" t="str">
        <f aca="false">IF(AND(O629="Low",P629="Low",Q629="Good"),"BUY / PRIORITIZE",IF(AND(O629="High",P629="High",OR(Q629="Poor",M629=TRUE())),"HOLD / REVIEW","MONITOR"))</f>
        <v>MONITOR</v>
      </c>
      <c r="S629" s="11" t="n">
        <f aca="false">K629+(ROW()/10000000)</f>
        <v>3.0000629</v>
      </c>
    </row>
    <row r="630" customFormat="false" ht="15" hidden="false" customHeight="false" outlineLevel="0" collapsed="false">
      <c r="A630" s="11" t="s">
        <v>855</v>
      </c>
      <c r="B630" s="11" t="s">
        <v>26</v>
      </c>
      <c r="C630" s="11" t="s">
        <v>77</v>
      </c>
      <c r="D630" s="11" t="s">
        <v>34</v>
      </c>
      <c r="E630" s="11" t="s">
        <v>73</v>
      </c>
      <c r="F630" s="11" t="s">
        <v>92</v>
      </c>
      <c r="G630" s="21" t="n">
        <v>109.81</v>
      </c>
      <c r="H630" s="19" t="n">
        <v>0</v>
      </c>
      <c r="I630" s="21" t="n">
        <v>109.81</v>
      </c>
      <c r="J630" s="22" t="s">
        <v>293</v>
      </c>
      <c r="K630" s="11" t="n">
        <v>17</v>
      </c>
      <c r="L630" s="23" t="n">
        <v>1.9</v>
      </c>
      <c r="M630" s="24" t="b">
        <f aca="false">FALSE()</f>
        <v>0</v>
      </c>
      <c r="N630" s="11"/>
      <c r="O630" s="11" t="str">
        <f aca="false">IF(K630&lt;=StockP33,"Low",IF(K630&lt;=StockP67,"Moderate","High"))</f>
        <v>Low</v>
      </c>
      <c r="P630" s="11" t="str">
        <f aca="false">IF(H630=0,"Low",IF(H630&lt;=MarkdownP75,"Moderate","High"))</f>
        <v>Low</v>
      </c>
      <c r="Q630" s="11" t="str">
        <f aca="false">IF(ISBLANK(L630),"Unknown",IF(L630&gt;=4,"Good",IF(L630&lt;=2,"Poor","Neutral")))</f>
        <v>Poor</v>
      </c>
      <c r="R630" s="11" t="str">
        <f aca="false">IF(AND(O630="Low",P630="Low",Q630="Good"),"BUY / PRIORITIZE",IF(AND(O630="High",P630="High",OR(Q630="Poor",M630=TRUE())),"HOLD / REVIEW","MONITOR"))</f>
        <v>MONITOR</v>
      </c>
      <c r="S630" s="11" t="n">
        <f aca="false">K630+(ROW()/10000000)</f>
        <v>17.000063</v>
      </c>
    </row>
    <row r="631" customFormat="false" ht="15" hidden="false" customHeight="false" outlineLevel="0" collapsed="false">
      <c r="A631" s="11" t="s">
        <v>856</v>
      </c>
      <c r="B631" s="11" t="s">
        <v>26</v>
      </c>
      <c r="C631" s="11" t="s">
        <v>107</v>
      </c>
      <c r="D631" s="11" t="s">
        <v>36</v>
      </c>
      <c r="E631" s="11"/>
      <c r="F631" s="11" t="s">
        <v>82</v>
      </c>
      <c r="G631" s="21" t="n">
        <v>47.7</v>
      </c>
      <c r="H631" s="19" t="n">
        <v>0</v>
      </c>
      <c r="I631" s="21" t="n">
        <v>47.7</v>
      </c>
      <c r="J631" s="22" t="s">
        <v>80</v>
      </c>
      <c r="K631" s="11" t="n">
        <v>14</v>
      </c>
      <c r="L631" s="23" t="n">
        <v>2.3</v>
      </c>
      <c r="M631" s="24" t="b">
        <f aca="false">FALSE()</f>
        <v>0</v>
      </c>
      <c r="N631" s="11"/>
      <c r="O631" s="11" t="str">
        <f aca="false">IF(K631&lt;=StockP33,"Low",IF(K631&lt;=StockP67,"Moderate","High"))</f>
        <v>Low</v>
      </c>
      <c r="P631" s="11" t="str">
        <f aca="false">IF(H631=0,"Low",IF(H631&lt;=MarkdownP75,"Moderate","High"))</f>
        <v>Low</v>
      </c>
      <c r="Q631" s="11" t="str">
        <f aca="false">IF(ISBLANK(L631),"Unknown",IF(L631&gt;=4,"Good",IF(L631&lt;=2,"Poor","Neutral")))</f>
        <v>Neutral</v>
      </c>
      <c r="R631" s="11" t="str">
        <f aca="false">IF(AND(O631="Low",P631="Low",Q631="Good"),"BUY / PRIORITIZE",IF(AND(O631="High",P631="High",OR(Q631="Poor",M631=TRUE())),"HOLD / REVIEW","MONITOR"))</f>
        <v>MONITOR</v>
      </c>
      <c r="S631" s="11" t="n">
        <f aca="false">K631+(ROW()/10000000)</f>
        <v>14.0000631</v>
      </c>
    </row>
    <row r="632" customFormat="false" ht="15" hidden="false" customHeight="false" outlineLevel="0" collapsed="false">
      <c r="A632" s="11" t="s">
        <v>857</v>
      </c>
      <c r="B632" s="11" t="s">
        <v>30</v>
      </c>
      <c r="C632" s="11" t="s">
        <v>86</v>
      </c>
      <c r="D632" s="11" t="s">
        <v>37</v>
      </c>
      <c r="E632" s="11" t="s">
        <v>91</v>
      </c>
      <c r="F632" s="11" t="s">
        <v>74</v>
      </c>
      <c r="G632" s="21" t="n">
        <v>96.08</v>
      </c>
      <c r="H632" s="19" t="n">
        <v>0</v>
      </c>
      <c r="I632" s="21" t="n">
        <v>96.08</v>
      </c>
      <c r="J632" s="22" t="s">
        <v>80</v>
      </c>
      <c r="K632" s="11" t="n">
        <v>7</v>
      </c>
      <c r="L632" s="23" t="n">
        <v>2.5</v>
      </c>
      <c r="M632" s="24" t="b">
        <f aca="false">FALSE()</f>
        <v>0</v>
      </c>
      <c r="N632" s="11"/>
      <c r="O632" s="11" t="str">
        <f aca="false">IF(K632&lt;=StockP33,"Low",IF(K632&lt;=StockP67,"Moderate","High"))</f>
        <v>Low</v>
      </c>
      <c r="P632" s="11" t="str">
        <f aca="false">IF(H632=0,"Low",IF(H632&lt;=MarkdownP75,"Moderate","High"))</f>
        <v>Low</v>
      </c>
      <c r="Q632" s="11" t="str">
        <f aca="false">IF(ISBLANK(L632),"Unknown",IF(L632&gt;=4,"Good",IF(L632&lt;=2,"Poor","Neutral")))</f>
        <v>Neutral</v>
      </c>
      <c r="R632" s="11" t="str">
        <f aca="false">IF(AND(O632="Low",P632="Low",Q632="Good"),"BUY / PRIORITIZE",IF(AND(O632="High",P632="High",OR(Q632="Poor",M632=TRUE())),"HOLD / REVIEW","MONITOR"))</f>
        <v>MONITOR</v>
      </c>
      <c r="S632" s="11" t="n">
        <f aca="false">K632+(ROW()/10000000)</f>
        <v>7.0000632</v>
      </c>
    </row>
    <row r="633" customFormat="false" ht="15" hidden="false" customHeight="false" outlineLevel="0" collapsed="false">
      <c r="A633" s="11" t="s">
        <v>858</v>
      </c>
      <c r="B633" s="11" t="s">
        <v>30</v>
      </c>
      <c r="C633" s="11" t="s">
        <v>101</v>
      </c>
      <c r="D633" s="11" t="s">
        <v>37</v>
      </c>
      <c r="E633" s="11" t="s">
        <v>110</v>
      </c>
      <c r="F633" s="11" t="s">
        <v>124</v>
      </c>
      <c r="G633" s="21" t="n">
        <v>28</v>
      </c>
      <c r="H633" s="19" t="n">
        <v>2.6</v>
      </c>
      <c r="I633" s="21" t="n">
        <v>27.27</v>
      </c>
      <c r="J633" s="22" t="s">
        <v>80</v>
      </c>
      <c r="K633" s="11" t="n">
        <v>2</v>
      </c>
      <c r="L633" s="23"/>
      <c r="M633" s="24" t="b">
        <f aca="false">FALSE()</f>
        <v>0</v>
      </c>
      <c r="N633" s="11"/>
      <c r="O633" s="11" t="str">
        <f aca="false">IF(K633&lt;=StockP33,"Low",IF(K633&lt;=StockP67,"Moderate","High"))</f>
        <v>Low</v>
      </c>
      <c r="P633" s="11" t="str">
        <f aca="false">IF(H633=0,"Low",IF(H633&lt;=MarkdownP75,"Moderate","High"))</f>
        <v>Moderate</v>
      </c>
      <c r="Q633" s="11" t="str">
        <f aca="false">IF(ISBLANK(L633),"Unknown",IF(L633&gt;=4,"Good",IF(L633&lt;=2,"Poor","Neutral")))</f>
        <v>Unknown</v>
      </c>
      <c r="R633" s="11" t="str">
        <f aca="false">IF(AND(O633="Low",P633="Low",Q633="Good"),"BUY / PRIORITIZE",IF(AND(O633="High",P633="High",OR(Q633="Poor",M633=TRUE())),"HOLD / REVIEW","MONITOR"))</f>
        <v>MONITOR</v>
      </c>
      <c r="S633" s="11" t="n">
        <f aca="false">K633+(ROW()/10000000)</f>
        <v>2.0000633</v>
      </c>
    </row>
    <row r="634" customFormat="false" ht="15" hidden="false" customHeight="false" outlineLevel="0" collapsed="false">
      <c r="A634" s="11" t="s">
        <v>859</v>
      </c>
      <c r="B634" s="11" t="s">
        <v>26</v>
      </c>
      <c r="C634" s="11" t="s">
        <v>72</v>
      </c>
      <c r="D634" s="11" t="s">
        <v>37</v>
      </c>
      <c r="E634" s="11" t="s">
        <v>91</v>
      </c>
      <c r="F634" s="11" t="s">
        <v>124</v>
      </c>
      <c r="G634" s="21" t="n">
        <v>52.43</v>
      </c>
      <c r="H634" s="19" t="n">
        <v>6.4</v>
      </c>
      <c r="I634" s="21" t="n">
        <v>49.07</v>
      </c>
      <c r="J634" s="22" t="s">
        <v>80</v>
      </c>
      <c r="K634" s="11" t="n">
        <v>42</v>
      </c>
      <c r="L634" s="23" t="n">
        <v>2.6</v>
      </c>
      <c r="M634" s="24" t="b">
        <f aca="false">FALSE()</f>
        <v>0</v>
      </c>
      <c r="N634" s="11"/>
      <c r="O634" s="11" t="str">
        <f aca="false">IF(K634&lt;=StockP33,"Low",IF(K634&lt;=StockP67,"Moderate","High"))</f>
        <v>High</v>
      </c>
      <c r="P634" s="11" t="str">
        <f aca="false">IF(H634=0,"Low",IF(H634&lt;=MarkdownP75,"Moderate","High"))</f>
        <v>Moderate</v>
      </c>
      <c r="Q634" s="11" t="str">
        <f aca="false">IF(ISBLANK(L634),"Unknown",IF(L634&gt;=4,"Good",IF(L634&lt;=2,"Poor","Neutral")))</f>
        <v>Neutral</v>
      </c>
      <c r="R634" s="11" t="str">
        <f aca="false">IF(AND(O634="Low",P634="Low",Q634="Good"),"BUY / PRIORITIZE",IF(AND(O634="High",P634="High",OR(Q634="Poor",M634=TRUE())),"HOLD / REVIEW","MONITOR"))</f>
        <v>MONITOR</v>
      </c>
      <c r="S634" s="11" t="n">
        <f aca="false">K634+(ROW()/10000000)</f>
        <v>42.0000634</v>
      </c>
    </row>
    <row r="635" customFormat="false" ht="15" hidden="false" customHeight="false" outlineLevel="0" collapsed="false">
      <c r="A635" s="11" t="s">
        <v>860</v>
      </c>
      <c r="B635" s="11" t="s">
        <v>8</v>
      </c>
      <c r="C635" s="11" t="s">
        <v>116</v>
      </c>
      <c r="D635" s="11" t="s">
        <v>35</v>
      </c>
      <c r="E635" s="11"/>
      <c r="F635" s="11" t="s">
        <v>79</v>
      </c>
      <c r="G635" s="21" t="n">
        <v>67.95</v>
      </c>
      <c r="H635" s="19" t="n">
        <v>18.3</v>
      </c>
      <c r="I635" s="21" t="n">
        <v>55.52</v>
      </c>
      <c r="J635" s="22" t="s">
        <v>80</v>
      </c>
      <c r="K635" s="11" t="n">
        <v>37</v>
      </c>
      <c r="L635" s="23"/>
      <c r="M635" s="24" t="b">
        <f aca="false">FALSE()</f>
        <v>0</v>
      </c>
      <c r="N635" s="11"/>
      <c r="O635" s="11" t="str">
        <f aca="false">IF(K635&lt;=StockP33,"Low",IF(K635&lt;=StockP67,"Moderate","High"))</f>
        <v>High</v>
      </c>
      <c r="P635" s="11" t="str">
        <f aca="false">IF(H635=0,"Low",IF(H635&lt;=MarkdownP75,"Moderate","High"))</f>
        <v>Moderate</v>
      </c>
      <c r="Q635" s="11" t="str">
        <f aca="false">IF(ISBLANK(L635),"Unknown",IF(L635&gt;=4,"Good",IF(L635&lt;=2,"Poor","Neutral")))</f>
        <v>Unknown</v>
      </c>
      <c r="R635" s="11" t="str">
        <f aca="false">IF(AND(O635="Low",P635="Low",Q635="Good"),"BUY / PRIORITIZE",IF(AND(O635="High",P635="High",OR(Q635="Poor",M635=TRUE())),"HOLD / REVIEW","MONITOR"))</f>
        <v>MONITOR</v>
      </c>
      <c r="S635" s="11" t="n">
        <f aca="false">K635+(ROW()/10000000)</f>
        <v>37.0000635</v>
      </c>
    </row>
    <row r="636" customFormat="false" ht="15" hidden="false" customHeight="false" outlineLevel="0" collapsed="false">
      <c r="A636" s="11" t="s">
        <v>861</v>
      </c>
      <c r="B636" s="11" t="s">
        <v>27</v>
      </c>
      <c r="C636" s="11" t="s">
        <v>107</v>
      </c>
      <c r="D636" s="11" t="s">
        <v>36</v>
      </c>
      <c r="E636" s="11"/>
      <c r="F636" s="11" t="s">
        <v>74</v>
      </c>
      <c r="G636" s="21" t="n">
        <v>131.92</v>
      </c>
      <c r="H636" s="19" t="n">
        <v>0</v>
      </c>
      <c r="I636" s="21" t="n">
        <v>131.92</v>
      </c>
      <c r="J636" s="22" t="s">
        <v>80</v>
      </c>
      <c r="K636" s="11" t="n">
        <v>10</v>
      </c>
      <c r="L636" s="23" t="n">
        <v>2.5</v>
      </c>
      <c r="M636" s="24" t="b">
        <f aca="false">FALSE()</f>
        <v>0</v>
      </c>
      <c r="N636" s="11"/>
      <c r="O636" s="11" t="str">
        <f aca="false">IF(K636&lt;=StockP33,"Low",IF(K636&lt;=StockP67,"Moderate","High"))</f>
        <v>Low</v>
      </c>
      <c r="P636" s="11" t="str">
        <f aca="false">IF(H636=0,"Low",IF(H636&lt;=MarkdownP75,"Moderate","High"))</f>
        <v>Low</v>
      </c>
      <c r="Q636" s="11" t="str">
        <f aca="false">IF(ISBLANK(L636),"Unknown",IF(L636&gt;=4,"Good",IF(L636&lt;=2,"Poor","Neutral")))</f>
        <v>Neutral</v>
      </c>
      <c r="R636" s="11" t="str">
        <f aca="false">IF(AND(O636="Low",P636="Low",Q636="Good"),"BUY / PRIORITIZE",IF(AND(O636="High",P636="High",OR(Q636="Poor",M636=TRUE())),"HOLD / REVIEW","MONITOR"))</f>
        <v>MONITOR</v>
      </c>
      <c r="S636" s="11" t="n">
        <f aca="false">K636+(ROW()/10000000)</f>
        <v>10.0000636</v>
      </c>
    </row>
    <row r="637" customFormat="false" ht="15" hidden="false" customHeight="false" outlineLevel="0" collapsed="false">
      <c r="A637" s="11" t="s">
        <v>862</v>
      </c>
      <c r="B637" s="11" t="s">
        <v>28</v>
      </c>
      <c r="C637" s="11" t="s">
        <v>107</v>
      </c>
      <c r="D637" s="11" t="s">
        <v>34</v>
      </c>
      <c r="E637" s="11" t="s">
        <v>110</v>
      </c>
      <c r="F637" s="11" t="s">
        <v>88</v>
      </c>
      <c r="G637" s="21" t="n">
        <v>205.77</v>
      </c>
      <c r="H637" s="19" t="n">
        <v>0</v>
      </c>
      <c r="I637" s="21" t="n">
        <v>205.77</v>
      </c>
      <c r="J637" s="22" t="s">
        <v>863</v>
      </c>
      <c r="K637" s="11" t="n">
        <v>38</v>
      </c>
      <c r="L637" s="23" t="n">
        <v>1</v>
      </c>
      <c r="M637" s="24" t="b">
        <f aca="false">FALSE()</f>
        <v>0</v>
      </c>
      <c r="N637" s="11"/>
      <c r="O637" s="11" t="str">
        <f aca="false">IF(K637&lt;=StockP33,"Low",IF(K637&lt;=StockP67,"Moderate","High"))</f>
        <v>High</v>
      </c>
      <c r="P637" s="11" t="str">
        <f aca="false">IF(H637=0,"Low",IF(H637&lt;=MarkdownP75,"Moderate","High"))</f>
        <v>Low</v>
      </c>
      <c r="Q637" s="11" t="str">
        <f aca="false">IF(ISBLANK(L637),"Unknown",IF(L637&gt;=4,"Good",IF(L637&lt;=2,"Poor","Neutral")))</f>
        <v>Poor</v>
      </c>
      <c r="R637" s="11" t="str">
        <f aca="false">IF(AND(O637="Low",P637="Low",Q637="Good"),"BUY / PRIORITIZE",IF(AND(O637="High",P637="High",OR(Q637="Poor",M637=TRUE())),"HOLD / REVIEW","MONITOR"))</f>
        <v>MONITOR</v>
      </c>
      <c r="S637" s="11" t="n">
        <f aca="false">K637+(ROW()/10000000)</f>
        <v>38.0000637</v>
      </c>
    </row>
    <row r="638" customFormat="false" ht="15" hidden="false" customHeight="false" outlineLevel="0" collapsed="false">
      <c r="A638" s="11" t="s">
        <v>864</v>
      </c>
      <c r="B638" s="11" t="s">
        <v>30</v>
      </c>
      <c r="C638" s="11" t="s">
        <v>77</v>
      </c>
      <c r="D638" s="11" t="s">
        <v>37</v>
      </c>
      <c r="E638" s="11" t="s">
        <v>73</v>
      </c>
      <c r="F638" s="11" t="s">
        <v>88</v>
      </c>
      <c r="G638" s="21" t="n">
        <v>97.88</v>
      </c>
      <c r="H638" s="19" t="n">
        <v>11.3</v>
      </c>
      <c r="I638" s="21" t="n">
        <v>86.82</v>
      </c>
      <c r="J638" s="22" t="s">
        <v>80</v>
      </c>
      <c r="K638" s="11" t="n">
        <v>27</v>
      </c>
      <c r="L638" s="23" t="n">
        <v>1.3</v>
      </c>
      <c r="M638" s="24" t="b">
        <f aca="false">FALSE()</f>
        <v>0</v>
      </c>
      <c r="N638" s="11"/>
      <c r="O638" s="11" t="str">
        <f aca="false">IF(K638&lt;=StockP33,"Low",IF(K638&lt;=StockP67,"Moderate","High"))</f>
        <v>Moderate</v>
      </c>
      <c r="P638" s="11" t="str">
        <f aca="false">IF(H638=0,"Low",IF(H638&lt;=MarkdownP75,"Moderate","High"))</f>
        <v>Moderate</v>
      </c>
      <c r="Q638" s="11" t="str">
        <f aca="false">IF(ISBLANK(L638),"Unknown",IF(L638&gt;=4,"Good",IF(L638&lt;=2,"Poor","Neutral")))</f>
        <v>Poor</v>
      </c>
      <c r="R638" s="11" t="str">
        <f aca="false">IF(AND(O638="Low",P638="Low",Q638="Good"),"BUY / PRIORITIZE",IF(AND(O638="High",P638="High",OR(Q638="Poor",M638=TRUE())),"HOLD / REVIEW","MONITOR"))</f>
        <v>MONITOR</v>
      </c>
      <c r="S638" s="11" t="n">
        <f aca="false">K638+(ROW()/10000000)</f>
        <v>27.0000638</v>
      </c>
    </row>
    <row r="639" customFormat="false" ht="15" hidden="false" customHeight="false" outlineLevel="0" collapsed="false">
      <c r="A639" s="11" t="s">
        <v>865</v>
      </c>
      <c r="B639" s="11" t="s">
        <v>29</v>
      </c>
      <c r="C639" s="11" t="s">
        <v>72</v>
      </c>
      <c r="D639" s="11" t="s">
        <v>35</v>
      </c>
      <c r="E639" s="11" t="s">
        <v>78</v>
      </c>
      <c r="F639" s="11" t="s">
        <v>92</v>
      </c>
      <c r="G639" s="21" t="n">
        <v>109.55</v>
      </c>
      <c r="H639" s="19" t="n">
        <v>0</v>
      </c>
      <c r="I639" s="21" t="n">
        <v>109.55</v>
      </c>
      <c r="J639" s="22" t="s">
        <v>80</v>
      </c>
      <c r="K639" s="11" t="n">
        <v>32</v>
      </c>
      <c r="L639" s="23" t="n">
        <v>1.4</v>
      </c>
      <c r="M639" s="24" t="b">
        <f aca="false">FALSE()</f>
        <v>0</v>
      </c>
      <c r="N639" s="11"/>
      <c r="O639" s="11" t="str">
        <f aca="false">IF(K639&lt;=StockP33,"Low",IF(K639&lt;=StockP67,"Moderate","High"))</f>
        <v>Moderate</v>
      </c>
      <c r="P639" s="11" t="str">
        <f aca="false">IF(H639=0,"Low",IF(H639&lt;=MarkdownP75,"Moderate","High"))</f>
        <v>Low</v>
      </c>
      <c r="Q639" s="11" t="str">
        <f aca="false">IF(ISBLANK(L639),"Unknown",IF(L639&gt;=4,"Good",IF(L639&lt;=2,"Poor","Neutral")))</f>
        <v>Poor</v>
      </c>
      <c r="R639" s="11" t="str">
        <f aca="false">IF(AND(O639="Low",P639="Low",Q639="Good"),"BUY / PRIORITIZE",IF(AND(O639="High",P639="High",OR(Q639="Poor",M639=TRUE())),"HOLD / REVIEW","MONITOR"))</f>
        <v>MONITOR</v>
      </c>
      <c r="S639" s="11" t="n">
        <f aca="false">K639+(ROW()/10000000)</f>
        <v>32.0000639</v>
      </c>
    </row>
    <row r="640" customFormat="false" ht="15" hidden="false" customHeight="false" outlineLevel="0" collapsed="false">
      <c r="A640" s="11" t="s">
        <v>866</v>
      </c>
      <c r="B640" s="11" t="s">
        <v>26</v>
      </c>
      <c r="C640" s="11" t="s">
        <v>72</v>
      </c>
      <c r="D640" s="11" t="s">
        <v>36</v>
      </c>
      <c r="E640" s="11" t="s">
        <v>78</v>
      </c>
      <c r="F640" s="11" t="s">
        <v>92</v>
      </c>
      <c r="G640" s="21" t="n">
        <v>52.94</v>
      </c>
      <c r="H640" s="19" t="n">
        <v>10.6</v>
      </c>
      <c r="I640" s="21" t="n">
        <v>47.33</v>
      </c>
      <c r="J640" s="22" t="s">
        <v>80</v>
      </c>
      <c r="K640" s="11" t="n">
        <v>50</v>
      </c>
      <c r="L640" s="23" t="n">
        <v>2.7</v>
      </c>
      <c r="M640" s="24" t="b">
        <f aca="false">FALSE()</f>
        <v>0</v>
      </c>
      <c r="N640" s="11"/>
      <c r="O640" s="11" t="str">
        <f aca="false">IF(K640&lt;=StockP33,"Low",IF(K640&lt;=StockP67,"Moderate","High"))</f>
        <v>High</v>
      </c>
      <c r="P640" s="11" t="str">
        <f aca="false">IF(H640=0,"Low",IF(H640&lt;=MarkdownP75,"Moderate","High"))</f>
        <v>Moderate</v>
      </c>
      <c r="Q640" s="11" t="str">
        <f aca="false">IF(ISBLANK(L640),"Unknown",IF(L640&gt;=4,"Good",IF(L640&lt;=2,"Poor","Neutral")))</f>
        <v>Neutral</v>
      </c>
      <c r="R640" s="11" t="str">
        <f aca="false">IF(AND(O640="Low",P640="Low",Q640="Good"),"BUY / PRIORITIZE",IF(AND(O640="High",P640="High",OR(Q640="Poor",M640=TRUE())),"HOLD / REVIEW","MONITOR"))</f>
        <v>MONITOR</v>
      </c>
      <c r="S640" s="11" t="n">
        <f aca="false">K640+(ROW()/10000000)</f>
        <v>50.000064</v>
      </c>
    </row>
    <row r="641" customFormat="false" ht="15" hidden="false" customHeight="false" outlineLevel="0" collapsed="false">
      <c r="A641" s="11" t="s">
        <v>867</v>
      </c>
      <c r="B641" s="11" t="s">
        <v>26</v>
      </c>
      <c r="C641" s="11" t="s">
        <v>86</v>
      </c>
      <c r="D641" s="11" t="s">
        <v>37</v>
      </c>
      <c r="E641" s="11" t="s">
        <v>110</v>
      </c>
      <c r="F641" s="11" t="s">
        <v>79</v>
      </c>
      <c r="G641" s="21" t="n">
        <v>70.83</v>
      </c>
      <c r="H641" s="19" t="n">
        <v>18</v>
      </c>
      <c r="I641" s="21" t="n">
        <v>58.08</v>
      </c>
      <c r="J641" s="22" t="s">
        <v>80</v>
      </c>
      <c r="K641" s="11" t="n">
        <v>21</v>
      </c>
      <c r="L641" s="23" t="n">
        <v>2.9</v>
      </c>
      <c r="M641" s="24" t="b">
        <f aca="false">FALSE()</f>
        <v>0</v>
      </c>
      <c r="N641" s="11"/>
      <c r="O641" s="11" t="str">
        <f aca="false">IF(K641&lt;=StockP33,"Low",IF(K641&lt;=StockP67,"Moderate","High"))</f>
        <v>Moderate</v>
      </c>
      <c r="P641" s="11" t="str">
        <f aca="false">IF(H641=0,"Low",IF(H641&lt;=MarkdownP75,"Moderate","High"))</f>
        <v>Moderate</v>
      </c>
      <c r="Q641" s="11" t="str">
        <f aca="false">IF(ISBLANK(L641),"Unknown",IF(L641&gt;=4,"Good",IF(L641&lt;=2,"Poor","Neutral")))</f>
        <v>Neutral</v>
      </c>
      <c r="R641" s="11" t="str">
        <f aca="false">IF(AND(O641="Low",P641="Low",Q641="Good"),"BUY / PRIORITIZE",IF(AND(O641="High",P641="High",OR(Q641="Poor",M641=TRUE())),"HOLD / REVIEW","MONITOR"))</f>
        <v>MONITOR</v>
      </c>
      <c r="S641" s="11" t="n">
        <f aca="false">K641+(ROW()/10000000)</f>
        <v>21.0000641</v>
      </c>
    </row>
    <row r="642" customFormat="false" ht="15" hidden="false" customHeight="false" outlineLevel="0" collapsed="false">
      <c r="A642" s="11" t="s">
        <v>868</v>
      </c>
      <c r="B642" s="11" t="s">
        <v>27</v>
      </c>
      <c r="C642" s="11" t="s">
        <v>95</v>
      </c>
      <c r="D642" s="11" t="s">
        <v>36</v>
      </c>
      <c r="E642" s="11" t="s">
        <v>78</v>
      </c>
      <c r="F642" s="11" t="s">
        <v>118</v>
      </c>
      <c r="G642" s="21" t="n">
        <v>53.17</v>
      </c>
      <c r="H642" s="19" t="n">
        <v>0</v>
      </c>
      <c r="I642" s="21" t="n">
        <v>53.17</v>
      </c>
      <c r="J642" s="22" t="s">
        <v>80</v>
      </c>
      <c r="K642" s="11" t="n">
        <v>14</v>
      </c>
      <c r="L642" s="23" t="n">
        <v>4.5</v>
      </c>
      <c r="M642" s="24" t="b">
        <f aca="false">TRUE()</f>
        <v>1</v>
      </c>
      <c r="N642" s="11" t="s">
        <v>178</v>
      </c>
      <c r="O642" s="11" t="str">
        <f aca="false">IF(K642&lt;=StockP33,"Low",IF(K642&lt;=StockP67,"Moderate","High"))</f>
        <v>Low</v>
      </c>
      <c r="P642" s="11" t="str">
        <f aca="false">IF(H642=0,"Low",IF(H642&lt;=MarkdownP75,"Moderate","High"))</f>
        <v>Low</v>
      </c>
      <c r="Q642" s="11" t="str">
        <f aca="false">IF(ISBLANK(L642),"Unknown",IF(L642&gt;=4,"Good",IF(L642&lt;=2,"Poor","Neutral")))</f>
        <v>Good</v>
      </c>
      <c r="R642" s="11" t="str">
        <f aca="false">IF(AND(O642="Low",P642="Low",Q642="Good"),"BUY / PRIORITIZE",IF(AND(O642="High",P642="High",OR(Q642="Poor",M642=TRUE())),"HOLD / REVIEW","MONITOR"))</f>
        <v>BUY / PRIORITIZE</v>
      </c>
      <c r="S642" s="11" t="n">
        <f aca="false">K642+(ROW()/10000000)</f>
        <v>14.0000642</v>
      </c>
    </row>
    <row r="643" customFormat="false" ht="15" hidden="false" customHeight="false" outlineLevel="0" collapsed="false">
      <c r="A643" s="11" t="s">
        <v>869</v>
      </c>
      <c r="B643" s="11" t="s">
        <v>26</v>
      </c>
      <c r="C643" s="11" t="s">
        <v>86</v>
      </c>
      <c r="D643" s="11" t="s">
        <v>35</v>
      </c>
      <c r="E643" s="11" t="s">
        <v>110</v>
      </c>
      <c r="F643" s="11" t="s">
        <v>111</v>
      </c>
      <c r="G643" s="21" t="n">
        <v>119.56</v>
      </c>
      <c r="H643" s="19" t="n">
        <v>46.2</v>
      </c>
      <c r="I643" s="21" t="n">
        <v>64.32</v>
      </c>
      <c r="J643" s="22" t="s">
        <v>80</v>
      </c>
      <c r="K643" s="11" t="n">
        <v>14</v>
      </c>
      <c r="L643" s="23"/>
      <c r="M643" s="24" t="b">
        <f aca="false">FALSE()</f>
        <v>0</v>
      </c>
      <c r="N643" s="11"/>
      <c r="O643" s="11" t="str">
        <f aca="false">IF(K643&lt;=StockP33,"Low",IF(K643&lt;=StockP67,"Moderate","High"))</f>
        <v>Low</v>
      </c>
      <c r="P643" s="11" t="str">
        <f aca="false">IF(H643=0,"Low",IF(H643&lt;=MarkdownP75,"Moderate","High"))</f>
        <v>High</v>
      </c>
      <c r="Q643" s="11" t="str">
        <f aca="false">IF(ISBLANK(L643),"Unknown",IF(L643&gt;=4,"Good",IF(L643&lt;=2,"Poor","Neutral")))</f>
        <v>Unknown</v>
      </c>
      <c r="R643" s="11" t="str">
        <f aca="false">IF(AND(O643="Low",P643="Low",Q643="Good"),"BUY / PRIORITIZE",IF(AND(O643="High",P643="High",OR(Q643="Poor",M643=TRUE())),"HOLD / REVIEW","MONITOR"))</f>
        <v>MONITOR</v>
      </c>
      <c r="S643" s="11" t="n">
        <f aca="false">K643+(ROW()/10000000)</f>
        <v>14.0000643</v>
      </c>
    </row>
    <row r="644" customFormat="false" ht="15" hidden="false" customHeight="false" outlineLevel="0" collapsed="false">
      <c r="A644" s="11" t="s">
        <v>870</v>
      </c>
      <c r="B644" s="11" t="s">
        <v>27</v>
      </c>
      <c r="C644" s="11" t="s">
        <v>95</v>
      </c>
      <c r="D644" s="11" t="s">
        <v>37</v>
      </c>
      <c r="E644" s="11" t="s">
        <v>91</v>
      </c>
      <c r="F644" s="11" t="s">
        <v>96</v>
      </c>
      <c r="G644" s="21" t="n">
        <v>144.43</v>
      </c>
      <c r="H644" s="19" t="n">
        <v>0</v>
      </c>
      <c r="I644" s="21" t="n">
        <v>144.43</v>
      </c>
      <c r="J644" s="22" t="s">
        <v>80</v>
      </c>
      <c r="K644" s="11" t="n">
        <v>41</v>
      </c>
      <c r="L644" s="23" t="n">
        <v>3.6</v>
      </c>
      <c r="M644" s="24" t="b">
        <f aca="false">FALSE()</f>
        <v>0</v>
      </c>
      <c r="N644" s="11"/>
      <c r="O644" s="11" t="str">
        <f aca="false">IF(K644&lt;=StockP33,"Low",IF(K644&lt;=StockP67,"Moderate","High"))</f>
        <v>High</v>
      </c>
      <c r="P644" s="11" t="str">
        <f aca="false">IF(H644=0,"Low",IF(H644&lt;=MarkdownP75,"Moderate","High"))</f>
        <v>Low</v>
      </c>
      <c r="Q644" s="11" t="str">
        <f aca="false">IF(ISBLANK(L644),"Unknown",IF(L644&gt;=4,"Good",IF(L644&lt;=2,"Poor","Neutral")))</f>
        <v>Neutral</v>
      </c>
      <c r="R644" s="11" t="str">
        <f aca="false">IF(AND(O644="Low",P644="Low",Q644="Good"),"BUY / PRIORITIZE",IF(AND(O644="High",P644="High",OR(Q644="Poor",M644=TRUE())),"HOLD / REVIEW","MONITOR"))</f>
        <v>MONITOR</v>
      </c>
      <c r="S644" s="11" t="n">
        <f aca="false">K644+(ROW()/10000000)</f>
        <v>41.0000644</v>
      </c>
    </row>
    <row r="645" customFormat="false" ht="15" hidden="false" customHeight="false" outlineLevel="0" collapsed="false">
      <c r="A645" s="11" t="s">
        <v>871</v>
      </c>
      <c r="B645" s="11" t="s">
        <v>28</v>
      </c>
      <c r="C645" s="11" t="s">
        <v>95</v>
      </c>
      <c r="D645" s="11" t="s">
        <v>34</v>
      </c>
      <c r="E645" s="11" t="s">
        <v>91</v>
      </c>
      <c r="F645" s="11" t="s">
        <v>120</v>
      </c>
      <c r="G645" s="21" t="n">
        <v>172.93</v>
      </c>
      <c r="H645" s="19" t="n">
        <v>0</v>
      </c>
      <c r="I645" s="21" t="n">
        <v>172.93</v>
      </c>
      <c r="J645" s="22" t="s">
        <v>270</v>
      </c>
      <c r="K645" s="11" t="n">
        <v>43</v>
      </c>
      <c r="L645" s="23" t="n">
        <v>4.7</v>
      </c>
      <c r="M645" s="24" t="b">
        <f aca="false">TRUE()</f>
        <v>1</v>
      </c>
      <c r="N645" s="11" t="s">
        <v>140</v>
      </c>
      <c r="O645" s="11" t="str">
        <f aca="false">IF(K645&lt;=StockP33,"Low",IF(K645&lt;=StockP67,"Moderate","High"))</f>
        <v>High</v>
      </c>
      <c r="P645" s="11" t="str">
        <f aca="false">IF(H645=0,"Low",IF(H645&lt;=MarkdownP75,"Moderate","High"))</f>
        <v>Low</v>
      </c>
      <c r="Q645" s="11" t="str">
        <f aca="false">IF(ISBLANK(L645),"Unknown",IF(L645&gt;=4,"Good",IF(L645&lt;=2,"Poor","Neutral")))</f>
        <v>Good</v>
      </c>
      <c r="R645" s="11" t="str">
        <f aca="false">IF(AND(O645="Low",P645="Low",Q645="Good"),"BUY / PRIORITIZE",IF(AND(O645="High",P645="High",OR(Q645="Poor",M645=TRUE())),"HOLD / REVIEW","MONITOR"))</f>
        <v>MONITOR</v>
      </c>
      <c r="S645" s="11" t="n">
        <f aca="false">K645+(ROW()/10000000)</f>
        <v>43.0000645</v>
      </c>
    </row>
    <row r="646" customFormat="false" ht="15" hidden="false" customHeight="false" outlineLevel="0" collapsed="false">
      <c r="A646" s="11" t="s">
        <v>872</v>
      </c>
      <c r="B646" s="11" t="s">
        <v>28</v>
      </c>
      <c r="C646" s="11" t="s">
        <v>116</v>
      </c>
      <c r="D646" s="11" t="s">
        <v>37</v>
      </c>
      <c r="E646" s="11" t="s">
        <v>73</v>
      </c>
      <c r="F646" s="11" t="s">
        <v>111</v>
      </c>
      <c r="G646" s="21" t="n">
        <v>191.95</v>
      </c>
      <c r="H646" s="19" t="n">
        <v>40.4</v>
      </c>
      <c r="I646" s="21" t="n">
        <v>114.4</v>
      </c>
      <c r="J646" s="22" t="s">
        <v>80</v>
      </c>
      <c r="K646" s="11" t="n">
        <v>21</v>
      </c>
      <c r="L646" s="23" t="n">
        <v>2.9</v>
      </c>
      <c r="M646" s="24" t="b">
        <f aca="false">FALSE()</f>
        <v>0</v>
      </c>
      <c r="N646" s="11"/>
      <c r="O646" s="11" t="str">
        <f aca="false">IF(K646&lt;=StockP33,"Low",IF(K646&lt;=StockP67,"Moderate","High"))</f>
        <v>Moderate</v>
      </c>
      <c r="P646" s="11" t="str">
        <f aca="false">IF(H646=0,"Low",IF(H646&lt;=MarkdownP75,"Moderate","High"))</f>
        <v>High</v>
      </c>
      <c r="Q646" s="11" t="str">
        <f aca="false">IF(ISBLANK(L646),"Unknown",IF(L646&gt;=4,"Good",IF(L646&lt;=2,"Poor","Neutral")))</f>
        <v>Neutral</v>
      </c>
      <c r="R646" s="11" t="str">
        <f aca="false">IF(AND(O646="Low",P646="Low",Q646="Good"),"BUY / PRIORITIZE",IF(AND(O646="High",P646="High",OR(Q646="Poor",M646=TRUE())),"HOLD / REVIEW","MONITOR"))</f>
        <v>MONITOR</v>
      </c>
      <c r="S646" s="11" t="n">
        <f aca="false">K646+(ROW()/10000000)</f>
        <v>21.0000646</v>
      </c>
    </row>
    <row r="647" customFormat="false" ht="15" hidden="false" customHeight="false" outlineLevel="0" collapsed="false">
      <c r="A647" s="11" t="s">
        <v>873</v>
      </c>
      <c r="B647" s="11" t="s">
        <v>27</v>
      </c>
      <c r="C647" s="11" t="s">
        <v>101</v>
      </c>
      <c r="D647" s="11" t="s">
        <v>37</v>
      </c>
      <c r="E647" s="11" t="s">
        <v>113</v>
      </c>
      <c r="F647" s="11" t="s">
        <v>82</v>
      </c>
      <c r="G647" s="21" t="n">
        <v>128.56</v>
      </c>
      <c r="H647" s="19" t="n">
        <v>0</v>
      </c>
      <c r="I647" s="21" t="n">
        <v>128.56</v>
      </c>
      <c r="J647" s="22" t="s">
        <v>80</v>
      </c>
      <c r="K647" s="11" t="n">
        <v>45</v>
      </c>
      <c r="L647" s="23" t="n">
        <v>2.4</v>
      </c>
      <c r="M647" s="24" t="b">
        <f aca="false">FALSE()</f>
        <v>0</v>
      </c>
      <c r="N647" s="11"/>
      <c r="O647" s="11" t="str">
        <f aca="false">IF(K647&lt;=StockP33,"Low",IF(K647&lt;=StockP67,"Moderate","High"))</f>
        <v>High</v>
      </c>
      <c r="P647" s="11" t="str">
        <f aca="false">IF(H647=0,"Low",IF(H647&lt;=MarkdownP75,"Moderate","High"))</f>
        <v>Low</v>
      </c>
      <c r="Q647" s="11" t="str">
        <f aca="false">IF(ISBLANK(L647),"Unknown",IF(L647&gt;=4,"Good",IF(L647&lt;=2,"Poor","Neutral")))</f>
        <v>Neutral</v>
      </c>
      <c r="R647" s="11" t="str">
        <f aca="false">IF(AND(O647="Low",P647="Low",Q647="Good"),"BUY / PRIORITIZE",IF(AND(O647="High",P647="High",OR(Q647="Poor",M647=TRUE())),"HOLD / REVIEW","MONITOR"))</f>
        <v>MONITOR</v>
      </c>
      <c r="S647" s="11" t="n">
        <f aca="false">K647+(ROW()/10000000)</f>
        <v>45.0000647</v>
      </c>
    </row>
    <row r="648" customFormat="false" ht="15" hidden="false" customHeight="false" outlineLevel="0" collapsed="false">
      <c r="A648" s="11" t="s">
        <v>874</v>
      </c>
      <c r="B648" s="11" t="s">
        <v>27</v>
      </c>
      <c r="C648" s="11" t="s">
        <v>101</v>
      </c>
      <c r="D648" s="11" t="s">
        <v>35</v>
      </c>
      <c r="E648" s="11" t="s">
        <v>78</v>
      </c>
      <c r="F648" s="11" t="s">
        <v>88</v>
      </c>
      <c r="G648" s="21" t="n">
        <v>123.08</v>
      </c>
      <c r="H648" s="19" t="n">
        <v>53</v>
      </c>
      <c r="I648" s="21" t="n">
        <v>57.85</v>
      </c>
      <c r="J648" s="22" t="s">
        <v>80</v>
      </c>
      <c r="K648" s="11" t="n">
        <v>38</v>
      </c>
      <c r="L648" s="23" t="n">
        <v>2.5</v>
      </c>
      <c r="M648" s="24" t="b">
        <f aca="false">FALSE()</f>
        <v>0</v>
      </c>
      <c r="N648" s="11"/>
      <c r="O648" s="11" t="str">
        <f aca="false">IF(K648&lt;=StockP33,"Low",IF(K648&lt;=StockP67,"Moderate","High"))</f>
        <v>High</v>
      </c>
      <c r="P648" s="11" t="str">
        <f aca="false">IF(H648=0,"Low",IF(H648&lt;=MarkdownP75,"Moderate","High"))</f>
        <v>High</v>
      </c>
      <c r="Q648" s="11" t="str">
        <f aca="false">IF(ISBLANK(L648),"Unknown",IF(L648&gt;=4,"Good",IF(L648&lt;=2,"Poor","Neutral")))</f>
        <v>Neutral</v>
      </c>
      <c r="R648" s="11" t="str">
        <f aca="false">IF(AND(O648="Low",P648="Low",Q648="Good"),"BUY / PRIORITIZE",IF(AND(O648="High",P648="High",OR(Q648="Poor",M648=TRUE())),"HOLD / REVIEW","MONITOR"))</f>
        <v>MONITOR</v>
      </c>
      <c r="S648" s="11" t="n">
        <f aca="false">K648+(ROW()/10000000)</f>
        <v>38.0000648</v>
      </c>
    </row>
    <row r="649" customFormat="false" ht="15" hidden="false" customHeight="false" outlineLevel="0" collapsed="false">
      <c r="A649" s="11" t="s">
        <v>875</v>
      </c>
      <c r="B649" s="11" t="s">
        <v>28</v>
      </c>
      <c r="C649" s="11" t="s">
        <v>107</v>
      </c>
      <c r="D649" s="11" t="s">
        <v>34</v>
      </c>
      <c r="E649" s="11" t="s">
        <v>91</v>
      </c>
      <c r="F649" s="11" t="s">
        <v>120</v>
      </c>
      <c r="G649" s="21" t="n">
        <v>119.78</v>
      </c>
      <c r="H649" s="19" t="n">
        <v>0</v>
      </c>
      <c r="I649" s="21" t="n">
        <v>119.78</v>
      </c>
      <c r="J649" s="22" t="s">
        <v>876</v>
      </c>
      <c r="K649" s="11" t="n">
        <v>22</v>
      </c>
      <c r="L649" s="23" t="n">
        <v>1.5</v>
      </c>
      <c r="M649" s="24" t="b">
        <f aca="false">TRUE()</f>
        <v>1</v>
      </c>
      <c r="N649" s="11" t="s">
        <v>89</v>
      </c>
      <c r="O649" s="11" t="str">
        <f aca="false">IF(K649&lt;=StockP33,"Low",IF(K649&lt;=StockP67,"Moderate","High"))</f>
        <v>Moderate</v>
      </c>
      <c r="P649" s="11" t="str">
        <f aca="false">IF(H649=0,"Low",IF(H649&lt;=MarkdownP75,"Moderate","High"))</f>
        <v>Low</v>
      </c>
      <c r="Q649" s="11" t="str">
        <f aca="false">IF(ISBLANK(L649),"Unknown",IF(L649&gt;=4,"Good",IF(L649&lt;=2,"Poor","Neutral")))</f>
        <v>Poor</v>
      </c>
      <c r="R649" s="11" t="str">
        <f aca="false">IF(AND(O649="Low",P649="Low",Q649="Good"),"BUY / PRIORITIZE",IF(AND(O649="High",P649="High",OR(Q649="Poor",M649=TRUE())),"HOLD / REVIEW","MONITOR"))</f>
        <v>MONITOR</v>
      </c>
      <c r="S649" s="11" t="n">
        <f aca="false">K649+(ROW()/10000000)</f>
        <v>22.0000649</v>
      </c>
    </row>
    <row r="650" customFormat="false" ht="15" hidden="false" customHeight="false" outlineLevel="0" collapsed="false">
      <c r="A650" s="11" t="s">
        <v>877</v>
      </c>
      <c r="B650" s="11" t="s">
        <v>26</v>
      </c>
      <c r="C650" s="11" t="s">
        <v>86</v>
      </c>
      <c r="D650" s="11" t="s">
        <v>35</v>
      </c>
      <c r="E650" s="11" t="s">
        <v>110</v>
      </c>
      <c r="F650" s="11" t="s">
        <v>88</v>
      </c>
      <c r="G650" s="21" t="n">
        <v>110.6</v>
      </c>
      <c r="H650" s="19" t="n">
        <v>0</v>
      </c>
      <c r="I650" s="21" t="n">
        <v>110.6</v>
      </c>
      <c r="J650" s="22" t="s">
        <v>80</v>
      </c>
      <c r="K650" s="11" t="n">
        <v>19</v>
      </c>
      <c r="L650" s="23"/>
      <c r="M650" s="24" t="b">
        <f aca="false">TRUE()</f>
        <v>1</v>
      </c>
      <c r="N650" s="11" t="s">
        <v>89</v>
      </c>
      <c r="O650" s="11" t="str">
        <f aca="false">IF(K650&lt;=StockP33,"Low",IF(K650&lt;=StockP67,"Moderate","High"))</f>
        <v>Moderate</v>
      </c>
      <c r="P650" s="11" t="str">
        <f aca="false">IF(H650=0,"Low",IF(H650&lt;=MarkdownP75,"Moderate","High"))</f>
        <v>Low</v>
      </c>
      <c r="Q650" s="11" t="str">
        <f aca="false">IF(ISBLANK(L650),"Unknown",IF(L650&gt;=4,"Good",IF(L650&lt;=2,"Poor","Neutral")))</f>
        <v>Unknown</v>
      </c>
      <c r="R650" s="11" t="str">
        <f aca="false">IF(AND(O650="Low",P650="Low",Q650="Good"),"BUY / PRIORITIZE",IF(AND(O650="High",P650="High",OR(Q650="Poor",M650=TRUE())),"HOLD / REVIEW","MONITOR"))</f>
        <v>MONITOR</v>
      </c>
      <c r="S650" s="11" t="n">
        <f aca="false">K650+(ROW()/10000000)</f>
        <v>19.000065</v>
      </c>
    </row>
    <row r="651" customFormat="false" ht="15" hidden="false" customHeight="false" outlineLevel="0" collapsed="false">
      <c r="A651" s="11" t="s">
        <v>878</v>
      </c>
      <c r="B651" s="11" t="s">
        <v>30</v>
      </c>
      <c r="C651" s="11" t="s">
        <v>72</v>
      </c>
      <c r="D651" s="11" t="s">
        <v>34</v>
      </c>
      <c r="E651" s="11" t="s">
        <v>91</v>
      </c>
      <c r="F651" s="11" t="s">
        <v>120</v>
      </c>
      <c r="G651" s="21" t="n">
        <v>58.16</v>
      </c>
      <c r="H651" s="19" t="n">
        <v>0</v>
      </c>
      <c r="I651" s="21" t="n">
        <v>58.16</v>
      </c>
      <c r="J651" s="22" t="s">
        <v>879</v>
      </c>
      <c r="K651" s="11" t="n">
        <v>29</v>
      </c>
      <c r="L651" s="23" t="n">
        <v>4.1</v>
      </c>
      <c r="M651" s="24" t="b">
        <f aca="false">FALSE()</f>
        <v>0</v>
      </c>
      <c r="N651" s="11"/>
      <c r="O651" s="11" t="str">
        <f aca="false">IF(K651&lt;=StockP33,"Low",IF(K651&lt;=StockP67,"Moderate","High"))</f>
        <v>Moderate</v>
      </c>
      <c r="P651" s="11" t="str">
        <f aca="false">IF(H651=0,"Low",IF(H651&lt;=MarkdownP75,"Moderate","High"))</f>
        <v>Low</v>
      </c>
      <c r="Q651" s="11" t="str">
        <f aca="false">IF(ISBLANK(L651),"Unknown",IF(L651&gt;=4,"Good",IF(L651&lt;=2,"Poor","Neutral")))</f>
        <v>Good</v>
      </c>
      <c r="R651" s="11" t="str">
        <f aca="false">IF(AND(O651="Low",P651="Low",Q651="Good"),"BUY / PRIORITIZE",IF(AND(O651="High",P651="High",OR(Q651="Poor",M651=TRUE())),"HOLD / REVIEW","MONITOR"))</f>
        <v>MONITOR</v>
      </c>
      <c r="S651" s="11" t="n">
        <f aca="false">K651+(ROW()/10000000)</f>
        <v>29.0000651</v>
      </c>
    </row>
    <row r="652" customFormat="false" ht="15" hidden="false" customHeight="false" outlineLevel="0" collapsed="false">
      <c r="A652" s="11" t="s">
        <v>880</v>
      </c>
      <c r="B652" s="11" t="s">
        <v>28</v>
      </c>
      <c r="C652" s="11" t="s">
        <v>95</v>
      </c>
      <c r="D652" s="11" t="s">
        <v>36</v>
      </c>
      <c r="E652" s="11" t="s">
        <v>91</v>
      </c>
      <c r="F652" s="11" t="s">
        <v>98</v>
      </c>
      <c r="G652" s="21" t="n">
        <v>208.82</v>
      </c>
      <c r="H652" s="19" t="n">
        <v>0</v>
      </c>
      <c r="I652" s="21" t="n">
        <v>208.82</v>
      </c>
      <c r="J652" s="22" t="s">
        <v>80</v>
      </c>
      <c r="K652" s="11" t="n">
        <v>45</v>
      </c>
      <c r="L652" s="23" t="n">
        <v>1.8</v>
      </c>
      <c r="M652" s="24" t="b">
        <f aca="false">FALSE()</f>
        <v>0</v>
      </c>
      <c r="N652" s="11"/>
      <c r="O652" s="11" t="str">
        <f aca="false">IF(K652&lt;=StockP33,"Low",IF(K652&lt;=StockP67,"Moderate","High"))</f>
        <v>High</v>
      </c>
      <c r="P652" s="11" t="str">
        <f aca="false">IF(H652=0,"Low",IF(H652&lt;=MarkdownP75,"Moderate","High"))</f>
        <v>Low</v>
      </c>
      <c r="Q652" s="11" t="str">
        <f aca="false">IF(ISBLANK(L652),"Unknown",IF(L652&gt;=4,"Good",IF(L652&lt;=2,"Poor","Neutral")))</f>
        <v>Poor</v>
      </c>
      <c r="R652" s="11" t="str">
        <f aca="false">IF(AND(O652="Low",P652="Low",Q652="Good"),"BUY / PRIORITIZE",IF(AND(O652="High",P652="High",OR(Q652="Poor",M652=TRUE())),"HOLD / REVIEW","MONITOR"))</f>
        <v>MONITOR</v>
      </c>
      <c r="S652" s="11" t="n">
        <f aca="false">K652+(ROW()/10000000)</f>
        <v>45.0000652</v>
      </c>
    </row>
    <row r="653" customFormat="false" ht="15" hidden="false" customHeight="false" outlineLevel="0" collapsed="false">
      <c r="A653" s="11" t="s">
        <v>881</v>
      </c>
      <c r="B653" s="11" t="s">
        <v>29</v>
      </c>
      <c r="C653" s="11" t="s">
        <v>107</v>
      </c>
      <c r="D653" s="11" t="s">
        <v>37</v>
      </c>
      <c r="E653" s="11" t="s">
        <v>113</v>
      </c>
      <c r="F653" s="11" t="s">
        <v>82</v>
      </c>
      <c r="G653" s="21" t="n">
        <v>192.74</v>
      </c>
      <c r="H653" s="19" t="n">
        <v>0</v>
      </c>
      <c r="I653" s="21" t="n">
        <v>192.74</v>
      </c>
      <c r="J653" s="22" t="s">
        <v>80</v>
      </c>
      <c r="K653" s="11" t="n">
        <v>43</v>
      </c>
      <c r="L653" s="23" t="n">
        <v>4.3</v>
      </c>
      <c r="M653" s="24" t="b">
        <f aca="false">FALSE()</f>
        <v>0</v>
      </c>
      <c r="N653" s="11"/>
      <c r="O653" s="11" t="str">
        <f aca="false">IF(K653&lt;=StockP33,"Low",IF(K653&lt;=StockP67,"Moderate","High"))</f>
        <v>High</v>
      </c>
      <c r="P653" s="11" t="str">
        <f aca="false">IF(H653=0,"Low",IF(H653&lt;=MarkdownP75,"Moderate","High"))</f>
        <v>Low</v>
      </c>
      <c r="Q653" s="11" t="str">
        <f aca="false">IF(ISBLANK(L653),"Unknown",IF(L653&gt;=4,"Good",IF(L653&lt;=2,"Poor","Neutral")))</f>
        <v>Good</v>
      </c>
      <c r="R653" s="11" t="str">
        <f aca="false">IF(AND(O653="Low",P653="Low",Q653="Good"),"BUY / PRIORITIZE",IF(AND(O653="High",P653="High",OR(Q653="Poor",M653=TRUE())),"HOLD / REVIEW","MONITOR"))</f>
        <v>MONITOR</v>
      </c>
      <c r="S653" s="11" t="n">
        <f aca="false">K653+(ROW()/10000000)</f>
        <v>43.0000653</v>
      </c>
    </row>
    <row r="654" customFormat="false" ht="15" hidden="false" customHeight="false" outlineLevel="0" collapsed="false">
      <c r="A654" s="11" t="s">
        <v>882</v>
      </c>
      <c r="B654" s="11" t="s">
        <v>8</v>
      </c>
      <c r="C654" s="11" t="s">
        <v>116</v>
      </c>
      <c r="D654" s="11" t="s">
        <v>36</v>
      </c>
      <c r="E654" s="11"/>
      <c r="F654" s="11" t="s">
        <v>74</v>
      </c>
      <c r="G654" s="21" t="n">
        <v>71.82</v>
      </c>
      <c r="H654" s="19" t="n">
        <v>18.4</v>
      </c>
      <c r="I654" s="21" t="n">
        <v>58.61</v>
      </c>
      <c r="J654" s="22" t="s">
        <v>80</v>
      </c>
      <c r="K654" s="11" t="n">
        <v>50</v>
      </c>
      <c r="L654" s="23" t="n">
        <v>1.9</v>
      </c>
      <c r="M654" s="24" t="b">
        <f aca="false">FALSE()</f>
        <v>0</v>
      </c>
      <c r="N654" s="11"/>
      <c r="O654" s="11" t="str">
        <f aca="false">IF(K654&lt;=StockP33,"Low",IF(K654&lt;=StockP67,"Moderate","High"))</f>
        <v>High</v>
      </c>
      <c r="P654" s="11" t="str">
        <f aca="false">IF(H654=0,"Low",IF(H654&lt;=MarkdownP75,"Moderate","High"))</f>
        <v>Moderate</v>
      </c>
      <c r="Q654" s="11" t="str">
        <f aca="false">IF(ISBLANK(L654),"Unknown",IF(L654&gt;=4,"Good",IF(L654&lt;=2,"Poor","Neutral")))</f>
        <v>Poor</v>
      </c>
      <c r="R654" s="11" t="str">
        <f aca="false">IF(AND(O654="Low",P654="Low",Q654="Good"),"BUY / PRIORITIZE",IF(AND(O654="High",P654="High",OR(Q654="Poor",M654=TRUE())),"HOLD / REVIEW","MONITOR"))</f>
        <v>MONITOR</v>
      </c>
      <c r="S654" s="11" t="n">
        <f aca="false">K654+(ROW()/10000000)</f>
        <v>50.0000654</v>
      </c>
    </row>
    <row r="655" customFormat="false" ht="15" hidden="false" customHeight="false" outlineLevel="0" collapsed="false">
      <c r="A655" s="11" t="s">
        <v>883</v>
      </c>
      <c r="B655" s="11" t="s">
        <v>29</v>
      </c>
      <c r="C655" s="11" t="s">
        <v>72</v>
      </c>
      <c r="D655" s="11" t="s">
        <v>35</v>
      </c>
      <c r="E655" s="11" t="s">
        <v>110</v>
      </c>
      <c r="F655" s="11" t="s">
        <v>74</v>
      </c>
      <c r="G655" s="21" t="n">
        <v>145.4</v>
      </c>
      <c r="H655" s="19" t="n">
        <v>0</v>
      </c>
      <c r="I655" s="21" t="n">
        <v>145.4</v>
      </c>
      <c r="J655" s="22" t="s">
        <v>80</v>
      </c>
      <c r="K655" s="11" t="n">
        <v>14</v>
      </c>
      <c r="L655" s="23" t="n">
        <v>2</v>
      </c>
      <c r="M655" s="24" t="b">
        <f aca="false">FALSE()</f>
        <v>0</v>
      </c>
      <c r="N655" s="11"/>
      <c r="O655" s="11" t="str">
        <f aca="false">IF(K655&lt;=StockP33,"Low",IF(K655&lt;=StockP67,"Moderate","High"))</f>
        <v>Low</v>
      </c>
      <c r="P655" s="11" t="str">
        <f aca="false">IF(H655=0,"Low",IF(H655&lt;=MarkdownP75,"Moderate","High"))</f>
        <v>Low</v>
      </c>
      <c r="Q655" s="11" t="str">
        <f aca="false">IF(ISBLANK(L655),"Unknown",IF(L655&gt;=4,"Good",IF(L655&lt;=2,"Poor","Neutral")))</f>
        <v>Poor</v>
      </c>
      <c r="R655" s="11" t="str">
        <f aca="false">IF(AND(O655="Low",P655="Low",Q655="Good"),"BUY / PRIORITIZE",IF(AND(O655="High",P655="High",OR(Q655="Poor",M655=TRUE())),"HOLD / REVIEW","MONITOR"))</f>
        <v>MONITOR</v>
      </c>
      <c r="S655" s="11" t="n">
        <f aca="false">K655+(ROW()/10000000)</f>
        <v>14.0000655</v>
      </c>
    </row>
    <row r="656" customFormat="false" ht="15" hidden="false" customHeight="false" outlineLevel="0" collapsed="false">
      <c r="A656" s="11" t="s">
        <v>884</v>
      </c>
      <c r="B656" s="11" t="s">
        <v>26</v>
      </c>
      <c r="C656" s="11" t="s">
        <v>95</v>
      </c>
      <c r="D656" s="11" t="s">
        <v>35</v>
      </c>
      <c r="E656" s="11" t="s">
        <v>102</v>
      </c>
      <c r="F656" s="11" t="s">
        <v>124</v>
      </c>
      <c r="G656" s="21" t="n">
        <v>51.94</v>
      </c>
      <c r="H656" s="19" t="n">
        <v>0</v>
      </c>
      <c r="I656" s="21" t="n">
        <v>51.94</v>
      </c>
      <c r="J656" s="22" t="s">
        <v>80</v>
      </c>
      <c r="K656" s="11" t="n">
        <v>9</v>
      </c>
      <c r="L656" s="23" t="n">
        <v>3.2</v>
      </c>
      <c r="M656" s="24" t="b">
        <f aca="false">FALSE()</f>
        <v>0</v>
      </c>
      <c r="N656" s="11"/>
      <c r="O656" s="11" t="str">
        <f aca="false">IF(K656&lt;=StockP33,"Low",IF(K656&lt;=StockP67,"Moderate","High"))</f>
        <v>Low</v>
      </c>
      <c r="P656" s="11" t="str">
        <f aca="false">IF(H656=0,"Low",IF(H656&lt;=MarkdownP75,"Moderate","High"))</f>
        <v>Low</v>
      </c>
      <c r="Q656" s="11" t="str">
        <f aca="false">IF(ISBLANK(L656),"Unknown",IF(L656&gt;=4,"Good",IF(L656&lt;=2,"Poor","Neutral")))</f>
        <v>Neutral</v>
      </c>
      <c r="R656" s="11" t="str">
        <f aca="false">IF(AND(O656="Low",P656="Low",Q656="Good"),"BUY / PRIORITIZE",IF(AND(O656="High",P656="High",OR(Q656="Poor",M656=TRUE())),"HOLD / REVIEW","MONITOR"))</f>
        <v>MONITOR</v>
      </c>
      <c r="S656" s="11" t="n">
        <f aca="false">K656+(ROW()/10000000)</f>
        <v>9.0000656</v>
      </c>
    </row>
    <row r="657" customFormat="false" ht="15" hidden="false" customHeight="false" outlineLevel="0" collapsed="false">
      <c r="A657" s="11" t="s">
        <v>885</v>
      </c>
      <c r="B657" s="11" t="s">
        <v>8</v>
      </c>
      <c r="C657" s="11" t="s">
        <v>107</v>
      </c>
      <c r="D657" s="11" t="s">
        <v>34</v>
      </c>
      <c r="E657" s="11"/>
      <c r="F657" s="11" t="s">
        <v>82</v>
      </c>
      <c r="G657" s="21" t="n">
        <v>77.48</v>
      </c>
      <c r="H657" s="19" t="n">
        <v>0</v>
      </c>
      <c r="I657" s="21" t="n">
        <v>77.48</v>
      </c>
      <c r="J657" s="22" t="s">
        <v>886</v>
      </c>
      <c r="K657" s="11" t="n">
        <v>49</v>
      </c>
      <c r="L657" s="23" t="n">
        <v>3.3</v>
      </c>
      <c r="M657" s="24" t="b">
        <f aca="false">TRUE()</f>
        <v>1</v>
      </c>
      <c r="N657" s="11" t="s">
        <v>140</v>
      </c>
      <c r="O657" s="11" t="str">
        <f aca="false">IF(K657&lt;=StockP33,"Low",IF(K657&lt;=StockP67,"Moderate","High"))</f>
        <v>High</v>
      </c>
      <c r="P657" s="11" t="str">
        <f aca="false">IF(H657=0,"Low",IF(H657&lt;=MarkdownP75,"Moderate","High"))</f>
        <v>Low</v>
      </c>
      <c r="Q657" s="11" t="str">
        <f aca="false">IF(ISBLANK(L657),"Unknown",IF(L657&gt;=4,"Good",IF(L657&lt;=2,"Poor","Neutral")))</f>
        <v>Neutral</v>
      </c>
      <c r="R657" s="11" t="str">
        <f aca="false">IF(AND(O657="Low",P657="Low",Q657="Good"),"BUY / PRIORITIZE",IF(AND(O657="High",P657="High",OR(Q657="Poor",M657=TRUE())),"HOLD / REVIEW","MONITOR"))</f>
        <v>MONITOR</v>
      </c>
      <c r="S657" s="11" t="n">
        <f aca="false">K657+(ROW()/10000000)</f>
        <v>49.0000657</v>
      </c>
    </row>
    <row r="658" customFormat="false" ht="15" hidden="false" customHeight="false" outlineLevel="0" collapsed="false">
      <c r="A658" s="11" t="s">
        <v>887</v>
      </c>
      <c r="B658" s="11" t="s">
        <v>27</v>
      </c>
      <c r="C658" s="11" t="s">
        <v>95</v>
      </c>
      <c r="D658" s="11" t="s">
        <v>35</v>
      </c>
      <c r="E658" s="11" t="s">
        <v>78</v>
      </c>
      <c r="F658" s="11" t="s">
        <v>82</v>
      </c>
      <c r="G658" s="21" t="n">
        <v>59.66</v>
      </c>
      <c r="H658" s="19" t="n">
        <v>45.2</v>
      </c>
      <c r="I658" s="21" t="n">
        <v>32.69</v>
      </c>
      <c r="J658" s="22" t="s">
        <v>80</v>
      </c>
      <c r="K658" s="11" t="n">
        <v>14</v>
      </c>
      <c r="L658" s="23" t="n">
        <v>2.6</v>
      </c>
      <c r="M658" s="24" t="b">
        <f aca="false">FALSE()</f>
        <v>0</v>
      </c>
      <c r="N658" s="11"/>
      <c r="O658" s="11" t="str">
        <f aca="false">IF(K658&lt;=StockP33,"Low",IF(K658&lt;=StockP67,"Moderate","High"))</f>
        <v>Low</v>
      </c>
      <c r="P658" s="11" t="str">
        <f aca="false">IF(H658=0,"Low",IF(H658&lt;=MarkdownP75,"Moderate","High"))</f>
        <v>High</v>
      </c>
      <c r="Q658" s="11" t="str">
        <f aca="false">IF(ISBLANK(L658),"Unknown",IF(L658&gt;=4,"Good",IF(L658&lt;=2,"Poor","Neutral")))</f>
        <v>Neutral</v>
      </c>
      <c r="R658" s="11" t="str">
        <f aca="false">IF(AND(O658="Low",P658="Low",Q658="Good"),"BUY / PRIORITIZE",IF(AND(O658="High",P658="High",OR(Q658="Poor",M658=TRUE())),"HOLD / REVIEW","MONITOR"))</f>
        <v>MONITOR</v>
      </c>
      <c r="S658" s="11" t="n">
        <f aca="false">K658+(ROW()/10000000)</f>
        <v>14.0000658</v>
      </c>
    </row>
    <row r="659" customFormat="false" ht="15" hidden="false" customHeight="false" outlineLevel="0" collapsed="false">
      <c r="A659" s="11" t="s">
        <v>888</v>
      </c>
      <c r="B659" s="11" t="s">
        <v>26</v>
      </c>
      <c r="C659" s="11" t="s">
        <v>77</v>
      </c>
      <c r="D659" s="11" t="s">
        <v>35</v>
      </c>
      <c r="E659" s="11" t="s">
        <v>91</v>
      </c>
      <c r="F659" s="11" t="s">
        <v>74</v>
      </c>
      <c r="G659" s="21" t="n">
        <v>102.07</v>
      </c>
      <c r="H659" s="19" t="n">
        <v>0</v>
      </c>
      <c r="I659" s="21" t="n">
        <v>102.07</v>
      </c>
      <c r="J659" s="22" t="s">
        <v>80</v>
      </c>
      <c r="K659" s="11" t="n">
        <v>26</v>
      </c>
      <c r="L659" s="23"/>
      <c r="M659" s="24" t="b">
        <f aca="false">TRUE()</f>
        <v>1</v>
      </c>
      <c r="N659" s="11" t="s">
        <v>89</v>
      </c>
      <c r="O659" s="11" t="str">
        <f aca="false">IF(K659&lt;=StockP33,"Low",IF(K659&lt;=StockP67,"Moderate","High"))</f>
        <v>Moderate</v>
      </c>
      <c r="P659" s="11" t="str">
        <f aca="false">IF(H659=0,"Low",IF(H659&lt;=MarkdownP75,"Moderate","High"))</f>
        <v>Low</v>
      </c>
      <c r="Q659" s="11" t="str">
        <f aca="false">IF(ISBLANK(L659),"Unknown",IF(L659&gt;=4,"Good",IF(L659&lt;=2,"Poor","Neutral")))</f>
        <v>Unknown</v>
      </c>
      <c r="R659" s="11" t="str">
        <f aca="false">IF(AND(O659="Low",P659="Low",Q659="Good"),"BUY / PRIORITIZE",IF(AND(O659="High",P659="High",OR(Q659="Poor",M659=TRUE())),"HOLD / REVIEW","MONITOR"))</f>
        <v>MONITOR</v>
      </c>
      <c r="S659" s="11" t="n">
        <f aca="false">K659+(ROW()/10000000)</f>
        <v>26.0000659</v>
      </c>
    </row>
    <row r="660" customFormat="false" ht="15" hidden="false" customHeight="false" outlineLevel="0" collapsed="false">
      <c r="A660" s="11" t="s">
        <v>889</v>
      </c>
      <c r="B660" s="11" t="s">
        <v>8</v>
      </c>
      <c r="C660" s="11" t="s">
        <v>86</v>
      </c>
      <c r="D660" s="11" t="s">
        <v>34</v>
      </c>
      <c r="E660" s="11"/>
      <c r="F660" s="11" t="s">
        <v>92</v>
      </c>
      <c r="G660" s="21" t="n">
        <v>48.57</v>
      </c>
      <c r="H660" s="19" t="n">
        <v>0</v>
      </c>
      <c r="I660" s="21" t="n">
        <v>48.57</v>
      </c>
      <c r="J660" s="22" t="s">
        <v>262</v>
      </c>
      <c r="K660" s="11" t="n">
        <v>12</v>
      </c>
      <c r="L660" s="23" t="n">
        <v>4.7</v>
      </c>
      <c r="M660" s="24" t="b">
        <f aca="false">FALSE()</f>
        <v>0</v>
      </c>
      <c r="N660" s="11"/>
      <c r="O660" s="11" t="str">
        <f aca="false">IF(K660&lt;=StockP33,"Low",IF(K660&lt;=StockP67,"Moderate","High"))</f>
        <v>Low</v>
      </c>
      <c r="P660" s="11" t="str">
        <f aca="false">IF(H660=0,"Low",IF(H660&lt;=MarkdownP75,"Moderate","High"))</f>
        <v>Low</v>
      </c>
      <c r="Q660" s="11" t="str">
        <f aca="false">IF(ISBLANK(L660),"Unknown",IF(L660&gt;=4,"Good",IF(L660&lt;=2,"Poor","Neutral")))</f>
        <v>Good</v>
      </c>
      <c r="R660" s="11" t="str">
        <f aca="false">IF(AND(O660="Low",P660="Low",Q660="Good"),"BUY / PRIORITIZE",IF(AND(O660="High",P660="High",OR(Q660="Poor",M660=TRUE())),"HOLD / REVIEW","MONITOR"))</f>
        <v>BUY / PRIORITIZE</v>
      </c>
      <c r="S660" s="11" t="n">
        <f aca="false">K660+(ROW()/10000000)</f>
        <v>12.000066</v>
      </c>
    </row>
    <row r="661" customFormat="false" ht="15" hidden="false" customHeight="false" outlineLevel="0" collapsed="false">
      <c r="A661" s="11" t="s">
        <v>890</v>
      </c>
      <c r="B661" s="11" t="s">
        <v>29</v>
      </c>
      <c r="C661" s="11" t="s">
        <v>116</v>
      </c>
      <c r="D661" s="11" t="s">
        <v>35</v>
      </c>
      <c r="E661" s="11" t="s">
        <v>113</v>
      </c>
      <c r="F661" s="11" t="s">
        <v>118</v>
      </c>
      <c r="G661" s="21" t="n">
        <v>121.55</v>
      </c>
      <c r="H661" s="19" t="n">
        <v>0</v>
      </c>
      <c r="I661" s="21" t="n">
        <v>121.55</v>
      </c>
      <c r="J661" s="22" t="s">
        <v>80</v>
      </c>
      <c r="K661" s="11" t="n">
        <v>16</v>
      </c>
      <c r="L661" s="23"/>
      <c r="M661" s="24" t="b">
        <f aca="false">TRUE()</f>
        <v>1</v>
      </c>
      <c r="N661" s="11" t="s">
        <v>134</v>
      </c>
      <c r="O661" s="11" t="str">
        <f aca="false">IF(K661&lt;=StockP33,"Low",IF(K661&lt;=StockP67,"Moderate","High"))</f>
        <v>Low</v>
      </c>
      <c r="P661" s="11" t="str">
        <f aca="false">IF(H661=0,"Low",IF(H661&lt;=MarkdownP75,"Moderate","High"))</f>
        <v>Low</v>
      </c>
      <c r="Q661" s="11" t="str">
        <f aca="false">IF(ISBLANK(L661),"Unknown",IF(L661&gt;=4,"Good",IF(L661&lt;=2,"Poor","Neutral")))</f>
        <v>Unknown</v>
      </c>
      <c r="R661" s="11" t="str">
        <f aca="false">IF(AND(O661="Low",P661="Low",Q661="Good"),"BUY / PRIORITIZE",IF(AND(O661="High",P661="High",OR(Q661="Poor",M661=TRUE())),"HOLD / REVIEW","MONITOR"))</f>
        <v>MONITOR</v>
      </c>
      <c r="S661" s="11" t="n">
        <f aca="false">K661+(ROW()/10000000)</f>
        <v>16.0000661</v>
      </c>
    </row>
    <row r="662" customFormat="false" ht="15" hidden="false" customHeight="false" outlineLevel="0" collapsed="false">
      <c r="A662" s="11" t="s">
        <v>891</v>
      </c>
      <c r="B662" s="11" t="s">
        <v>8</v>
      </c>
      <c r="C662" s="11" t="s">
        <v>107</v>
      </c>
      <c r="D662" s="11" t="s">
        <v>37</v>
      </c>
      <c r="E662" s="11"/>
      <c r="F662" s="11" t="s">
        <v>118</v>
      </c>
      <c r="G662" s="21" t="n">
        <v>59.22</v>
      </c>
      <c r="H662" s="19" t="n">
        <v>44.8</v>
      </c>
      <c r="I662" s="21" t="n">
        <v>32.69</v>
      </c>
      <c r="J662" s="22" t="s">
        <v>80</v>
      </c>
      <c r="K662" s="11" t="n">
        <v>21</v>
      </c>
      <c r="L662" s="23" t="n">
        <v>2</v>
      </c>
      <c r="M662" s="24" t="b">
        <f aca="false">FALSE()</f>
        <v>0</v>
      </c>
      <c r="N662" s="11"/>
      <c r="O662" s="11" t="str">
        <f aca="false">IF(K662&lt;=StockP33,"Low",IF(K662&lt;=StockP67,"Moderate","High"))</f>
        <v>Moderate</v>
      </c>
      <c r="P662" s="11" t="str">
        <f aca="false">IF(H662=0,"Low",IF(H662&lt;=MarkdownP75,"Moderate","High"))</f>
        <v>High</v>
      </c>
      <c r="Q662" s="11" t="str">
        <f aca="false">IF(ISBLANK(L662),"Unknown",IF(L662&gt;=4,"Good",IF(L662&lt;=2,"Poor","Neutral")))</f>
        <v>Poor</v>
      </c>
      <c r="R662" s="11" t="str">
        <f aca="false">IF(AND(O662="Low",P662="Low",Q662="Good"),"BUY / PRIORITIZE",IF(AND(O662="High",P662="High",OR(Q662="Poor",M662=TRUE())),"HOLD / REVIEW","MONITOR"))</f>
        <v>MONITOR</v>
      </c>
      <c r="S662" s="11" t="n">
        <f aca="false">K662+(ROW()/10000000)</f>
        <v>21.0000662</v>
      </c>
    </row>
    <row r="663" customFormat="false" ht="15" hidden="false" customHeight="false" outlineLevel="0" collapsed="false">
      <c r="A663" s="11" t="s">
        <v>892</v>
      </c>
      <c r="B663" s="11" t="s">
        <v>30</v>
      </c>
      <c r="C663" s="11" t="s">
        <v>107</v>
      </c>
      <c r="D663" s="11" t="s">
        <v>34</v>
      </c>
      <c r="E663" s="11" t="s">
        <v>110</v>
      </c>
      <c r="F663" s="11" t="s">
        <v>111</v>
      </c>
      <c r="G663" s="21" t="n">
        <v>58.5</v>
      </c>
      <c r="H663" s="19" t="n">
        <v>2.1</v>
      </c>
      <c r="I663" s="21" t="n">
        <v>57.27</v>
      </c>
      <c r="J663" s="22" t="s">
        <v>370</v>
      </c>
      <c r="K663" s="11" t="n">
        <v>24</v>
      </c>
      <c r="L663" s="23" t="n">
        <v>3.9</v>
      </c>
      <c r="M663" s="24" t="b">
        <f aca="false">FALSE()</f>
        <v>0</v>
      </c>
      <c r="N663" s="11"/>
      <c r="O663" s="11" t="str">
        <f aca="false">IF(K663&lt;=StockP33,"Low",IF(K663&lt;=StockP67,"Moderate","High"))</f>
        <v>Moderate</v>
      </c>
      <c r="P663" s="11" t="str">
        <f aca="false">IF(H663=0,"Low",IF(H663&lt;=MarkdownP75,"Moderate","High"))</f>
        <v>Moderate</v>
      </c>
      <c r="Q663" s="11" t="str">
        <f aca="false">IF(ISBLANK(L663),"Unknown",IF(L663&gt;=4,"Good",IF(L663&lt;=2,"Poor","Neutral")))</f>
        <v>Neutral</v>
      </c>
      <c r="R663" s="11" t="str">
        <f aca="false">IF(AND(O663="Low",P663="Low",Q663="Good"),"BUY / PRIORITIZE",IF(AND(O663="High",P663="High",OR(Q663="Poor",M663=TRUE())),"HOLD / REVIEW","MONITOR"))</f>
        <v>MONITOR</v>
      </c>
      <c r="S663" s="11" t="n">
        <f aca="false">K663+(ROW()/10000000)</f>
        <v>24.0000663</v>
      </c>
    </row>
    <row r="664" customFormat="false" ht="15" hidden="false" customHeight="false" outlineLevel="0" collapsed="false">
      <c r="A664" s="11" t="s">
        <v>893</v>
      </c>
      <c r="B664" s="11" t="s">
        <v>8</v>
      </c>
      <c r="C664" s="11" t="s">
        <v>130</v>
      </c>
      <c r="D664" s="11" t="s">
        <v>36</v>
      </c>
      <c r="E664" s="11"/>
      <c r="F664" s="11" t="s">
        <v>98</v>
      </c>
      <c r="G664" s="21" t="n">
        <v>73.85</v>
      </c>
      <c r="H664" s="19" t="n">
        <v>0</v>
      </c>
      <c r="I664" s="21" t="n">
        <v>73.85</v>
      </c>
      <c r="J664" s="22" t="s">
        <v>80</v>
      </c>
      <c r="K664" s="11" t="n">
        <v>46</v>
      </c>
      <c r="L664" s="23" t="n">
        <v>2</v>
      </c>
      <c r="M664" s="24" t="b">
        <f aca="false">FALSE()</f>
        <v>0</v>
      </c>
      <c r="N664" s="11"/>
      <c r="O664" s="11" t="str">
        <f aca="false">IF(K664&lt;=StockP33,"Low",IF(K664&lt;=StockP67,"Moderate","High"))</f>
        <v>High</v>
      </c>
      <c r="P664" s="11" t="str">
        <f aca="false">IF(H664=0,"Low",IF(H664&lt;=MarkdownP75,"Moderate","High"))</f>
        <v>Low</v>
      </c>
      <c r="Q664" s="11" t="str">
        <f aca="false">IF(ISBLANK(L664),"Unknown",IF(L664&gt;=4,"Good",IF(L664&lt;=2,"Poor","Neutral")))</f>
        <v>Poor</v>
      </c>
      <c r="R664" s="11" t="str">
        <f aca="false">IF(AND(O664="Low",P664="Low",Q664="Good"),"BUY / PRIORITIZE",IF(AND(O664="High",P664="High",OR(Q664="Poor",M664=TRUE())),"HOLD / REVIEW","MONITOR"))</f>
        <v>MONITOR</v>
      </c>
      <c r="S664" s="11" t="n">
        <f aca="false">K664+(ROW()/10000000)</f>
        <v>46.0000664</v>
      </c>
    </row>
    <row r="665" customFormat="false" ht="15" hidden="false" customHeight="false" outlineLevel="0" collapsed="false">
      <c r="A665" s="11" t="s">
        <v>894</v>
      </c>
      <c r="B665" s="11" t="s">
        <v>26</v>
      </c>
      <c r="C665" s="11" t="s">
        <v>101</v>
      </c>
      <c r="D665" s="11" t="s">
        <v>35</v>
      </c>
      <c r="E665" s="11" t="s">
        <v>102</v>
      </c>
      <c r="F665" s="11" t="s">
        <v>74</v>
      </c>
      <c r="G665" s="21" t="n">
        <v>114.32</v>
      </c>
      <c r="H665" s="19" t="n">
        <v>36.5</v>
      </c>
      <c r="I665" s="21" t="n">
        <v>72.59</v>
      </c>
      <c r="J665" s="22" t="s">
        <v>80</v>
      </c>
      <c r="K665" s="11" t="n">
        <v>41</v>
      </c>
      <c r="L665" s="23" t="n">
        <v>4.1</v>
      </c>
      <c r="M665" s="24" t="b">
        <f aca="false">FALSE()</f>
        <v>0</v>
      </c>
      <c r="N665" s="11"/>
      <c r="O665" s="11" t="str">
        <f aca="false">IF(K665&lt;=StockP33,"Low",IF(K665&lt;=StockP67,"Moderate","High"))</f>
        <v>High</v>
      </c>
      <c r="P665" s="11" t="str">
        <f aca="false">IF(H665=0,"Low",IF(H665&lt;=MarkdownP75,"Moderate","High"))</f>
        <v>High</v>
      </c>
      <c r="Q665" s="11" t="str">
        <f aca="false">IF(ISBLANK(L665),"Unknown",IF(L665&gt;=4,"Good",IF(L665&lt;=2,"Poor","Neutral")))</f>
        <v>Good</v>
      </c>
      <c r="R665" s="11" t="str">
        <f aca="false">IF(AND(O665="Low",P665="Low",Q665="Good"),"BUY / PRIORITIZE",IF(AND(O665="High",P665="High",OR(Q665="Poor",M665=TRUE())),"HOLD / REVIEW","MONITOR"))</f>
        <v>MONITOR</v>
      </c>
      <c r="S665" s="11" t="n">
        <f aca="false">K665+(ROW()/10000000)</f>
        <v>41.0000665</v>
      </c>
    </row>
    <row r="666" customFormat="false" ht="15" hidden="false" customHeight="false" outlineLevel="0" collapsed="false">
      <c r="A666" s="11" t="s">
        <v>895</v>
      </c>
      <c r="B666" s="11" t="s">
        <v>26</v>
      </c>
      <c r="C666" s="11" t="s">
        <v>130</v>
      </c>
      <c r="D666" s="11" t="s">
        <v>35</v>
      </c>
      <c r="E666" s="11" t="s">
        <v>110</v>
      </c>
      <c r="F666" s="11" t="s">
        <v>92</v>
      </c>
      <c r="G666" s="21" t="n">
        <v>91.4</v>
      </c>
      <c r="H666" s="19" t="n">
        <v>11</v>
      </c>
      <c r="I666" s="21" t="n">
        <v>81.35</v>
      </c>
      <c r="J666" s="22" t="s">
        <v>80</v>
      </c>
      <c r="K666" s="11" t="n">
        <v>18</v>
      </c>
      <c r="L666" s="23" t="n">
        <v>1.6</v>
      </c>
      <c r="M666" s="24" t="b">
        <f aca="false">FALSE()</f>
        <v>0</v>
      </c>
      <c r="N666" s="11"/>
      <c r="O666" s="11" t="str">
        <f aca="false">IF(K666&lt;=StockP33,"Low",IF(K666&lt;=StockP67,"Moderate","High"))</f>
        <v>Moderate</v>
      </c>
      <c r="P666" s="11" t="str">
        <f aca="false">IF(H666=0,"Low",IF(H666&lt;=MarkdownP75,"Moderate","High"))</f>
        <v>Moderate</v>
      </c>
      <c r="Q666" s="11" t="str">
        <f aca="false">IF(ISBLANK(L666),"Unknown",IF(L666&gt;=4,"Good",IF(L666&lt;=2,"Poor","Neutral")))</f>
        <v>Poor</v>
      </c>
      <c r="R666" s="11" t="str">
        <f aca="false">IF(AND(O666="Low",P666="Low",Q666="Good"),"BUY / PRIORITIZE",IF(AND(O666="High",P666="High",OR(Q666="Poor",M666=TRUE())),"HOLD / REVIEW","MONITOR"))</f>
        <v>MONITOR</v>
      </c>
      <c r="S666" s="11" t="n">
        <f aca="false">K666+(ROW()/10000000)</f>
        <v>18.0000666</v>
      </c>
    </row>
    <row r="667" customFormat="false" ht="15" hidden="false" customHeight="false" outlineLevel="0" collapsed="false">
      <c r="A667" s="11" t="s">
        <v>896</v>
      </c>
      <c r="B667" s="11" t="s">
        <v>8</v>
      </c>
      <c r="C667" s="11" t="s">
        <v>130</v>
      </c>
      <c r="D667" s="11" t="s">
        <v>37</v>
      </c>
      <c r="E667" s="11"/>
      <c r="F667" s="11" t="s">
        <v>118</v>
      </c>
      <c r="G667" s="21" t="n">
        <v>69.77</v>
      </c>
      <c r="H667" s="19" t="n">
        <v>0</v>
      </c>
      <c r="I667" s="21" t="n">
        <v>69.77</v>
      </c>
      <c r="J667" s="22" t="s">
        <v>80</v>
      </c>
      <c r="K667" s="11" t="n">
        <v>30</v>
      </c>
      <c r="L667" s="23"/>
      <c r="M667" s="24" t="b">
        <f aca="false">TRUE()</f>
        <v>1</v>
      </c>
      <c r="N667" s="11" t="s">
        <v>89</v>
      </c>
      <c r="O667" s="11" t="str">
        <f aca="false">IF(K667&lt;=StockP33,"Low",IF(K667&lt;=StockP67,"Moderate","High"))</f>
        <v>Moderate</v>
      </c>
      <c r="P667" s="11" t="str">
        <f aca="false">IF(H667=0,"Low",IF(H667&lt;=MarkdownP75,"Moderate","High"))</f>
        <v>Low</v>
      </c>
      <c r="Q667" s="11" t="str">
        <f aca="false">IF(ISBLANK(L667),"Unknown",IF(L667&gt;=4,"Good",IF(L667&lt;=2,"Poor","Neutral")))</f>
        <v>Unknown</v>
      </c>
      <c r="R667" s="11" t="str">
        <f aca="false">IF(AND(O667="Low",P667="Low",Q667="Good"),"BUY / PRIORITIZE",IF(AND(O667="High",P667="High",OR(Q667="Poor",M667=TRUE())),"HOLD / REVIEW","MONITOR"))</f>
        <v>MONITOR</v>
      </c>
      <c r="S667" s="11" t="n">
        <f aca="false">K667+(ROW()/10000000)</f>
        <v>30.0000667</v>
      </c>
    </row>
    <row r="668" customFormat="false" ht="15" hidden="false" customHeight="false" outlineLevel="0" collapsed="false">
      <c r="A668" s="11" t="s">
        <v>897</v>
      </c>
      <c r="B668" s="11" t="s">
        <v>30</v>
      </c>
      <c r="C668" s="11" t="s">
        <v>101</v>
      </c>
      <c r="D668" s="11" t="s">
        <v>35</v>
      </c>
      <c r="E668" s="11" t="s">
        <v>78</v>
      </c>
      <c r="F668" s="11" t="s">
        <v>82</v>
      </c>
      <c r="G668" s="21" t="n">
        <v>72.95</v>
      </c>
      <c r="H668" s="19" t="n">
        <v>0</v>
      </c>
      <c r="I668" s="21" t="n">
        <v>72.95</v>
      </c>
      <c r="J668" s="22" t="s">
        <v>80</v>
      </c>
      <c r="K668" s="11" t="n">
        <v>27</v>
      </c>
      <c r="L668" s="23" t="n">
        <v>4.8</v>
      </c>
      <c r="M668" s="24" t="b">
        <f aca="false">FALSE()</f>
        <v>0</v>
      </c>
      <c r="N668" s="11"/>
      <c r="O668" s="11" t="str">
        <f aca="false">IF(K668&lt;=StockP33,"Low",IF(K668&lt;=StockP67,"Moderate","High"))</f>
        <v>Moderate</v>
      </c>
      <c r="P668" s="11" t="str">
        <f aca="false">IF(H668=0,"Low",IF(H668&lt;=MarkdownP75,"Moderate","High"))</f>
        <v>Low</v>
      </c>
      <c r="Q668" s="11" t="str">
        <f aca="false">IF(ISBLANK(L668),"Unknown",IF(L668&gt;=4,"Good",IF(L668&lt;=2,"Poor","Neutral")))</f>
        <v>Good</v>
      </c>
      <c r="R668" s="11" t="str">
        <f aca="false">IF(AND(O668="Low",P668="Low",Q668="Good"),"BUY / PRIORITIZE",IF(AND(O668="High",P668="High",OR(Q668="Poor",M668=TRUE())),"HOLD / REVIEW","MONITOR"))</f>
        <v>MONITOR</v>
      </c>
      <c r="S668" s="11" t="n">
        <f aca="false">K668+(ROW()/10000000)</f>
        <v>27.0000668</v>
      </c>
    </row>
    <row r="669" customFormat="false" ht="15" hidden="false" customHeight="false" outlineLevel="0" collapsed="false">
      <c r="A669" s="11" t="s">
        <v>898</v>
      </c>
      <c r="B669" s="11" t="s">
        <v>26</v>
      </c>
      <c r="C669" s="11" t="s">
        <v>107</v>
      </c>
      <c r="D669" s="11" t="s">
        <v>35</v>
      </c>
      <c r="E669" s="11" t="s">
        <v>73</v>
      </c>
      <c r="F669" s="11" t="s">
        <v>111</v>
      </c>
      <c r="G669" s="21" t="n">
        <v>63.99</v>
      </c>
      <c r="H669" s="19" t="n">
        <v>42.2</v>
      </c>
      <c r="I669" s="21" t="n">
        <v>36.99</v>
      </c>
      <c r="J669" s="22" t="s">
        <v>80</v>
      </c>
      <c r="K669" s="11" t="n">
        <v>35</v>
      </c>
      <c r="L669" s="23" t="n">
        <v>3.2</v>
      </c>
      <c r="M669" s="24" t="b">
        <f aca="false">FALSE()</f>
        <v>0</v>
      </c>
      <c r="N669" s="11"/>
      <c r="O669" s="11" t="str">
        <f aca="false">IF(K669&lt;=StockP33,"Low",IF(K669&lt;=StockP67,"Moderate","High"))</f>
        <v>High</v>
      </c>
      <c r="P669" s="11" t="str">
        <f aca="false">IF(H669=0,"Low",IF(H669&lt;=MarkdownP75,"Moderate","High"))</f>
        <v>High</v>
      </c>
      <c r="Q669" s="11" t="str">
        <f aca="false">IF(ISBLANK(L669),"Unknown",IF(L669&gt;=4,"Good",IF(L669&lt;=2,"Poor","Neutral")))</f>
        <v>Neutral</v>
      </c>
      <c r="R669" s="11" t="str">
        <f aca="false">IF(AND(O669="Low",P669="Low",Q669="Good"),"BUY / PRIORITIZE",IF(AND(O669="High",P669="High",OR(Q669="Poor",M669=TRUE())),"HOLD / REVIEW","MONITOR"))</f>
        <v>MONITOR</v>
      </c>
      <c r="S669" s="11" t="n">
        <f aca="false">K669+(ROW()/10000000)</f>
        <v>35.0000669</v>
      </c>
    </row>
    <row r="670" customFormat="false" ht="15" hidden="false" customHeight="false" outlineLevel="0" collapsed="false">
      <c r="A670" s="11" t="s">
        <v>899</v>
      </c>
      <c r="B670" s="11" t="s">
        <v>27</v>
      </c>
      <c r="C670" s="11" t="s">
        <v>86</v>
      </c>
      <c r="D670" s="11" t="s">
        <v>35</v>
      </c>
      <c r="E670" s="11" t="s">
        <v>73</v>
      </c>
      <c r="F670" s="11" t="s">
        <v>96</v>
      </c>
      <c r="G670" s="21" t="n">
        <v>74.84</v>
      </c>
      <c r="H670" s="19" t="n">
        <v>51.9</v>
      </c>
      <c r="I670" s="21" t="n">
        <v>36</v>
      </c>
      <c r="J670" s="22" t="s">
        <v>80</v>
      </c>
      <c r="K670" s="11" t="n">
        <v>35</v>
      </c>
      <c r="L670" s="23" t="n">
        <v>2.5</v>
      </c>
      <c r="M670" s="24" t="b">
        <f aca="false">FALSE()</f>
        <v>0</v>
      </c>
      <c r="N670" s="11"/>
      <c r="O670" s="11" t="str">
        <f aca="false">IF(K670&lt;=StockP33,"Low",IF(K670&lt;=StockP67,"Moderate","High"))</f>
        <v>High</v>
      </c>
      <c r="P670" s="11" t="str">
        <f aca="false">IF(H670=0,"Low",IF(H670&lt;=MarkdownP75,"Moderate","High"))</f>
        <v>High</v>
      </c>
      <c r="Q670" s="11" t="str">
        <f aca="false">IF(ISBLANK(L670),"Unknown",IF(L670&gt;=4,"Good",IF(L670&lt;=2,"Poor","Neutral")))</f>
        <v>Neutral</v>
      </c>
      <c r="R670" s="11" t="str">
        <f aca="false">IF(AND(O670="Low",P670="Low",Q670="Good"),"BUY / PRIORITIZE",IF(AND(O670="High",P670="High",OR(Q670="Poor",M670=TRUE())),"HOLD / REVIEW","MONITOR"))</f>
        <v>MONITOR</v>
      </c>
      <c r="S670" s="11" t="n">
        <f aca="false">K670+(ROW()/10000000)</f>
        <v>35.000067</v>
      </c>
    </row>
    <row r="671" customFormat="false" ht="15" hidden="false" customHeight="false" outlineLevel="0" collapsed="false">
      <c r="A671" s="11" t="s">
        <v>900</v>
      </c>
      <c r="B671" s="11" t="s">
        <v>28</v>
      </c>
      <c r="C671" s="11" t="s">
        <v>101</v>
      </c>
      <c r="D671" s="11" t="s">
        <v>34</v>
      </c>
      <c r="E671" s="11" t="s">
        <v>110</v>
      </c>
      <c r="F671" s="11" t="s">
        <v>82</v>
      </c>
      <c r="G671" s="21" t="n">
        <v>158.84</v>
      </c>
      <c r="H671" s="19" t="n">
        <v>0</v>
      </c>
      <c r="I671" s="21" t="n">
        <v>158.84</v>
      </c>
      <c r="J671" s="22" t="s">
        <v>142</v>
      </c>
      <c r="K671" s="11" t="n">
        <v>30</v>
      </c>
      <c r="L671" s="23" t="n">
        <v>4.6</v>
      </c>
      <c r="M671" s="24" t="b">
        <f aca="false">FALSE()</f>
        <v>0</v>
      </c>
      <c r="N671" s="11"/>
      <c r="O671" s="11" t="str">
        <f aca="false">IF(K671&lt;=StockP33,"Low",IF(K671&lt;=StockP67,"Moderate","High"))</f>
        <v>Moderate</v>
      </c>
      <c r="P671" s="11" t="str">
        <f aca="false">IF(H671=0,"Low",IF(H671&lt;=MarkdownP75,"Moderate","High"))</f>
        <v>Low</v>
      </c>
      <c r="Q671" s="11" t="str">
        <f aca="false">IF(ISBLANK(L671),"Unknown",IF(L671&gt;=4,"Good",IF(L671&lt;=2,"Poor","Neutral")))</f>
        <v>Good</v>
      </c>
      <c r="R671" s="11" t="str">
        <f aca="false">IF(AND(O671="Low",P671="Low",Q671="Good"),"BUY / PRIORITIZE",IF(AND(O671="High",P671="High",OR(Q671="Poor",M671=TRUE())),"HOLD / REVIEW","MONITOR"))</f>
        <v>MONITOR</v>
      </c>
      <c r="S671" s="11" t="n">
        <f aca="false">K671+(ROW()/10000000)</f>
        <v>30.0000671</v>
      </c>
    </row>
    <row r="672" customFormat="false" ht="15" hidden="false" customHeight="false" outlineLevel="0" collapsed="false">
      <c r="A672" s="11" t="s">
        <v>901</v>
      </c>
      <c r="B672" s="11" t="s">
        <v>29</v>
      </c>
      <c r="C672" s="11" t="s">
        <v>95</v>
      </c>
      <c r="D672" s="11" t="s">
        <v>34</v>
      </c>
      <c r="E672" s="11" t="s">
        <v>113</v>
      </c>
      <c r="F672" s="11" t="s">
        <v>124</v>
      </c>
      <c r="G672" s="21" t="n">
        <v>96.36</v>
      </c>
      <c r="H672" s="19" t="n">
        <v>58.6</v>
      </c>
      <c r="I672" s="21" t="n">
        <v>39.89</v>
      </c>
      <c r="J672" s="22" t="s">
        <v>210</v>
      </c>
      <c r="K672" s="11" t="n">
        <v>16</v>
      </c>
      <c r="L672" s="23" t="n">
        <v>3.9</v>
      </c>
      <c r="M672" s="24" t="b">
        <f aca="false">FALSE()</f>
        <v>0</v>
      </c>
      <c r="N672" s="11"/>
      <c r="O672" s="11" t="str">
        <f aca="false">IF(K672&lt;=StockP33,"Low",IF(K672&lt;=StockP67,"Moderate","High"))</f>
        <v>Low</v>
      </c>
      <c r="P672" s="11" t="str">
        <f aca="false">IF(H672=0,"Low",IF(H672&lt;=MarkdownP75,"Moderate","High"))</f>
        <v>High</v>
      </c>
      <c r="Q672" s="11" t="str">
        <f aca="false">IF(ISBLANK(L672),"Unknown",IF(L672&gt;=4,"Good",IF(L672&lt;=2,"Poor","Neutral")))</f>
        <v>Neutral</v>
      </c>
      <c r="R672" s="11" t="str">
        <f aca="false">IF(AND(O672="Low",P672="Low",Q672="Good"),"BUY / PRIORITIZE",IF(AND(O672="High",P672="High",OR(Q672="Poor",M672=TRUE())),"HOLD / REVIEW","MONITOR"))</f>
        <v>MONITOR</v>
      </c>
      <c r="S672" s="11" t="n">
        <f aca="false">K672+(ROW()/10000000)</f>
        <v>16.0000672</v>
      </c>
    </row>
    <row r="673" customFormat="false" ht="15" hidden="false" customHeight="false" outlineLevel="0" collapsed="false">
      <c r="A673" s="11" t="s">
        <v>902</v>
      </c>
      <c r="B673" s="11" t="s">
        <v>26</v>
      </c>
      <c r="C673" s="11" t="s">
        <v>101</v>
      </c>
      <c r="D673" s="11" t="s">
        <v>34</v>
      </c>
      <c r="E673" s="11" t="s">
        <v>110</v>
      </c>
      <c r="F673" s="11" t="s">
        <v>120</v>
      </c>
      <c r="G673" s="21" t="n">
        <v>51.06</v>
      </c>
      <c r="H673" s="19" t="n">
        <v>13.9</v>
      </c>
      <c r="I673" s="21" t="n">
        <v>43.96</v>
      </c>
      <c r="J673" s="22" t="s">
        <v>403</v>
      </c>
      <c r="K673" s="11" t="n">
        <v>16</v>
      </c>
      <c r="L673" s="23" t="n">
        <v>1.3</v>
      </c>
      <c r="M673" s="24" t="b">
        <f aca="false">FALSE()</f>
        <v>0</v>
      </c>
      <c r="N673" s="11"/>
      <c r="O673" s="11" t="str">
        <f aca="false">IF(K673&lt;=StockP33,"Low",IF(K673&lt;=StockP67,"Moderate","High"))</f>
        <v>Low</v>
      </c>
      <c r="P673" s="11" t="str">
        <f aca="false">IF(H673=0,"Low",IF(H673&lt;=MarkdownP75,"Moderate","High"))</f>
        <v>Moderate</v>
      </c>
      <c r="Q673" s="11" t="str">
        <f aca="false">IF(ISBLANK(L673),"Unknown",IF(L673&gt;=4,"Good",IF(L673&lt;=2,"Poor","Neutral")))</f>
        <v>Poor</v>
      </c>
      <c r="R673" s="11" t="str">
        <f aca="false">IF(AND(O673="Low",P673="Low",Q673="Good"),"BUY / PRIORITIZE",IF(AND(O673="High",P673="High",OR(Q673="Poor",M673=TRUE())),"HOLD / REVIEW","MONITOR"))</f>
        <v>MONITOR</v>
      </c>
      <c r="S673" s="11" t="n">
        <f aca="false">K673+(ROW()/10000000)</f>
        <v>16.0000673</v>
      </c>
    </row>
    <row r="674" customFormat="false" ht="15" hidden="false" customHeight="false" outlineLevel="0" collapsed="false">
      <c r="A674" s="11" t="s">
        <v>903</v>
      </c>
      <c r="B674" s="11" t="s">
        <v>26</v>
      </c>
      <c r="C674" s="11" t="s">
        <v>86</v>
      </c>
      <c r="D674" s="11" t="s">
        <v>35</v>
      </c>
      <c r="E674" s="11" t="s">
        <v>78</v>
      </c>
      <c r="F674" s="11" t="s">
        <v>118</v>
      </c>
      <c r="G674" s="21" t="n">
        <v>49.75</v>
      </c>
      <c r="H674" s="19" t="n">
        <v>26.4</v>
      </c>
      <c r="I674" s="21" t="n">
        <v>36.62</v>
      </c>
      <c r="J674" s="22" t="s">
        <v>80</v>
      </c>
      <c r="K674" s="11" t="n">
        <v>24</v>
      </c>
      <c r="L674" s="23" t="n">
        <v>3.8</v>
      </c>
      <c r="M674" s="24" t="b">
        <f aca="false">FALSE()</f>
        <v>0</v>
      </c>
      <c r="N674" s="11"/>
      <c r="O674" s="11" t="str">
        <f aca="false">IF(K674&lt;=StockP33,"Low",IF(K674&lt;=StockP67,"Moderate","High"))</f>
        <v>Moderate</v>
      </c>
      <c r="P674" s="11" t="str">
        <f aca="false">IF(H674=0,"Low",IF(H674&lt;=MarkdownP75,"Moderate","High"))</f>
        <v>High</v>
      </c>
      <c r="Q674" s="11" t="str">
        <f aca="false">IF(ISBLANK(L674),"Unknown",IF(L674&gt;=4,"Good",IF(L674&lt;=2,"Poor","Neutral")))</f>
        <v>Neutral</v>
      </c>
      <c r="R674" s="11" t="str">
        <f aca="false">IF(AND(O674="Low",P674="Low",Q674="Good"),"BUY / PRIORITIZE",IF(AND(O674="High",P674="High",OR(Q674="Poor",M674=TRUE())),"HOLD / REVIEW","MONITOR"))</f>
        <v>MONITOR</v>
      </c>
      <c r="S674" s="11" t="n">
        <f aca="false">K674+(ROW()/10000000)</f>
        <v>24.0000674</v>
      </c>
    </row>
    <row r="675" customFormat="false" ht="15" hidden="false" customHeight="false" outlineLevel="0" collapsed="false">
      <c r="A675" s="11" t="s">
        <v>904</v>
      </c>
      <c r="B675" s="11" t="s">
        <v>27</v>
      </c>
      <c r="C675" s="11" t="s">
        <v>95</v>
      </c>
      <c r="D675" s="11" t="s">
        <v>34</v>
      </c>
      <c r="E675" s="11" t="s">
        <v>110</v>
      </c>
      <c r="F675" s="11" t="s">
        <v>79</v>
      </c>
      <c r="G675" s="21" t="n">
        <v>148.98</v>
      </c>
      <c r="H675" s="19" t="n">
        <v>0</v>
      </c>
      <c r="I675" s="21" t="n">
        <v>148.98</v>
      </c>
      <c r="J675" s="22" t="s">
        <v>905</v>
      </c>
      <c r="K675" s="11" t="n">
        <v>11</v>
      </c>
      <c r="L675" s="23" t="n">
        <v>2.2</v>
      </c>
      <c r="M675" s="24" t="b">
        <f aca="false">TRUE()</f>
        <v>1</v>
      </c>
      <c r="N675" s="11" t="s">
        <v>191</v>
      </c>
      <c r="O675" s="11" t="str">
        <f aca="false">IF(K675&lt;=StockP33,"Low",IF(K675&lt;=StockP67,"Moderate","High"))</f>
        <v>Low</v>
      </c>
      <c r="P675" s="11" t="str">
        <f aca="false">IF(H675=0,"Low",IF(H675&lt;=MarkdownP75,"Moderate","High"))</f>
        <v>Low</v>
      </c>
      <c r="Q675" s="11" t="str">
        <f aca="false">IF(ISBLANK(L675),"Unknown",IF(L675&gt;=4,"Good",IF(L675&lt;=2,"Poor","Neutral")))</f>
        <v>Neutral</v>
      </c>
      <c r="R675" s="11" t="str">
        <f aca="false">IF(AND(O675="Low",P675="Low",Q675="Good"),"BUY / PRIORITIZE",IF(AND(O675="High",P675="High",OR(Q675="Poor",M675=TRUE())),"HOLD / REVIEW","MONITOR"))</f>
        <v>MONITOR</v>
      </c>
      <c r="S675" s="11" t="n">
        <f aca="false">K675+(ROW()/10000000)</f>
        <v>11.0000675</v>
      </c>
    </row>
    <row r="676" customFormat="false" ht="15" hidden="false" customHeight="false" outlineLevel="0" collapsed="false">
      <c r="A676" s="11" t="s">
        <v>906</v>
      </c>
      <c r="B676" s="11" t="s">
        <v>8</v>
      </c>
      <c r="C676" s="11" t="s">
        <v>116</v>
      </c>
      <c r="D676" s="11" t="s">
        <v>37</v>
      </c>
      <c r="E676" s="11"/>
      <c r="F676" s="11" t="s">
        <v>92</v>
      </c>
      <c r="G676" s="21" t="n">
        <v>72.24</v>
      </c>
      <c r="H676" s="19" t="n">
        <v>0</v>
      </c>
      <c r="I676" s="21" t="n">
        <v>72.24</v>
      </c>
      <c r="J676" s="22" t="s">
        <v>80</v>
      </c>
      <c r="K676" s="11" t="n">
        <v>35</v>
      </c>
      <c r="L676" s="23" t="n">
        <v>4.1</v>
      </c>
      <c r="M676" s="24" t="b">
        <f aca="false">FALSE()</f>
        <v>0</v>
      </c>
      <c r="N676" s="11"/>
      <c r="O676" s="11" t="str">
        <f aca="false">IF(K676&lt;=StockP33,"Low",IF(K676&lt;=StockP67,"Moderate","High"))</f>
        <v>High</v>
      </c>
      <c r="P676" s="11" t="str">
        <f aca="false">IF(H676=0,"Low",IF(H676&lt;=MarkdownP75,"Moderate","High"))</f>
        <v>Low</v>
      </c>
      <c r="Q676" s="11" t="str">
        <f aca="false">IF(ISBLANK(L676),"Unknown",IF(L676&gt;=4,"Good",IF(L676&lt;=2,"Poor","Neutral")))</f>
        <v>Good</v>
      </c>
      <c r="R676" s="11" t="str">
        <f aca="false">IF(AND(O676="Low",P676="Low",Q676="Good"),"BUY / PRIORITIZE",IF(AND(O676="High",P676="High",OR(Q676="Poor",M676=TRUE())),"HOLD / REVIEW","MONITOR"))</f>
        <v>MONITOR</v>
      </c>
      <c r="S676" s="11" t="n">
        <f aca="false">K676+(ROW()/10000000)</f>
        <v>35.0000676</v>
      </c>
    </row>
    <row r="677" customFormat="false" ht="15" hidden="false" customHeight="false" outlineLevel="0" collapsed="false">
      <c r="A677" s="11" t="s">
        <v>907</v>
      </c>
      <c r="B677" s="11" t="s">
        <v>30</v>
      </c>
      <c r="C677" s="11" t="s">
        <v>95</v>
      </c>
      <c r="D677" s="11" t="s">
        <v>37</v>
      </c>
      <c r="E677" s="11" t="s">
        <v>110</v>
      </c>
      <c r="F677" s="11" t="s">
        <v>96</v>
      </c>
      <c r="G677" s="21" t="n">
        <v>94.92</v>
      </c>
      <c r="H677" s="19" t="n">
        <v>0</v>
      </c>
      <c r="I677" s="21" t="n">
        <v>94.92</v>
      </c>
      <c r="J677" s="22" t="s">
        <v>80</v>
      </c>
      <c r="K677" s="11" t="n">
        <v>5</v>
      </c>
      <c r="L677" s="23" t="n">
        <v>3.3</v>
      </c>
      <c r="M677" s="24" t="b">
        <f aca="false">FALSE()</f>
        <v>0</v>
      </c>
      <c r="N677" s="11"/>
      <c r="O677" s="11" t="str">
        <f aca="false">IF(K677&lt;=StockP33,"Low",IF(K677&lt;=StockP67,"Moderate","High"))</f>
        <v>Low</v>
      </c>
      <c r="P677" s="11" t="str">
        <f aca="false">IF(H677=0,"Low",IF(H677&lt;=MarkdownP75,"Moderate","High"))</f>
        <v>Low</v>
      </c>
      <c r="Q677" s="11" t="str">
        <f aca="false">IF(ISBLANK(L677),"Unknown",IF(L677&gt;=4,"Good",IF(L677&lt;=2,"Poor","Neutral")))</f>
        <v>Neutral</v>
      </c>
      <c r="R677" s="11" t="str">
        <f aca="false">IF(AND(O677="Low",P677="Low",Q677="Good"),"BUY / PRIORITIZE",IF(AND(O677="High",P677="High",OR(Q677="Poor",M677=TRUE())),"HOLD / REVIEW","MONITOR"))</f>
        <v>MONITOR</v>
      </c>
      <c r="S677" s="11" t="n">
        <f aca="false">K677+(ROW()/10000000)</f>
        <v>5.0000677</v>
      </c>
    </row>
    <row r="678" customFormat="false" ht="15" hidden="false" customHeight="false" outlineLevel="0" collapsed="false">
      <c r="A678" s="11" t="s">
        <v>908</v>
      </c>
      <c r="B678" s="11" t="s">
        <v>28</v>
      </c>
      <c r="C678" s="11" t="s">
        <v>86</v>
      </c>
      <c r="D678" s="11" t="s">
        <v>36</v>
      </c>
      <c r="E678" s="11" t="s">
        <v>102</v>
      </c>
      <c r="F678" s="11" t="s">
        <v>124</v>
      </c>
      <c r="G678" s="21" t="n">
        <v>91.08</v>
      </c>
      <c r="H678" s="19" t="n">
        <v>0</v>
      </c>
      <c r="I678" s="21" t="n">
        <v>91.08</v>
      </c>
      <c r="J678" s="22" t="s">
        <v>80</v>
      </c>
      <c r="K678" s="11" t="n">
        <v>47</v>
      </c>
      <c r="L678" s="23" t="n">
        <v>4.9</v>
      </c>
      <c r="M678" s="24" t="b">
        <f aca="false">FALSE()</f>
        <v>0</v>
      </c>
      <c r="N678" s="11"/>
      <c r="O678" s="11" t="str">
        <f aca="false">IF(K678&lt;=StockP33,"Low",IF(K678&lt;=StockP67,"Moderate","High"))</f>
        <v>High</v>
      </c>
      <c r="P678" s="11" t="str">
        <f aca="false">IF(H678=0,"Low",IF(H678&lt;=MarkdownP75,"Moderate","High"))</f>
        <v>Low</v>
      </c>
      <c r="Q678" s="11" t="str">
        <f aca="false">IF(ISBLANK(L678),"Unknown",IF(L678&gt;=4,"Good",IF(L678&lt;=2,"Poor","Neutral")))</f>
        <v>Good</v>
      </c>
      <c r="R678" s="11" t="str">
        <f aca="false">IF(AND(O678="Low",P678="Low",Q678="Good"),"BUY / PRIORITIZE",IF(AND(O678="High",P678="High",OR(Q678="Poor",M678=TRUE())),"HOLD / REVIEW","MONITOR"))</f>
        <v>MONITOR</v>
      </c>
      <c r="S678" s="11" t="n">
        <f aca="false">K678+(ROW()/10000000)</f>
        <v>47.0000678</v>
      </c>
    </row>
    <row r="679" customFormat="false" ht="15" hidden="false" customHeight="false" outlineLevel="0" collapsed="false">
      <c r="A679" s="11" t="s">
        <v>909</v>
      </c>
      <c r="B679" s="11" t="s">
        <v>8</v>
      </c>
      <c r="C679" s="11" t="s">
        <v>86</v>
      </c>
      <c r="D679" s="11" t="s">
        <v>36</v>
      </c>
      <c r="E679" s="11"/>
      <c r="F679" s="11" t="s">
        <v>124</v>
      </c>
      <c r="G679" s="21" t="n">
        <v>49.72</v>
      </c>
      <c r="H679" s="19" t="n">
        <v>58.3</v>
      </c>
      <c r="I679" s="21" t="n">
        <v>20.73</v>
      </c>
      <c r="J679" s="22" t="s">
        <v>80</v>
      </c>
      <c r="K679" s="11" t="n">
        <v>4</v>
      </c>
      <c r="L679" s="23" t="n">
        <v>1.6</v>
      </c>
      <c r="M679" s="24" t="b">
        <f aca="false">FALSE()</f>
        <v>0</v>
      </c>
      <c r="N679" s="11"/>
      <c r="O679" s="11" t="str">
        <f aca="false">IF(K679&lt;=StockP33,"Low",IF(K679&lt;=StockP67,"Moderate","High"))</f>
        <v>Low</v>
      </c>
      <c r="P679" s="11" t="str">
        <f aca="false">IF(H679=0,"Low",IF(H679&lt;=MarkdownP75,"Moderate","High"))</f>
        <v>High</v>
      </c>
      <c r="Q679" s="11" t="str">
        <f aca="false">IF(ISBLANK(L679),"Unknown",IF(L679&gt;=4,"Good",IF(L679&lt;=2,"Poor","Neutral")))</f>
        <v>Poor</v>
      </c>
      <c r="R679" s="11" t="str">
        <f aca="false">IF(AND(O679="Low",P679="Low",Q679="Good"),"BUY / PRIORITIZE",IF(AND(O679="High",P679="High",OR(Q679="Poor",M679=TRUE())),"HOLD / REVIEW","MONITOR"))</f>
        <v>MONITOR</v>
      </c>
      <c r="S679" s="11" t="n">
        <f aca="false">K679+(ROW()/10000000)</f>
        <v>4.0000679</v>
      </c>
    </row>
    <row r="680" customFormat="false" ht="15" hidden="false" customHeight="false" outlineLevel="0" collapsed="false">
      <c r="A680" s="11" t="s">
        <v>910</v>
      </c>
      <c r="B680" s="11" t="s">
        <v>8</v>
      </c>
      <c r="C680" s="11" t="s">
        <v>116</v>
      </c>
      <c r="D680" s="11" t="s">
        <v>37</v>
      </c>
      <c r="E680" s="11"/>
      <c r="F680" s="11" t="s">
        <v>120</v>
      </c>
      <c r="G680" s="21" t="n">
        <v>23.09</v>
      </c>
      <c r="H680" s="19" t="n">
        <v>7.1</v>
      </c>
      <c r="I680" s="21" t="n">
        <v>21.45</v>
      </c>
      <c r="J680" s="22" t="s">
        <v>80</v>
      </c>
      <c r="K680" s="11" t="n">
        <v>11</v>
      </c>
      <c r="L680" s="23" t="n">
        <v>1.2</v>
      </c>
      <c r="M680" s="24" t="b">
        <f aca="false">FALSE()</f>
        <v>0</v>
      </c>
      <c r="N680" s="11"/>
      <c r="O680" s="11" t="str">
        <f aca="false">IF(K680&lt;=StockP33,"Low",IF(K680&lt;=StockP67,"Moderate","High"))</f>
        <v>Low</v>
      </c>
      <c r="P680" s="11" t="str">
        <f aca="false">IF(H680=0,"Low",IF(H680&lt;=MarkdownP75,"Moderate","High"))</f>
        <v>Moderate</v>
      </c>
      <c r="Q680" s="11" t="str">
        <f aca="false">IF(ISBLANK(L680),"Unknown",IF(L680&gt;=4,"Good",IF(L680&lt;=2,"Poor","Neutral")))</f>
        <v>Poor</v>
      </c>
      <c r="R680" s="11" t="str">
        <f aca="false">IF(AND(O680="Low",P680="Low",Q680="Good"),"BUY / PRIORITIZE",IF(AND(O680="High",P680="High",OR(Q680="Poor",M680=TRUE())),"HOLD / REVIEW","MONITOR"))</f>
        <v>MONITOR</v>
      </c>
      <c r="S680" s="11" t="n">
        <f aca="false">K680+(ROW()/10000000)</f>
        <v>11.000068</v>
      </c>
    </row>
    <row r="681" customFormat="false" ht="15" hidden="false" customHeight="false" outlineLevel="0" collapsed="false">
      <c r="A681" s="11" t="s">
        <v>911</v>
      </c>
      <c r="B681" s="11" t="s">
        <v>8</v>
      </c>
      <c r="C681" s="11" t="s">
        <v>72</v>
      </c>
      <c r="D681" s="11" t="s">
        <v>34</v>
      </c>
      <c r="E681" s="11"/>
      <c r="F681" s="11" t="s">
        <v>74</v>
      </c>
      <c r="G681" s="21" t="n">
        <v>49.95</v>
      </c>
      <c r="H681" s="19" t="n">
        <v>0</v>
      </c>
      <c r="I681" s="21" t="n">
        <v>49.95</v>
      </c>
      <c r="J681" s="22" t="s">
        <v>314</v>
      </c>
      <c r="K681" s="11" t="n">
        <v>29</v>
      </c>
      <c r="L681" s="23" t="n">
        <v>4.3</v>
      </c>
      <c r="M681" s="24" t="b">
        <f aca="false">FALSE()</f>
        <v>0</v>
      </c>
      <c r="N681" s="11"/>
      <c r="O681" s="11" t="str">
        <f aca="false">IF(K681&lt;=StockP33,"Low",IF(K681&lt;=StockP67,"Moderate","High"))</f>
        <v>Moderate</v>
      </c>
      <c r="P681" s="11" t="str">
        <f aca="false">IF(H681=0,"Low",IF(H681&lt;=MarkdownP75,"Moderate","High"))</f>
        <v>Low</v>
      </c>
      <c r="Q681" s="11" t="str">
        <f aca="false">IF(ISBLANK(L681),"Unknown",IF(L681&gt;=4,"Good",IF(L681&lt;=2,"Poor","Neutral")))</f>
        <v>Good</v>
      </c>
      <c r="R681" s="11" t="str">
        <f aca="false">IF(AND(O681="Low",P681="Low",Q681="Good"),"BUY / PRIORITIZE",IF(AND(O681="High",P681="High",OR(Q681="Poor",M681=TRUE())),"HOLD / REVIEW","MONITOR"))</f>
        <v>MONITOR</v>
      </c>
      <c r="S681" s="11" t="n">
        <f aca="false">K681+(ROW()/10000000)</f>
        <v>29.0000681</v>
      </c>
    </row>
    <row r="682" customFormat="false" ht="15" hidden="false" customHeight="false" outlineLevel="0" collapsed="false">
      <c r="A682" s="11" t="s">
        <v>912</v>
      </c>
      <c r="B682" s="11" t="s">
        <v>8</v>
      </c>
      <c r="C682" s="11" t="s">
        <v>130</v>
      </c>
      <c r="D682" s="11" t="s">
        <v>37</v>
      </c>
      <c r="E682" s="11"/>
      <c r="F682" s="11" t="s">
        <v>98</v>
      </c>
      <c r="G682" s="21" t="n">
        <v>25.7</v>
      </c>
      <c r="H682" s="19" t="n">
        <v>0</v>
      </c>
      <c r="I682" s="21" t="n">
        <v>25.7</v>
      </c>
      <c r="J682" s="22" t="s">
        <v>80</v>
      </c>
      <c r="K682" s="11" t="n">
        <v>38</v>
      </c>
      <c r="L682" s="23" t="n">
        <v>3.2</v>
      </c>
      <c r="M682" s="24" t="b">
        <f aca="false">TRUE()</f>
        <v>1</v>
      </c>
      <c r="N682" s="11" t="s">
        <v>140</v>
      </c>
      <c r="O682" s="11" t="str">
        <f aca="false">IF(K682&lt;=StockP33,"Low",IF(K682&lt;=StockP67,"Moderate","High"))</f>
        <v>High</v>
      </c>
      <c r="P682" s="11" t="str">
        <f aca="false">IF(H682=0,"Low",IF(H682&lt;=MarkdownP75,"Moderate","High"))</f>
        <v>Low</v>
      </c>
      <c r="Q682" s="11" t="str">
        <f aca="false">IF(ISBLANK(L682),"Unknown",IF(L682&gt;=4,"Good",IF(L682&lt;=2,"Poor","Neutral")))</f>
        <v>Neutral</v>
      </c>
      <c r="R682" s="11" t="str">
        <f aca="false">IF(AND(O682="Low",P682="Low",Q682="Good"),"BUY / PRIORITIZE",IF(AND(O682="High",P682="High",OR(Q682="Poor",M682=TRUE())),"HOLD / REVIEW","MONITOR"))</f>
        <v>MONITOR</v>
      </c>
      <c r="S682" s="11" t="n">
        <f aca="false">K682+(ROW()/10000000)</f>
        <v>38.0000682</v>
      </c>
    </row>
    <row r="683" customFormat="false" ht="15" hidden="false" customHeight="false" outlineLevel="0" collapsed="false">
      <c r="A683" s="11" t="s">
        <v>913</v>
      </c>
      <c r="B683" s="11" t="s">
        <v>29</v>
      </c>
      <c r="C683" s="11" t="s">
        <v>95</v>
      </c>
      <c r="D683" s="11" t="s">
        <v>35</v>
      </c>
      <c r="E683" s="11" t="s">
        <v>110</v>
      </c>
      <c r="F683" s="11" t="s">
        <v>98</v>
      </c>
      <c r="G683" s="21" t="n">
        <v>175.22</v>
      </c>
      <c r="H683" s="19" t="n">
        <v>0</v>
      </c>
      <c r="I683" s="21" t="n">
        <v>175.22</v>
      </c>
      <c r="J683" s="22" t="s">
        <v>80</v>
      </c>
      <c r="K683" s="11" t="n">
        <v>8</v>
      </c>
      <c r="L683" s="23" t="n">
        <v>4.9</v>
      </c>
      <c r="M683" s="24" t="b">
        <f aca="false">FALSE()</f>
        <v>0</v>
      </c>
      <c r="N683" s="11"/>
      <c r="O683" s="11" t="str">
        <f aca="false">IF(K683&lt;=StockP33,"Low",IF(K683&lt;=StockP67,"Moderate","High"))</f>
        <v>Low</v>
      </c>
      <c r="P683" s="11" t="str">
        <f aca="false">IF(H683=0,"Low",IF(H683&lt;=MarkdownP75,"Moderate","High"))</f>
        <v>Low</v>
      </c>
      <c r="Q683" s="11" t="str">
        <f aca="false">IF(ISBLANK(L683),"Unknown",IF(L683&gt;=4,"Good",IF(L683&lt;=2,"Poor","Neutral")))</f>
        <v>Good</v>
      </c>
      <c r="R683" s="11" t="str">
        <f aca="false">IF(AND(O683="Low",P683="Low",Q683="Good"),"BUY / PRIORITIZE",IF(AND(O683="High",P683="High",OR(Q683="Poor",M683=TRUE())),"HOLD / REVIEW","MONITOR"))</f>
        <v>BUY / PRIORITIZE</v>
      </c>
      <c r="S683" s="11" t="n">
        <f aca="false">K683+(ROW()/10000000)</f>
        <v>8.0000683</v>
      </c>
    </row>
    <row r="684" customFormat="false" ht="15" hidden="false" customHeight="false" outlineLevel="0" collapsed="false">
      <c r="A684" s="11" t="s">
        <v>914</v>
      </c>
      <c r="B684" s="11" t="s">
        <v>26</v>
      </c>
      <c r="C684" s="11" t="s">
        <v>107</v>
      </c>
      <c r="D684" s="11" t="s">
        <v>35</v>
      </c>
      <c r="E684" s="11" t="s">
        <v>110</v>
      </c>
      <c r="F684" s="11" t="s">
        <v>92</v>
      </c>
      <c r="G684" s="21" t="n">
        <v>37.57</v>
      </c>
      <c r="H684" s="19" t="n">
        <v>0</v>
      </c>
      <c r="I684" s="21" t="n">
        <v>37.57</v>
      </c>
      <c r="J684" s="22" t="s">
        <v>80</v>
      </c>
      <c r="K684" s="11" t="n">
        <v>18</v>
      </c>
      <c r="L684" s="23" t="n">
        <v>1.9</v>
      </c>
      <c r="M684" s="24" t="b">
        <f aca="false">FALSE()</f>
        <v>0</v>
      </c>
      <c r="N684" s="11"/>
      <c r="O684" s="11" t="str">
        <f aca="false">IF(K684&lt;=StockP33,"Low",IF(K684&lt;=StockP67,"Moderate","High"))</f>
        <v>Moderate</v>
      </c>
      <c r="P684" s="11" t="str">
        <f aca="false">IF(H684=0,"Low",IF(H684&lt;=MarkdownP75,"Moderate","High"))</f>
        <v>Low</v>
      </c>
      <c r="Q684" s="11" t="str">
        <f aca="false">IF(ISBLANK(L684),"Unknown",IF(L684&gt;=4,"Good",IF(L684&lt;=2,"Poor","Neutral")))</f>
        <v>Poor</v>
      </c>
      <c r="R684" s="11" t="str">
        <f aca="false">IF(AND(O684="Low",P684="Low",Q684="Good"),"BUY / PRIORITIZE",IF(AND(O684="High",P684="High",OR(Q684="Poor",M684=TRUE())),"HOLD / REVIEW","MONITOR"))</f>
        <v>MONITOR</v>
      </c>
      <c r="S684" s="11" t="n">
        <f aca="false">K684+(ROW()/10000000)</f>
        <v>18.0000684</v>
      </c>
    </row>
    <row r="685" customFormat="false" ht="15" hidden="false" customHeight="false" outlineLevel="0" collapsed="false">
      <c r="A685" s="11" t="s">
        <v>915</v>
      </c>
      <c r="B685" s="11" t="s">
        <v>28</v>
      </c>
      <c r="C685" s="11" t="s">
        <v>72</v>
      </c>
      <c r="D685" s="11" t="s">
        <v>34</v>
      </c>
      <c r="E685" s="11" t="s">
        <v>113</v>
      </c>
      <c r="F685" s="11" t="s">
        <v>98</v>
      </c>
      <c r="G685" s="21" t="n">
        <v>245.87</v>
      </c>
      <c r="H685" s="19" t="n">
        <v>0</v>
      </c>
      <c r="I685" s="21" t="n">
        <v>245.87</v>
      </c>
      <c r="J685" s="22" t="s">
        <v>916</v>
      </c>
      <c r="K685" s="11" t="n">
        <v>27</v>
      </c>
      <c r="L685" s="23" t="n">
        <v>2.6</v>
      </c>
      <c r="M685" s="24" t="b">
        <f aca="false">FALSE()</f>
        <v>0</v>
      </c>
      <c r="N685" s="11"/>
      <c r="O685" s="11" t="str">
        <f aca="false">IF(K685&lt;=StockP33,"Low",IF(K685&lt;=StockP67,"Moderate","High"))</f>
        <v>Moderate</v>
      </c>
      <c r="P685" s="11" t="str">
        <f aca="false">IF(H685=0,"Low",IF(H685&lt;=MarkdownP75,"Moderate","High"))</f>
        <v>Low</v>
      </c>
      <c r="Q685" s="11" t="str">
        <f aca="false">IF(ISBLANK(L685),"Unknown",IF(L685&gt;=4,"Good",IF(L685&lt;=2,"Poor","Neutral")))</f>
        <v>Neutral</v>
      </c>
      <c r="R685" s="11" t="str">
        <f aca="false">IF(AND(O685="Low",P685="Low",Q685="Good"),"BUY / PRIORITIZE",IF(AND(O685="High",P685="High",OR(Q685="Poor",M685=TRUE())),"HOLD / REVIEW","MONITOR"))</f>
        <v>MONITOR</v>
      </c>
      <c r="S685" s="11" t="n">
        <f aca="false">K685+(ROW()/10000000)</f>
        <v>27.0000685</v>
      </c>
    </row>
    <row r="686" customFormat="false" ht="15" hidden="false" customHeight="false" outlineLevel="0" collapsed="false">
      <c r="A686" s="11" t="s">
        <v>917</v>
      </c>
      <c r="B686" s="11" t="s">
        <v>26</v>
      </c>
      <c r="C686" s="11" t="s">
        <v>86</v>
      </c>
      <c r="D686" s="11" t="s">
        <v>37</v>
      </c>
      <c r="E686" s="11" t="s">
        <v>110</v>
      </c>
      <c r="F686" s="11" t="s">
        <v>74</v>
      </c>
      <c r="G686" s="21" t="n">
        <v>116.92</v>
      </c>
      <c r="H686" s="19" t="n">
        <v>0</v>
      </c>
      <c r="I686" s="21" t="n">
        <v>116.92</v>
      </c>
      <c r="J686" s="22" t="s">
        <v>80</v>
      </c>
      <c r="K686" s="11" t="n">
        <v>13</v>
      </c>
      <c r="L686" s="23" t="n">
        <v>3.2</v>
      </c>
      <c r="M686" s="24" t="b">
        <f aca="false">FALSE()</f>
        <v>0</v>
      </c>
      <c r="N686" s="11"/>
      <c r="O686" s="11" t="str">
        <f aca="false">IF(K686&lt;=StockP33,"Low",IF(K686&lt;=StockP67,"Moderate","High"))</f>
        <v>Low</v>
      </c>
      <c r="P686" s="11" t="str">
        <f aca="false">IF(H686=0,"Low",IF(H686&lt;=MarkdownP75,"Moderate","High"))</f>
        <v>Low</v>
      </c>
      <c r="Q686" s="11" t="str">
        <f aca="false">IF(ISBLANK(L686),"Unknown",IF(L686&gt;=4,"Good",IF(L686&lt;=2,"Poor","Neutral")))</f>
        <v>Neutral</v>
      </c>
      <c r="R686" s="11" t="str">
        <f aca="false">IF(AND(O686="Low",P686="Low",Q686="Good"),"BUY / PRIORITIZE",IF(AND(O686="High",P686="High",OR(Q686="Poor",M686=TRUE())),"HOLD / REVIEW","MONITOR"))</f>
        <v>MONITOR</v>
      </c>
      <c r="S686" s="11" t="n">
        <f aca="false">K686+(ROW()/10000000)</f>
        <v>13.0000686</v>
      </c>
    </row>
    <row r="687" customFormat="false" ht="15" hidden="false" customHeight="false" outlineLevel="0" collapsed="false">
      <c r="A687" s="11" t="s">
        <v>918</v>
      </c>
      <c r="B687" s="11" t="s">
        <v>27</v>
      </c>
      <c r="C687" s="11" t="s">
        <v>107</v>
      </c>
      <c r="D687" s="11" t="s">
        <v>37</v>
      </c>
      <c r="E687" s="11" t="s">
        <v>78</v>
      </c>
      <c r="F687" s="11" t="s">
        <v>79</v>
      </c>
      <c r="G687" s="21" t="n">
        <v>103.11</v>
      </c>
      <c r="H687" s="19" t="n">
        <v>0</v>
      </c>
      <c r="I687" s="21" t="n">
        <v>103.11</v>
      </c>
      <c r="J687" s="22" t="s">
        <v>80</v>
      </c>
      <c r="K687" s="11" t="n">
        <v>17</v>
      </c>
      <c r="L687" s="23"/>
      <c r="M687" s="24" t="b">
        <f aca="false">FALSE()</f>
        <v>0</v>
      </c>
      <c r="N687" s="11"/>
      <c r="O687" s="11" t="str">
        <f aca="false">IF(K687&lt;=StockP33,"Low",IF(K687&lt;=StockP67,"Moderate","High"))</f>
        <v>Low</v>
      </c>
      <c r="P687" s="11" t="str">
        <f aca="false">IF(H687=0,"Low",IF(H687&lt;=MarkdownP75,"Moderate","High"))</f>
        <v>Low</v>
      </c>
      <c r="Q687" s="11" t="str">
        <f aca="false">IF(ISBLANK(L687),"Unknown",IF(L687&gt;=4,"Good",IF(L687&lt;=2,"Poor","Neutral")))</f>
        <v>Unknown</v>
      </c>
      <c r="R687" s="11" t="str">
        <f aca="false">IF(AND(O687="Low",P687="Low",Q687="Good"),"BUY / PRIORITIZE",IF(AND(O687="High",P687="High",OR(Q687="Poor",M687=TRUE())),"HOLD / REVIEW","MONITOR"))</f>
        <v>MONITOR</v>
      </c>
      <c r="S687" s="11" t="n">
        <f aca="false">K687+(ROW()/10000000)</f>
        <v>17.0000687</v>
      </c>
    </row>
    <row r="688" customFormat="false" ht="15" hidden="false" customHeight="false" outlineLevel="0" collapsed="false">
      <c r="A688" s="11" t="s">
        <v>919</v>
      </c>
      <c r="B688" s="11" t="s">
        <v>28</v>
      </c>
      <c r="C688" s="11" t="s">
        <v>77</v>
      </c>
      <c r="D688" s="11" t="s">
        <v>36</v>
      </c>
      <c r="E688" s="11" t="s">
        <v>113</v>
      </c>
      <c r="F688" s="11" t="s">
        <v>120</v>
      </c>
      <c r="G688" s="21" t="n">
        <v>238.89</v>
      </c>
      <c r="H688" s="19" t="n">
        <v>0.5</v>
      </c>
      <c r="I688" s="21" t="n">
        <v>237.7</v>
      </c>
      <c r="J688" s="22" t="s">
        <v>80</v>
      </c>
      <c r="K688" s="11" t="n">
        <v>28</v>
      </c>
      <c r="L688" s="23" t="n">
        <v>2.7</v>
      </c>
      <c r="M688" s="24" t="b">
        <f aca="false">FALSE()</f>
        <v>0</v>
      </c>
      <c r="N688" s="11"/>
      <c r="O688" s="11" t="str">
        <f aca="false">IF(K688&lt;=StockP33,"Low",IF(K688&lt;=StockP67,"Moderate","High"))</f>
        <v>Moderate</v>
      </c>
      <c r="P688" s="11" t="str">
        <f aca="false">IF(H688=0,"Low",IF(H688&lt;=MarkdownP75,"Moderate","High"))</f>
        <v>Moderate</v>
      </c>
      <c r="Q688" s="11" t="str">
        <f aca="false">IF(ISBLANK(L688),"Unknown",IF(L688&gt;=4,"Good",IF(L688&lt;=2,"Poor","Neutral")))</f>
        <v>Neutral</v>
      </c>
      <c r="R688" s="11" t="str">
        <f aca="false">IF(AND(O688="Low",P688="Low",Q688="Good"),"BUY / PRIORITIZE",IF(AND(O688="High",P688="High",OR(Q688="Poor",M688=TRUE())),"HOLD / REVIEW","MONITOR"))</f>
        <v>MONITOR</v>
      </c>
      <c r="S688" s="11" t="n">
        <f aca="false">K688+(ROW()/10000000)</f>
        <v>28.0000688</v>
      </c>
    </row>
    <row r="689" customFormat="false" ht="15" hidden="false" customHeight="false" outlineLevel="0" collapsed="false">
      <c r="A689" s="11" t="s">
        <v>920</v>
      </c>
      <c r="B689" s="11" t="s">
        <v>29</v>
      </c>
      <c r="C689" s="11" t="s">
        <v>77</v>
      </c>
      <c r="D689" s="11" t="s">
        <v>35</v>
      </c>
      <c r="E689" s="11" t="s">
        <v>110</v>
      </c>
      <c r="F689" s="11" t="s">
        <v>79</v>
      </c>
      <c r="G689" s="21" t="n">
        <v>86.81</v>
      </c>
      <c r="H689" s="19" t="n">
        <v>12.6</v>
      </c>
      <c r="I689" s="21" t="n">
        <v>75.87</v>
      </c>
      <c r="J689" s="22" t="s">
        <v>80</v>
      </c>
      <c r="K689" s="11" t="n">
        <v>6</v>
      </c>
      <c r="L689" s="23" t="n">
        <v>1.7</v>
      </c>
      <c r="M689" s="24" t="b">
        <f aca="false">FALSE()</f>
        <v>0</v>
      </c>
      <c r="N689" s="11"/>
      <c r="O689" s="11" t="str">
        <f aca="false">IF(K689&lt;=StockP33,"Low",IF(K689&lt;=StockP67,"Moderate","High"))</f>
        <v>Low</v>
      </c>
      <c r="P689" s="11" t="str">
        <f aca="false">IF(H689=0,"Low",IF(H689&lt;=MarkdownP75,"Moderate","High"))</f>
        <v>Moderate</v>
      </c>
      <c r="Q689" s="11" t="str">
        <f aca="false">IF(ISBLANK(L689),"Unknown",IF(L689&gt;=4,"Good",IF(L689&lt;=2,"Poor","Neutral")))</f>
        <v>Poor</v>
      </c>
      <c r="R689" s="11" t="str">
        <f aca="false">IF(AND(O689="Low",P689="Low",Q689="Good"),"BUY / PRIORITIZE",IF(AND(O689="High",P689="High",OR(Q689="Poor",M689=TRUE())),"HOLD / REVIEW","MONITOR"))</f>
        <v>MONITOR</v>
      </c>
      <c r="S689" s="11" t="n">
        <f aca="false">K689+(ROW()/10000000)</f>
        <v>6.0000689</v>
      </c>
    </row>
    <row r="690" customFormat="false" ht="15" hidden="false" customHeight="false" outlineLevel="0" collapsed="false">
      <c r="A690" s="11" t="s">
        <v>921</v>
      </c>
      <c r="B690" s="11" t="s">
        <v>26</v>
      </c>
      <c r="C690" s="11" t="s">
        <v>95</v>
      </c>
      <c r="D690" s="11" t="s">
        <v>35</v>
      </c>
      <c r="E690" s="11" t="s">
        <v>110</v>
      </c>
      <c r="F690" s="11" t="s">
        <v>96</v>
      </c>
      <c r="G690" s="21" t="n">
        <v>58.8</v>
      </c>
      <c r="H690" s="19" t="n">
        <v>11.8</v>
      </c>
      <c r="I690" s="21" t="n">
        <v>51.86</v>
      </c>
      <c r="J690" s="22" t="s">
        <v>80</v>
      </c>
      <c r="K690" s="11" t="n">
        <v>8</v>
      </c>
      <c r="L690" s="23"/>
      <c r="M690" s="24" t="b">
        <f aca="false">FALSE()</f>
        <v>0</v>
      </c>
      <c r="N690" s="11"/>
      <c r="O690" s="11" t="str">
        <f aca="false">IF(K690&lt;=StockP33,"Low",IF(K690&lt;=StockP67,"Moderate","High"))</f>
        <v>Low</v>
      </c>
      <c r="P690" s="11" t="str">
        <f aca="false">IF(H690=0,"Low",IF(H690&lt;=MarkdownP75,"Moderate","High"))</f>
        <v>Moderate</v>
      </c>
      <c r="Q690" s="11" t="str">
        <f aca="false">IF(ISBLANK(L690),"Unknown",IF(L690&gt;=4,"Good",IF(L690&lt;=2,"Poor","Neutral")))</f>
        <v>Unknown</v>
      </c>
      <c r="R690" s="11" t="str">
        <f aca="false">IF(AND(O690="Low",P690="Low",Q690="Good"),"BUY / PRIORITIZE",IF(AND(O690="High",P690="High",OR(Q690="Poor",M690=TRUE())),"HOLD / REVIEW","MONITOR"))</f>
        <v>MONITOR</v>
      </c>
      <c r="S690" s="11" t="n">
        <f aca="false">K690+(ROW()/10000000)</f>
        <v>8.000069</v>
      </c>
    </row>
    <row r="691" customFormat="false" ht="15" hidden="false" customHeight="false" outlineLevel="0" collapsed="false">
      <c r="A691" s="11" t="s">
        <v>922</v>
      </c>
      <c r="B691" s="11" t="s">
        <v>26</v>
      </c>
      <c r="C691" s="11" t="s">
        <v>107</v>
      </c>
      <c r="D691" s="11" t="s">
        <v>34</v>
      </c>
      <c r="E691" s="11" t="s">
        <v>73</v>
      </c>
      <c r="F691" s="11" t="s">
        <v>111</v>
      </c>
      <c r="G691" s="21" t="n">
        <v>41.65</v>
      </c>
      <c r="H691" s="19" t="n">
        <v>52</v>
      </c>
      <c r="I691" s="21" t="n">
        <v>19.99</v>
      </c>
      <c r="J691" s="22" t="s">
        <v>923</v>
      </c>
      <c r="K691" s="11" t="n">
        <v>20</v>
      </c>
      <c r="L691" s="23" t="n">
        <v>1.2</v>
      </c>
      <c r="M691" s="24" t="b">
        <f aca="false">FALSE()</f>
        <v>0</v>
      </c>
      <c r="N691" s="11"/>
      <c r="O691" s="11" t="str">
        <f aca="false">IF(K691&lt;=StockP33,"Low",IF(K691&lt;=StockP67,"Moderate","High"))</f>
        <v>Moderate</v>
      </c>
      <c r="P691" s="11" t="str">
        <f aca="false">IF(H691=0,"Low",IF(H691&lt;=MarkdownP75,"Moderate","High"))</f>
        <v>High</v>
      </c>
      <c r="Q691" s="11" t="str">
        <f aca="false">IF(ISBLANK(L691),"Unknown",IF(L691&gt;=4,"Good",IF(L691&lt;=2,"Poor","Neutral")))</f>
        <v>Poor</v>
      </c>
      <c r="R691" s="11" t="str">
        <f aca="false">IF(AND(O691="Low",P691="Low",Q691="Good"),"BUY / PRIORITIZE",IF(AND(O691="High",P691="High",OR(Q691="Poor",M691=TRUE())),"HOLD / REVIEW","MONITOR"))</f>
        <v>MONITOR</v>
      </c>
      <c r="S691" s="11" t="n">
        <f aca="false">K691+(ROW()/10000000)</f>
        <v>20.0000691</v>
      </c>
    </row>
    <row r="692" customFormat="false" ht="15" hidden="false" customHeight="false" outlineLevel="0" collapsed="false">
      <c r="A692" s="11" t="s">
        <v>924</v>
      </c>
      <c r="B692" s="11" t="s">
        <v>30</v>
      </c>
      <c r="C692" s="11" t="s">
        <v>101</v>
      </c>
      <c r="D692" s="11" t="s">
        <v>34</v>
      </c>
      <c r="E692" s="11" t="s">
        <v>73</v>
      </c>
      <c r="F692" s="11" t="s">
        <v>82</v>
      </c>
      <c r="G692" s="21" t="n">
        <v>61.67</v>
      </c>
      <c r="H692" s="19" t="n">
        <v>46.4</v>
      </c>
      <c r="I692" s="21" t="n">
        <v>33.06</v>
      </c>
      <c r="J692" s="22" t="s">
        <v>925</v>
      </c>
      <c r="K692" s="11" t="n">
        <v>50</v>
      </c>
      <c r="L692" s="23" t="n">
        <v>2.7</v>
      </c>
      <c r="M692" s="24" t="b">
        <f aca="false">FALSE()</f>
        <v>0</v>
      </c>
      <c r="N692" s="11"/>
      <c r="O692" s="11" t="str">
        <f aca="false">IF(K692&lt;=StockP33,"Low",IF(K692&lt;=StockP67,"Moderate","High"))</f>
        <v>High</v>
      </c>
      <c r="P692" s="11" t="str">
        <f aca="false">IF(H692=0,"Low",IF(H692&lt;=MarkdownP75,"Moderate","High"))</f>
        <v>High</v>
      </c>
      <c r="Q692" s="11" t="str">
        <f aca="false">IF(ISBLANK(L692),"Unknown",IF(L692&gt;=4,"Good",IF(L692&lt;=2,"Poor","Neutral")))</f>
        <v>Neutral</v>
      </c>
      <c r="R692" s="11" t="str">
        <f aca="false">IF(AND(O692="Low",P692="Low",Q692="Good"),"BUY / PRIORITIZE",IF(AND(O692="High",P692="High",OR(Q692="Poor",M692=TRUE())),"HOLD / REVIEW","MONITOR"))</f>
        <v>MONITOR</v>
      </c>
      <c r="S692" s="11" t="n">
        <f aca="false">K692+(ROW()/10000000)</f>
        <v>50.0000692</v>
      </c>
    </row>
    <row r="693" customFormat="false" ht="15" hidden="false" customHeight="false" outlineLevel="0" collapsed="false">
      <c r="A693" s="11" t="s">
        <v>926</v>
      </c>
      <c r="B693" s="11" t="s">
        <v>26</v>
      </c>
      <c r="C693" s="11" t="s">
        <v>101</v>
      </c>
      <c r="D693" s="11" t="s">
        <v>36</v>
      </c>
      <c r="E693" s="11" t="s">
        <v>110</v>
      </c>
      <c r="F693" s="11" t="s">
        <v>82</v>
      </c>
      <c r="G693" s="21" t="n">
        <v>40.39</v>
      </c>
      <c r="H693" s="19" t="n">
        <v>0</v>
      </c>
      <c r="I693" s="21" t="n">
        <v>40.39</v>
      </c>
      <c r="J693" s="22" t="s">
        <v>80</v>
      </c>
      <c r="K693" s="11" t="n">
        <v>16</v>
      </c>
      <c r="L693" s="23"/>
      <c r="M693" s="24" t="b">
        <f aca="false">FALSE()</f>
        <v>0</v>
      </c>
      <c r="N693" s="11"/>
      <c r="O693" s="11" t="str">
        <f aca="false">IF(K693&lt;=StockP33,"Low",IF(K693&lt;=StockP67,"Moderate","High"))</f>
        <v>Low</v>
      </c>
      <c r="P693" s="11" t="str">
        <f aca="false">IF(H693=0,"Low",IF(H693&lt;=MarkdownP75,"Moderate","High"))</f>
        <v>Low</v>
      </c>
      <c r="Q693" s="11" t="str">
        <f aca="false">IF(ISBLANK(L693),"Unknown",IF(L693&gt;=4,"Good",IF(L693&lt;=2,"Poor","Neutral")))</f>
        <v>Unknown</v>
      </c>
      <c r="R693" s="11" t="str">
        <f aca="false">IF(AND(O693="Low",P693="Low",Q693="Good"),"BUY / PRIORITIZE",IF(AND(O693="High",P693="High",OR(Q693="Poor",M693=TRUE())),"HOLD / REVIEW","MONITOR"))</f>
        <v>MONITOR</v>
      </c>
      <c r="S693" s="11" t="n">
        <f aca="false">K693+(ROW()/10000000)</f>
        <v>16.0000693</v>
      </c>
    </row>
    <row r="694" customFormat="false" ht="15" hidden="false" customHeight="false" outlineLevel="0" collapsed="false">
      <c r="A694" s="11" t="s">
        <v>927</v>
      </c>
      <c r="B694" s="11" t="s">
        <v>30</v>
      </c>
      <c r="C694" s="11" t="s">
        <v>107</v>
      </c>
      <c r="D694" s="11" t="s">
        <v>36</v>
      </c>
      <c r="E694" s="11" t="s">
        <v>102</v>
      </c>
      <c r="F694" s="11" t="s">
        <v>120</v>
      </c>
      <c r="G694" s="21" t="n">
        <v>95.13</v>
      </c>
      <c r="H694" s="19" t="n">
        <v>45.4</v>
      </c>
      <c r="I694" s="21" t="n">
        <v>51.94</v>
      </c>
      <c r="J694" s="22" t="s">
        <v>80</v>
      </c>
      <c r="K694" s="11" t="n">
        <v>46</v>
      </c>
      <c r="L694" s="23" t="n">
        <v>2.5</v>
      </c>
      <c r="M694" s="24" t="b">
        <f aca="false">FALSE()</f>
        <v>0</v>
      </c>
      <c r="N694" s="11"/>
      <c r="O694" s="11" t="str">
        <f aca="false">IF(K694&lt;=StockP33,"Low",IF(K694&lt;=StockP67,"Moderate","High"))</f>
        <v>High</v>
      </c>
      <c r="P694" s="11" t="str">
        <f aca="false">IF(H694=0,"Low",IF(H694&lt;=MarkdownP75,"Moderate","High"))</f>
        <v>High</v>
      </c>
      <c r="Q694" s="11" t="str">
        <f aca="false">IF(ISBLANK(L694),"Unknown",IF(L694&gt;=4,"Good",IF(L694&lt;=2,"Poor","Neutral")))</f>
        <v>Neutral</v>
      </c>
      <c r="R694" s="11" t="str">
        <f aca="false">IF(AND(O694="Low",P694="Low",Q694="Good"),"BUY / PRIORITIZE",IF(AND(O694="High",P694="High",OR(Q694="Poor",M694=TRUE())),"HOLD / REVIEW","MONITOR"))</f>
        <v>MONITOR</v>
      </c>
      <c r="S694" s="11" t="n">
        <f aca="false">K694+(ROW()/10000000)</f>
        <v>46.0000694</v>
      </c>
    </row>
    <row r="695" customFormat="false" ht="15" hidden="false" customHeight="false" outlineLevel="0" collapsed="false">
      <c r="A695" s="11" t="s">
        <v>928</v>
      </c>
      <c r="B695" s="11" t="s">
        <v>26</v>
      </c>
      <c r="C695" s="11" t="s">
        <v>72</v>
      </c>
      <c r="D695" s="11" t="s">
        <v>36</v>
      </c>
      <c r="E695" s="11" t="s">
        <v>91</v>
      </c>
      <c r="F695" s="11" t="s">
        <v>98</v>
      </c>
      <c r="G695" s="21" t="n">
        <v>115.14</v>
      </c>
      <c r="H695" s="19" t="n">
        <v>0</v>
      </c>
      <c r="I695" s="21" t="n">
        <v>115.14</v>
      </c>
      <c r="J695" s="22" t="s">
        <v>80</v>
      </c>
      <c r="K695" s="11" t="n">
        <v>43</v>
      </c>
      <c r="L695" s="23" t="n">
        <v>2.5</v>
      </c>
      <c r="M695" s="24" t="b">
        <f aca="false">FALSE()</f>
        <v>0</v>
      </c>
      <c r="N695" s="11"/>
      <c r="O695" s="11" t="str">
        <f aca="false">IF(K695&lt;=StockP33,"Low",IF(K695&lt;=StockP67,"Moderate","High"))</f>
        <v>High</v>
      </c>
      <c r="P695" s="11" t="str">
        <f aca="false">IF(H695=0,"Low",IF(H695&lt;=MarkdownP75,"Moderate","High"))</f>
        <v>Low</v>
      </c>
      <c r="Q695" s="11" t="str">
        <f aca="false">IF(ISBLANK(L695),"Unknown",IF(L695&gt;=4,"Good",IF(L695&lt;=2,"Poor","Neutral")))</f>
        <v>Neutral</v>
      </c>
      <c r="R695" s="11" t="str">
        <f aca="false">IF(AND(O695="Low",P695="Low",Q695="Good"),"BUY / PRIORITIZE",IF(AND(O695="High",P695="High",OR(Q695="Poor",M695=TRUE())),"HOLD / REVIEW","MONITOR"))</f>
        <v>MONITOR</v>
      </c>
      <c r="S695" s="11" t="n">
        <f aca="false">K695+(ROW()/10000000)</f>
        <v>43.0000695</v>
      </c>
    </row>
    <row r="696" customFormat="false" ht="15" hidden="false" customHeight="false" outlineLevel="0" collapsed="false">
      <c r="A696" s="11" t="s">
        <v>929</v>
      </c>
      <c r="B696" s="11" t="s">
        <v>30</v>
      </c>
      <c r="C696" s="11" t="s">
        <v>101</v>
      </c>
      <c r="D696" s="11" t="s">
        <v>35</v>
      </c>
      <c r="E696" s="11"/>
      <c r="F696" s="11" t="s">
        <v>111</v>
      </c>
      <c r="G696" s="21" t="n">
        <v>59.58</v>
      </c>
      <c r="H696" s="19" t="n">
        <v>0</v>
      </c>
      <c r="I696" s="21" t="n">
        <v>59.58</v>
      </c>
      <c r="J696" s="22" t="s">
        <v>80</v>
      </c>
      <c r="K696" s="11" t="n">
        <v>27</v>
      </c>
      <c r="L696" s="23" t="n">
        <v>3.3</v>
      </c>
      <c r="M696" s="24" t="b">
        <f aca="false">FALSE()</f>
        <v>0</v>
      </c>
      <c r="N696" s="11"/>
      <c r="O696" s="11" t="str">
        <f aca="false">IF(K696&lt;=StockP33,"Low",IF(K696&lt;=StockP67,"Moderate","High"))</f>
        <v>Moderate</v>
      </c>
      <c r="P696" s="11" t="str">
        <f aca="false">IF(H696=0,"Low",IF(H696&lt;=MarkdownP75,"Moderate","High"))</f>
        <v>Low</v>
      </c>
      <c r="Q696" s="11" t="str">
        <f aca="false">IF(ISBLANK(L696),"Unknown",IF(L696&gt;=4,"Good",IF(L696&lt;=2,"Poor","Neutral")))</f>
        <v>Neutral</v>
      </c>
      <c r="R696" s="11" t="str">
        <f aca="false">IF(AND(O696="Low",P696="Low",Q696="Good"),"BUY / PRIORITIZE",IF(AND(O696="High",P696="High",OR(Q696="Poor",M696=TRUE())),"HOLD / REVIEW","MONITOR"))</f>
        <v>MONITOR</v>
      </c>
      <c r="S696" s="11" t="n">
        <f aca="false">K696+(ROW()/10000000)</f>
        <v>27.0000696</v>
      </c>
    </row>
    <row r="697" customFormat="false" ht="15" hidden="false" customHeight="false" outlineLevel="0" collapsed="false">
      <c r="A697" s="11" t="s">
        <v>930</v>
      </c>
      <c r="B697" s="11" t="s">
        <v>29</v>
      </c>
      <c r="C697" s="11" t="s">
        <v>77</v>
      </c>
      <c r="D697" s="11" t="s">
        <v>34</v>
      </c>
      <c r="E697" s="11" t="s">
        <v>113</v>
      </c>
      <c r="F697" s="11" t="s">
        <v>120</v>
      </c>
      <c r="G697" s="21" t="n">
        <v>169.89</v>
      </c>
      <c r="H697" s="19" t="n">
        <v>0</v>
      </c>
      <c r="I697" s="21" t="n">
        <v>169.89</v>
      </c>
      <c r="J697" s="22" t="s">
        <v>396</v>
      </c>
      <c r="K697" s="11" t="n">
        <v>12</v>
      </c>
      <c r="L697" s="23" t="n">
        <v>1.2</v>
      </c>
      <c r="M697" s="24" t="b">
        <f aca="false">FALSE()</f>
        <v>0</v>
      </c>
      <c r="N697" s="11"/>
      <c r="O697" s="11" t="str">
        <f aca="false">IF(K697&lt;=StockP33,"Low",IF(K697&lt;=StockP67,"Moderate","High"))</f>
        <v>Low</v>
      </c>
      <c r="P697" s="11" t="str">
        <f aca="false">IF(H697=0,"Low",IF(H697&lt;=MarkdownP75,"Moderate","High"))</f>
        <v>Low</v>
      </c>
      <c r="Q697" s="11" t="str">
        <f aca="false">IF(ISBLANK(L697),"Unknown",IF(L697&gt;=4,"Good",IF(L697&lt;=2,"Poor","Neutral")))</f>
        <v>Poor</v>
      </c>
      <c r="R697" s="11" t="str">
        <f aca="false">IF(AND(O697="Low",P697="Low",Q697="Good"),"BUY / PRIORITIZE",IF(AND(O697="High",P697="High",OR(Q697="Poor",M697=TRUE())),"HOLD / REVIEW","MONITOR"))</f>
        <v>MONITOR</v>
      </c>
      <c r="S697" s="11" t="n">
        <f aca="false">K697+(ROW()/10000000)</f>
        <v>12.0000697</v>
      </c>
    </row>
    <row r="698" customFormat="false" ht="15" hidden="false" customHeight="false" outlineLevel="0" collapsed="false">
      <c r="A698" s="11" t="s">
        <v>931</v>
      </c>
      <c r="B698" s="11" t="s">
        <v>29</v>
      </c>
      <c r="C698" s="11" t="s">
        <v>95</v>
      </c>
      <c r="D698" s="11" t="s">
        <v>37</v>
      </c>
      <c r="E698" s="11" t="s">
        <v>91</v>
      </c>
      <c r="F698" s="11" t="s">
        <v>82</v>
      </c>
      <c r="G698" s="21" t="n">
        <v>117.38</v>
      </c>
      <c r="H698" s="19" t="n">
        <v>22.5</v>
      </c>
      <c r="I698" s="21" t="n">
        <v>90.97</v>
      </c>
      <c r="J698" s="22" t="s">
        <v>80</v>
      </c>
      <c r="K698" s="11" t="n">
        <v>42</v>
      </c>
      <c r="L698" s="23" t="n">
        <v>2.8</v>
      </c>
      <c r="M698" s="24" t="b">
        <f aca="false">TRUE()</f>
        <v>1</v>
      </c>
      <c r="N698" s="11" t="s">
        <v>89</v>
      </c>
      <c r="O698" s="11" t="str">
        <f aca="false">IF(K698&lt;=StockP33,"Low",IF(K698&lt;=StockP67,"Moderate","High"))</f>
        <v>High</v>
      </c>
      <c r="P698" s="11" t="str">
        <f aca="false">IF(H698=0,"Low",IF(H698&lt;=MarkdownP75,"Moderate","High"))</f>
        <v>High</v>
      </c>
      <c r="Q698" s="11" t="str">
        <f aca="false">IF(ISBLANK(L698),"Unknown",IF(L698&gt;=4,"Good",IF(L698&lt;=2,"Poor","Neutral")))</f>
        <v>Neutral</v>
      </c>
      <c r="R698" s="11" t="str">
        <f aca="false">IF(AND(O698="Low",P698="Low",Q698="Good"),"BUY / PRIORITIZE",IF(AND(O698="High",P698="High",OR(Q698="Poor",M698=TRUE())),"HOLD / REVIEW","MONITOR"))</f>
        <v>HOLD / REVIEW</v>
      </c>
      <c r="S698" s="11" t="n">
        <f aca="false">K698+(ROW()/10000000)</f>
        <v>42.0000698</v>
      </c>
    </row>
    <row r="699" customFormat="false" ht="15" hidden="false" customHeight="false" outlineLevel="0" collapsed="false">
      <c r="A699" s="11" t="s">
        <v>932</v>
      </c>
      <c r="B699" s="11" t="s">
        <v>30</v>
      </c>
      <c r="C699" s="11" t="s">
        <v>95</v>
      </c>
      <c r="D699" s="11" t="s">
        <v>37</v>
      </c>
      <c r="E699" s="11" t="s">
        <v>91</v>
      </c>
      <c r="F699" s="11" t="s">
        <v>79</v>
      </c>
      <c r="G699" s="21" t="n">
        <v>118.95</v>
      </c>
      <c r="H699" s="19" t="n">
        <v>0</v>
      </c>
      <c r="I699" s="21" t="n">
        <v>118.95</v>
      </c>
      <c r="J699" s="22" t="s">
        <v>80</v>
      </c>
      <c r="K699" s="11" t="n">
        <v>18</v>
      </c>
      <c r="L699" s="23" t="n">
        <v>1.9</v>
      </c>
      <c r="M699" s="24" t="b">
        <f aca="false">TRUE()</f>
        <v>1</v>
      </c>
      <c r="N699" s="11" t="s">
        <v>140</v>
      </c>
      <c r="O699" s="11" t="str">
        <f aca="false">IF(K699&lt;=StockP33,"Low",IF(K699&lt;=StockP67,"Moderate","High"))</f>
        <v>Moderate</v>
      </c>
      <c r="P699" s="11" t="str">
        <f aca="false">IF(H699=0,"Low",IF(H699&lt;=MarkdownP75,"Moderate","High"))</f>
        <v>Low</v>
      </c>
      <c r="Q699" s="11" t="str">
        <f aca="false">IF(ISBLANK(L699),"Unknown",IF(L699&gt;=4,"Good",IF(L699&lt;=2,"Poor","Neutral")))</f>
        <v>Poor</v>
      </c>
      <c r="R699" s="11" t="str">
        <f aca="false">IF(AND(O699="Low",P699="Low",Q699="Good"),"BUY / PRIORITIZE",IF(AND(O699="High",P699="High",OR(Q699="Poor",M699=TRUE())),"HOLD / REVIEW","MONITOR"))</f>
        <v>MONITOR</v>
      </c>
      <c r="S699" s="11" t="n">
        <f aca="false">K699+(ROW()/10000000)</f>
        <v>18.0000699</v>
      </c>
    </row>
    <row r="700" customFormat="false" ht="15" hidden="false" customHeight="false" outlineLevel="0" collapsed="false">
      <c r="A700" s="11" t="s">
        <v>933</v>
      </c>
      <c r="B700" s="11" t="s">
        <v>8</v>
      </c>
      <c r="C700" s="11" t="s">
        <v>77</v>
      </c>
      <c r="D700" s="11" t="s">
        <v>36</v>
      </c>
      <c r="E700" s="11"/>
      <c r="F700" s="11" t="s">
        <v>74</v>
      </c>
      <c r="G700" s="21" t="n">
        <v>39.3</v>
      </c>
      <c r="H700" s="19" t="n">
        <v>0</v>
      </c>
      <c r="I700" s="21" t="n">
        <v>39.3</v>
      </c>
      <c r="J700" s="22" t="s">
        <v>80</v>
      </c>
      <c r="K700" s="11" t="n">
        <v>39</v>
      </c>
      <c r="L700" s="23"/>
      <c r="M700" s="24" t="b">
        <f aca="false">FALSE()</f>
        <v>0</v>
      </c>
      <c r="N700" s="11"/>
      <c r="O700" s="11" t="str">
        <f aca="false">IF(K700&lt;=StockP33,"Low",IF(K700&lt;=StockP67,"Moderate","High"))</f>
        <v>High</v>
      </c>
      <c r="P700" s="11" t="str">
        <f aca="false">IF(H700=0,"Low",IF(H700&lt;=MarkdownP75,"Moderate","High"))</f>
        <v>Low</v>
      </c>
      <c r="Q700" s="11" t="str">
        <f aca="false">IF(ISBLANK(L700),"Unknown",IF(L700&gt;=4,"Good",IF(L700&lt;=2,"Poor","Neutral")))</f>
        <v>Unknown</v>
      </c>
      <c r="R700" s="11" t="str">
        <f aca="false">IF(AND(O700="Low",P700="Low",Q700="Good"),"BUY / PRIORITIZE",IF(AND(O700="High",P700="High",OR(Q700="Poor",M700=TRUE())),"HOLD / REVIEW","MONITOR"))</f>
        <v>MONITOR</v>
      </c>
      <c r="S700" s="11" t="n">
        <f aca="false">K700+(ROW()/10000000)</f>
        <v>39.00007</v>
      </c>
    </row>
    <row r="701" customFormat="false" ht="15" hidden="false" customHeight="false" outlineLevel="0" collapsed="false">
      <c r="A701" s="11" t="s">
        <v>934</v>
      </c>
      <c r="B701" s="11" t="s">
        <v>30</v>
      </c>
      <c r="C701" s="11" t="s">
        <v>101</v>
      </c>
      <c r="D701" s="11" t="s">
        <v>37</v>
      </c>
      <c r="E701" s="11" t="s">
        <v>78</v>
      </c>
      <c r="F701" s="11" t="s">
        <v>111</v>
      </c>
      <c r="G701" s="21" t="n">
        <v>74.3</v>
      </c>
      <c r="H701" s="19" t="n">
        <v>0</v>
      </c>
      <c r="I701" s="21" t="n">
        <v>74.3</v>
      </c>
      <c r="J701" s="22" t="s">
        <v>80</v>
      </c>
      <c r="K701" s="11" t="n">
        <v>31</v>
      </c>
      <c r="L701" s="23" t="n">
        <v>3.8</v>
      </c>
      <c r="M701" s="24" t="b">
        <f aca="false">TRUE()</f>
        <v>1</v>
      </c>
      <c r="N701" s="11" t="s">
        <v>191</v>
      </c>
      <c r="O701" s="11" t="str">
        <f aca="false">IF(K701&lt;=StockP33,"Low",IF(K701&lt;=StockP67,"Moderate","High"))</f>
        <v>Moderate</v>
      </c>
      <c r="P701" s="11" t="str">
        <f aca="false">IF(H701=0,"Low",IF(H701&lt;=MarkdownP75,"Moderate","High"))</f>
        <v>Low</v>
      </c>
      <c r="Q701" s="11" t="str">
        <f aca="false">IF(ISBLANK(L701),"Unknown",IF(L701&gt;=4,"Good",IF(L701&lt;=2,"Poor","Neutral")))</f>
        <v>Neutral</v>
      </c>
      <c r="R701" s="11" t="str">
        <f aca="false">IF(AND(O701="Low",P701="Low",Q701="Good"),"BUY / PRIORITIZE",IF(AND(O701="High",P701="High",OR(Q701="Poor",M701=TRUE())),"HOLD / REVIEW","MONITOR"))</f>
        <v>MONITOR</v>
      </c>
      <c r="S701" s="11" t="n">
        <f aca="false">K701+(ROW()/10000000)</f>
        <v>31.0000701</v>
      </c>
    </row>
    <row r="702" customFormat="false" ht="15" hidden="false" customHeight="false" outlineLevel="0" collapsed="false">
      <c r="A702" s="11" t="s">
        <v>935</v>
      </c>
      <c r="B702" s="11" t="s">
        <v>26</v>
      </c>
      <c r="C702" s="11" t="s">
        <v>101</v>
      </c>
      <c r="D702" s="11" t="s">
        <v>34</v>
      </c>
      <c r="E702" s="11" t="s">
        <v>110</v>
      </c>
      <c r="F702" s="11" t="s">
        <v>124</v>
      </c>
      <c r="G702" s="21" t="n">
        <v>62.97</v>
      </c>
      <c r="H702" s="19" t="n">
        <v>0</v>
      </c>
      <c r="I702" s="21" t="n">
        <v>62.97</v>
      </c>
      <c r="J702" s="22" t="s">
        <v>488</v>
      </c>
      <c r="K702" s="11" t="n">
        <v>5</v>
      </c>
      <c r="L702" s="23" t="n">
        <v>3.5</v>
      </c>
      <c r="M702" s="24" t="b">
        <f aca="false">FALSE()</f>
        <v>0</v>
      </c>
      <c r="N702" s="11"/>
      <c r="O702" s="11" t="str">
        <f aca="false">IF(K702&lt;=StockP33,"Low",IF(K702&lt;=StockP67,"Moderate","High"))</f>
        <v>Low</v>
      </c>
      <c r="P702" s="11" t="str">
        <f aca="false">IF(H702=0,"Low",IF(H702&lt;=MarkdownP75,"Moderate","High"))</f>
        <v>Low</v>
      </c>
      <c r="Q702" s="11" t="str">
        <f aca="false">IF(ISBLANK(L702),"Unknown",IF(L702&gt;=4,"Good",IF(L702&lt;=2,"Poor","Neutral")))</f>
        <v>Neutral</v>
      </c>
      <c r="R702" s="11" t="str">
        <f aca="false">IF(AND(O702="Low",P702="Low",Q702="Good"),"BUY / PRIORITIZE",IF(AND(O702="High",P702="High",OR(Q702="Poor",M702=TRUE())),"HOLD / REVIEW","MONITOR"))</f>
        <v>MONITOR</v>
      </c>
      <c r="S702" s="11" t="n">
        <f aca="false">K702+(ROW()/10000000)</f>
        <v>5.0000702</v>
      </c>
    </row>
    <row r="703" customFormat="false" ht="15" hidden="false" customHeight="false" outlineLevel="0" collapsed="false">
      <c r="A703" s="11" t="s">
        <v>936</v>
      </c>
      <c r="B703" s="11" t="s">
        <v>8</v>
      </c>
      <c r="C703" s="11" t="s">
        <v>101</v>
      </c>
      <c r="D703" s="11" t="s">
        <v>35</v>
      </c>
      <c r="E703" s="11"/>
      <c r="F703" s="11" t="s">
        <v>92</v>
      </c>
      <c r="G703" s="21" t="n">
        <v>73.6</v>
      </c>
      <c r="H703" s="19" t="n">
        <v>0</v>
      </c>
      <c r="I703" s="21" t="n">
        <v>73.6</v>
      </c>
      <c r="J703" s="22" t="s">
        <v>80</v>
      </c>
      <c r="K703" s="11" t="n">
        <v>1</v>
      </c>
      <c r="L703" s="23" t="n">
        <v>1.8</v>
      </c>
      <c r="M703" s="24" t="b">
        <f aca="false">FALSE()</f>
        <v>0</v>
      </c>
      <c r="N703" s="11"/>
      <c r="O703" s="11" t="str">
        <f aca="false">IF(K703&lt;=StockP33,"Low",IF(K703&lt;=StockP67,"Moderate","High"))</f>
        <v>Low</v>
      </c>
      <c r="P703" s="11" t="str">
        <f aca="false">IF(H703=0,"Low",IF(H703&lt;=MarkdownP75,"Moderate","High"))</f>
        <v>Low</v>
      </c>
      <c r="Q703" s="11" t="str">
        <f aca="false">IF(ISBLANK(L703),"Unknown",IF(L703&gt;=4,"Good",IF(L703&lt;=2,"Poor","Neutral")))</f>
        <v>Poor</v>
      </c>
      <c r="R703" s="11" t="str">
        <f aca="false">IF(AND(O703="Low",P703="Low",Q703="Good"),"BUY / PRIORITIZE",IF(AND(O703="High",P703="High",OR(Q703="Poor",M703=TRUE())),"HOLD / REVIEW","MONITOR"))</f>
        <v>MONITOR</v>
      </c>
      <c r="S703" s="11" t="n">
        <f aca="false">K703+(ROW()/10000000)</f>
        <v>1.0000703</v>
      </c>
    </row>
    <row r="704" customFormat="false" ht="15" hidden="false" customHeight="false" outlineLevel="0" collapsed="false">
      <c r="A704" s="11" t="s">
        <v>937</v>
      </c>
      <c r="B704" s="11" t="s">
        <v>8</v>
      </c>
      <c r="C704" s="11" t="s">
        <v>95</v>
      </c>
      <c r="D704" s="11" t="s">
        <v>34</v>
      </c>
      <c r="E704" s="11"/>
      <c r="F704" s="11" t="s">
        <v>82</v>
      </c>
      <c r="G704" s="21" t="n">
        <v>77.85</v>
      </c>
      <c r="H704" s="19" t="n">
        <v>34.9</v>
      </c>
      <c r="I704" s="21" t="n">
        <v>50.68</v>
      </c>
      <c r="J704" s="22" t="s">
        <v>938</v>
      </c>
      <c r="K704" s="11" t="n">
        <v>11</v>
      </c>
      <c r="L704" s="23"/>
      <c r="M704" s="24" t="b">
        <f aca="false">FALSE()</f>
        <v>0</v>
      </c>
      <c r="N704" s="11"/>
      <c r="O704" s="11" t="str">
        <f aca="false">IF(K704&lt;=StockP33,"Low",IF(K704&lt;=StockP67,"Moderate","High"))</f>
        <v>Low</v>
      </c>
      <c r="P704" s="11" t="str">
        <f aca="false">IF(H704=0,"Low",IF(H704&lt;=MarkdownP75,"Moderate","High"))</f>
        <v>High</v>
      </c>
      <c r="Q704" s="11" t="str">
        <f aca="false">IF(ISBLANK(L704),"Unknown",IF(L704&gt;=4,"Good",IF(L704&lt;=2,"Poor","Neutral")))</f>
        <v>Unknown</v>
      </c>
      <c r="R704" s="11" t="str">
        <f aca="false">IF(AND(O704="Low",P704="Low",Q704="Good"),"BUY / PRIORITIZE",IF(AND(O704="High",P704="High",OR(Q704="Poor",M704=TRUE())),"HOLD / REVIEW","MONITOR"))</f>
        <v>MONITOR</v>
      </c>
      <c r="S704" s="11" t="n">
        <f aca="false">K704+(ROW()/10000000)</f>
        <v>11.0000704</v>
      </c>
    </row>
    <row r="705" customFormat="false" ht="15" hidden="false" customHeight="false" outlineLevel="0" collapsed="false">
      <c r="A705" s="11" t="s">
        <v>939</v>
      </c>
      <c r="B705" s="11" t="s">
        <v>30</v>
      </c>
      <c r="C705" s="11" t="s">
        <v>130</v>
      </c>
      <c r="D705" s="11" t="s">
        <v>35</v>
      </c>
      <c r="E705" s="11"/>
      <c r="F705" s="11" t="s">
        <v>74</v>
      </c>
      <c r="G705" s="21" t="n">
        <v>94.31</v>
      </c>
      <c r="H705" s="19" t="n">
        <v>0</v>
      </c>
      <c r="I705" s="21" t="n">
        <v>94.31</v>
      </c>
      <c r="J705" s="22" t="s">
        <v>80</v>
      </c>
      <c r="K705" s="11" t="n">
        <v>20</v>
      </c>
      <c r="L705" s="23" t="n">
        <v>3</v>
      </c>
      <c r="M705" s="24" t="b">
        <f aca="false">FALSE()</f>
        <v>0</v>
      </c>
      <c r="N705" s="11"/>
      <c r="O705" s="11" t="str">
        <f aca="false">IF(K705&lt;=StockP33,"Low",IF(K705&lt;=StockP67,"Moderate","High"))</f>
        <v>Moderate</v>
      </c>
      <c r="P705" s="11" t="str">
        <f aca="false">IF(H705=0,"Low",IF(H705&lt;=MarkdownP75,"Moderate","High"))</f>
        <v>Low</v>
      </c>
      <c r="Q705" s="11" t="str">
        <f aca="false">IF(ISBLANK(L705),"Unknown",IF(L705&gt;=4,"Good",IF(L705&lt;=2,"Poor","Neutral")))</f>
        <v>Neutral</v>
      </c>
      <c r="R705" s="11" t="str">
        <f aca="false">IF(AND(O705="Low",P705="Low",Q705="Good"),"BUY / PRIORITIZE",IF(AND(O705="High",P705="High",OR(Q705="Poor",M705=TRUE())),"HOLD / REVIEW","MONITOR"))</f>
        <v>MONITOR</v>
      </c>
      <c r="S705" s="11" t="n">
        <f aca="false">K705+(ROW()/10000000)</f>
        <v>20.0000705</v>
      </c>
    </row>
    <row r="706" customFormat="false" ht="15" hidden="false" customHeight="false" outlineLevel="0" collapsed="false">
      <c r="A706" s="11" t="s">
        <v>940</v>
      </c>
      <c r="B706" s="11" t="s">
        <v>26</v>
      </c>
      <c r="C706" s="11" t="s">
        <v>107</v>
      </c>
      <c r="D706" s="11" t="s">
        <v>34</v>
      </c>
      <c r="E706" s="11"/>
      <c r="F706" s="11" t="s">
        <v>118</v>
      </c>
      <c r="G706" s="21" t="n">
        <v>60.36</v>
      </c>
      <c r="H706" s="19" t="n">
        <v>0</v>
      </c>
      <c r="I706" s="21" t="n">
        <v>60.36</v>
      </c>
      <c r="J706" s="22" t="s">
        <v>941</v>
      </c>
      <c r="K706" s="11" t="n">
        <v>35</v>
      </c>
      <c r="L706" s="23" t="n">
        <v>3.3</v>
      </c>
      <c r="M706" s="24" t="b">
        <f aca="false">FALSE()</f>
        <v>0</v>
      </c>
      <c r="N706" s="11"/>
      <c r="O706" s="11" t="str">
        <f aca="false">IF(K706&lt;=StockP33,"Low",IF(K706&lt;=StockP67,"Moderate","High"))</f>
        <v>High</v>
      </c>
      <c r="P706" s="11" t="str">
        <f aca="false">IF(H706=0,"Low",IF(H706&lt;=MarkdownP75,"Moderate","High"))</f>
        <v>Low</v>
      </c>
      <c r="Q706" s="11" t="str">
        <f aca="false">IF(ISBLANK(L706),"Unknown",IF(L706&gt;=4,"Good",IF(L706&lt;=2,"Poor","Neutral")))</f>
        <v>Neutral</v>
      </c>
      <c r="R706" s="11" t="str">
        <f aca="false">IF(AND(O706="Low",P706="Low",Q706="Good"),"BUY / PRIORITIZE",IF(AND(O706="High",P706="High",OR(Q706="Poor",M706=TRUE())),"HOLD / REVIEW","MONITOR"))</f>
        <v>MONITOR</v>
      </c>
      <c r="S706" s="11" t="n">
        <f aca="false">K706+(ROW()/10000000)</f>
        <v>35.0000706</v>
      </c>
    </row>
    <row r="707" customFormat="false" ht="15" hidden="false" customHeight="false" outlineLevel="0" collapsed="false">
      <c r="A707" s="11" t="s">
        <v>942</v>
      </c>
      <c r="B707" s="11" t="s">
        <v>26</v>
      </c>
      <c r="C707" s="11" t="s">
        <v>95</v>
      </c>
      <c r="D707" s="11" t="s">
        <v>35</v>
      </c>
      <c r="E707" s="11" t="s">
        <v>102</v>
      </c>
      <c r="F707" s="11" t="s">
        <v>124</v>
      </c>
      <c r="G707" s="21" t="n">
        <v>94.85</v>
      </c>
      <c r="H707" s="19" t="n">
        <v>0</v>
      </c>
      <c r="I707" s="21" t="n">
        <v>94.85</v>
      </c>
      <c r="J707" s="22" t="s">
        <v>80</v>
      </c>
      <c r="K707" s="11" t="n">
        <v>28</v>
      </c>
      <c r="L707" s="23" t="n">
        <v>1.5</v>
      </c>
      <c r="M707" s="24" t="b">
        <f aca="false">FALSE()</f>
        <v>0</v>
      </c>
      <c r="N707" s="11"/>
      <c r="O707" s="11" t="str">
        <f aca="false">IF(K707&lt;=StockP33,"Low",IF(K707&lt;=StockP67,"Moderate","High"))</f>
        <v>Moderate</v>
      </c>
      <c r="P707" s="11" t="str">
        <f aca="false">IF(H707=0,"Low",IF(H707&lt;=MarkdownP75,"Moderate","High"))</f>
        <v>Low</v>
      </c>
      <c r="Q707" s="11" t="str">
        <f aca="false">IF(ISBLANK(L707),"Unknown",IF(L707&gt;=4,"Good",IF(L707&lt;=2,"Poor","Neutral")))</f>
        <v>Poor</v>
      </c>
      <c r="R707" s="11" t="str">
        <f aca="false">IF(AND(O707="Low",P707="Low",Q707="Good"),"BUY / PRIORITIZE",IF(AND(O707="High",P707="High",OR(Q707="Poor",M707=TRUE())),"HOLD / REVIEW","MONITOR"))</f>
        <v>MONITOR</v>
      </c>
      <c r="S707" s="11" t="n">
        <f aca="false">K707+(ROW()/10000000)</f>
        <v>28.0000707</v>
      </c>
    </row>
    <row r="708" customFormat="false" ht="15" hidden="false" customHeight="false" outlineLevel="0" collapsed="false">
      <c r="A708" s="11" t="s">
        <v>943</v>
      </c>
      <c r="B708" s="11" t="s">
        <v>8</v>
      </c>
      <c r="C708" s="11" t="s">
        <v>77</v>
      </c>
      <c r="D708" s="11" t="s">
        <v>37</v>
      </c>
      <c r="E708" s="11"/>
      <c r="F708" s="11" t="s">
        <v>96</v>
      </c>
      <c r="G708" s="21" t="n">
        <v>30.52</v>
      </c>
      <c r="H708" s="19" t="n">
        <v>7.9</v>
      </c>
      <c r="I708" s="21" t="n">
        <v>28.11</v>
      </c>
      <c r="J708" s="22" t="s">
        <v>80</v>
      </c>
      <c r="K708" s="11" t="n">
        <v>43</v>
      </c>
      <c r="L708" s="23" t="n">
        <v>4.7</v>
      </c>
      <c r="M708" s="24" t="b">
        <f aca="false">FALSE()</f>
        <v>0</v>
      </c>
      <c r="N708" s="11"/>
      <c r="O708" s="11" t="str">
        <f aca="false">IF(K708&lt;=StockP33,"Low",IF(K708&lt;=StockP67,"Moderate","High"))</f>
        <v>High</v>
      </c>
      <c r="P708" s="11" t="str">
        <f aca="false">IF(H708=0,"Low",IF(H708&lt;=MarkdownP75,"Moderate","High"))</f>
        <v>Moderate</v>
      </c>
      <c r="Q708" s="11" t="str">
        <f aca="false">IF(ISBLANK(L708),"Unknown",IF(L708&gt;=4,"Good",IF(L708&lt;=2,"Poor","Neutral")))</f>
        <v>Good</v>
      </c>
      <c r="R708" s="11" t="str">
        <f aca="false">IF(AND(O708="Low",P708="Low",Q708="Good"),"BUY / PRIORITIZE",IF(AND(O708="High",P708="High",OR(Q708="Poor",M708=TRUE())),"HOLD / REVIEW","MONITOR"))</f>
        <v>MONITOR</v>
      </c>
      <c r="S708" s="11" t="n">
        <f aca="false">K708+(ROW()/10000000)</f>
        <v>43.0000708</v>
      </c>
    </row>
    <row r="709" customFormat="false" ht="15" hidden="false" customHeight="false" outlineLevel="0" collapsed="false">
      <c r="A709" s="11" t="s">
        <v>944</v>
      </c>
      <c r="B709" s="11" t="s">
        <v>27</v>
      </c>
      <c r="C709" s="11" t="s">
        <v>95</v>
      </c>
      <c r="D709" s="11" t="s">
        <v>35</v>
      </c>
      <c r="E709" s="11" t="s">
        <v>110</v>
      </c>
      <c r="F709" s="11" t="s">
        <v>118</v>
      </c>
      <c r="G709" s="21" t="n">
        <v>97.06</v>
      </c>
      <c r="H709" s="19" t="n">
        <v>0</v>
      </c>
      <c r="I709" s="21" t="n">
        <v>97.06</v>
      </c>
      <c r="J709" s="22" t="s">
        <v>80</v>
      </c>
      <c r="K709" s="11" t="n">
        <v>24</v>
      </c>
      <c r="L709" s="23" t="n">
        <v>3.9</v>
      </c>
      <c r="M709" s="24" t="b">
        <f aca="false">FALSE()</f>
        <v>0</v>
      </c>
      <c r="N709" s="11"/>
      <c r="O709" s="11" t="str">
        <f aca="false">IF(K709&lt;=StockP33,"Low",IF(K709&lt;=StockP67,"Moderate","High"))</f>
        <v>Moderate</v>
      </c>
      <c r="P709" s="11" t="str">
        <f aca="false">IF(H709=0,"Low",IF(H709&lt;=MarkdownP75,"Moderate","High"))</f>
        <v>Low</v>
      </c>
      <c r="Q709" s="11" t="str">
        <f aca="false">IF(ISBLANK(L709),"Unknown",IF(L709&gt;=4,"Good",IF(L709&lt;=2,"Poor","Neutral")))</f>
        <v>Neutral</v>
      </c>
      <c r="R709" s="11" t="str">
        <f aca="false">IF(AND(O709="Low",P709="Low",Q709="Good"),"BUY / PRIORITIZE",IF(AND(O709="High",P709="High",OR(Q709="Poor",M709=TRUE())),"HOLD / REVIEW","MONITOR"))</f>
        <v>MONITOR</v>
      </c>
      <c r="S709" s="11" t="n">
        <f aca="false">K709+(ROW()/10000000)</f>
        <v>24.0000709</v>
      </c>
    </row>
    <row r="710" customFormat="false" ht="15" hidden="false" customHeight="false" outlineLevel="0" collapsed="false">
      <c r="A710" s="11" t="s">
        <v>945</v>
      </c>
      <c r="B710" s="11" t="s">
        <v>26</v>
      </c>
      <c r="C710" s="11" t="s">
        <v>130</v>
      </c>
      <c r="D710" s="11" t="s">
        <v>35</v>
      </c>
      <c r="E710" s="11" t="s">
        <v>113</v>
      </c>
      <c r="F710" s="11" t="s">
        <v>120</v>
      </c>
      <c r="G710" s="21" t="n">
        <v>57.85</v>
      </c>
      <c r="H710" s="19" t="n">
        <v>35.4</v>
      </c>
      <c r="I710" s="21" t="n">
        <v>37.37</v>
      </c>
      <c r="J710" s="22" t="s">
        <v>80</v>
      </c>
      <c r="K710" s="11" t="n">
        <v>17</v>
      </c>
      <c r="L710" s="23"/>
      <c r="M710" s="24" t="b">
        <f aca="false">FALSE()</f>
        <v>0</v>
      </c>
      <c r="N710" s="11"/>
      <c r="O710" s="11" t="str">
        <f aca="false">IF(K710&lt;=StockP33,"Low",IF(K710&lt;=StockP67,"Moderate","High"))</f>
        <v>Low</v>
      </c>
      <c r="P710" s="11" t="str">
        <f aca="false">IF(H710=0,"Low",IF(H710&lt;=MarkdownP75,"Moderate","High"))</f>
        <v>High</v>
      </c>
      <c r="Q710" s="11" t="str">
        <f aca="false">IF(ISBLANK(L710),"Unknown",IF(L710&gt;=4,"Good",IF(L710&lt;=2,"Poor","Neutral")))</f>
        <v>Unknown</v>
      </c>
      <c r="R710" s="11" t="str">
        <f aca="false">IF(AND(O710="Low",P710="Low",Q710="Good"),"BUY / PRIORITIZE",IF(AND(O710="High",P710="High",OR(Q710="Poor",M710=TRUE())),"HOLD / REVIEW","MONITOR"))</f>
        <v>MONITOR</v>
      </c>
      <c r="S710" s="11" t="n">
        <f aca="false">K710+(ROW()/10000000)</f>
        <v>17.000071</v>
      </c>
    </row>
    <row r="711" customFormat="false" ht="15" hidden="false" customHeight="false" outlineLevel="0" collapsed="false">
      <c r="A711" s="11" t="s">
        <v>946</v>
      </c>
      <c r="B711" s="11" t="s">
        <v>30</v>
      </c>
      <c r="C711" s="11" t="s">
        <v>72</v>
      </c>
      <c r="D711" s="11" t="s">
        <v>36</v>
      </c>
      <c r="E711" s="11" t="s">
        <v>113</v>
      </c>
      <c r="F711" s="11" t="s">
        <v>88</v>
      </c>
      <c r="G711" s="21" t="n">
        <v>51.35</v>
      </c>
      <c r="H711" s="19" t="n">
        <v>19.7</v>
      </c>
      <c r="I711" s="21" t="n">
        <v>41.23</v>
      </c>
      <c r="J711" s="22" t="s">
        <v>80</v>
      </c>
      <c r="K711" s="11" t="n">
        <v>39</v>
      </c>
      <c r="L711" s="23" t="n">
        <v>1.3</v>
      </c>
      <c r="M711" s="24" t="b">
        <f aca="false">FALSE()</f>
        <v>0</v>
      </c>
      <c r="N711" s="11"/>
      <c r="O711" s="11" t="str">
        <f aca="false">IF(K711&lt;=StockP33,"Low",IF(K711&lt;=StockP67,"Moderate","High"))</f>
        <v>High</v>
      </c>
      <c r="P711" s="11" t="str">
        <f aca="false">IF(H711=0,"Low",IF(H711&lt;=MarkdownP75,"Moderate","High"))</f>
        <v>Moderate</v>
      </c>
      <c r="Q711" s="11" t="str">
        <f aca="false">IF(ISBLANK(L711),"Unknown",IF(L711&gt;=4,"Good",IF(L711&lt;=2,"Poor","Neutral")))</f>
        <v>Poor</v>
      </c>
      <c r="R711" s="11" t="str">
        <f aca="false">IF(AND(O711="Low",P711="Low",Q711="Good"),"BUY / PRIORITIZE",IF(AND(O711="High",P711="High",OR(Q711="Poor",M711=TRUE())),"HOLD / REVIEW","MONITOR"))</f>
        <v>MONITOR</v>
      </c>
      <c r="S711" s="11" t="n">
        <f aca="false">K711+(ROW()/10000000)</f>
        <v>39.0000711</v>
      </c>
    </row>
    <row r="712" customFormat="false" ht="15" hidden="false" customHeight="false" outlineLevel="0" collapsed="false">
      <c r="A712" s="11" t="s">
        <v>947</v>
      </c>
      <c r="B712" s="11" t="s">
        <v>8</v>
      </c>
      <c r="C712" s="11" t="s">
        <v>107</v>
      </c>
      <c r="D712" s="11" t="s">
        <v>34</v>
      </c>
      <c r="E712" s="11"/>
      <c r="F712" s="11" t="s">
        <v>82</v>
      </c>
      <c r="G712" s="21" t="n">
        <v>61.34</v>
      </c>
      <c r="H712" s="19" t="n">
        <v>45.4</v>
      </c>
      <c r="I712" s="21" t="n">
        <v>33.49</v>
      </c>
      <c r="J712" s="22" t="s">
        <v>948</v>
      </c>
      <c r="K712" s="11" t="n">
        <v>46</v>
      </c>
      <c r="L712" s="23"/>
      <c r="M712" s="24" t="b">
        <f aca="false">FALSE()</f>
        <v>0</v>
      </c>
      <c r="N712" s="11"/>
      <c r="O712" s="11" t="str">
        <f aca="false">IF(K712&lt;=StockP33,"Low",IF(K712&lt;=StockP67,"Moderate","High"))</f>
        <v>High</v>
      </c>
      <c r="P712" s="11" t="str">
        <f aca="false">IF(H712=0,"Low",IF(H712&lt;=MarkdownP75,"Moderate","High"))</f>
        <v>High</v>
      </c>
      <c r="Q712" s="11" t="str">
        <f aca="false">IF(ISBLANK(L712),"Unknown",IF(L712&gt;=4,"Good",IF(L712&lt;=2,"Poor","Neutral")))</f>
        <v>Unknown</v>
      </c>
      <c r="R712" s="11" t="str">
        <f aca="false">IF(AND(O712="Low",P712="Low",Q712="Good"),"BUY / PRIORITIZE",IF(AND(O712="High",P712="High",OR(Q712="Poor",M712=TRUE())),"HOLD / REVIEW","MONITOR"))</f>
        <v>MONITOR</v>
      </c>
      <c r="S712" s="11" t="n">
        <f aca="false">K712+(ROW()/10000000)</f>
        <v>46.0000712</v>
      </c>
    </row>
    <row r="713" customFormat="false" ht="15" hidden="false" customHeight="false" outlineLevel="0" collapsed="false">
      <c r="A713" s="11" t="s">
        <v>949</v>
      </c>
      <c r="B713" s="11" t="s">
        <v>28</v>
      </c>
      <c r="C713" s="11" t="s">
        <v>86</v>
      </c>
      <c r="D713" s="11" t="s">
        <v>35</v>
      </c>
      <c r="E713" s="11" t="s">
        <v>78</v>
      </c>
      <c r="F713" s="11" t="s">
        <v>120</v>
      </c>
      <c r="G713" s="21" t="n">
        <v>189.28</v>
      </c>
      <c r="H713" s="19" t="n">
        <v>0</v>
      </c>
      <c r="I713" s="21" t="n">
        <v>189.28</v>
      </c>
      <c r="J713" s="22" t="s">
        <v>80</v>
      </c>
      <c r="K713" s="11" t="n">
        <v>41</v>
      </c>
      <c r="L713" s="23" t="n">
        <v>2.7</v>
      </c>
      <c r="M713" s="24" t="b">
        <f aca="false">TRUE()</f>
        <v>1</v>
      </c>
      <c r="N713" s="11" t="s">
        <v>191</v>
      </c>
      <c r="O713" s="11" t="str">
        <f aca="false">IF(K713&lt;=StockP33,"Low",IF(K713&lt;=StockP67,"Moderate","High"))</f>
        <v>High</v>
      </c>
      <c r="P713" s="11" t="str">
        <f aca="false">IF(H713=0,"Low",IF(H713&lt;=MarkdownP75,"Moderate","High"))</f>
        <v>Low</v>
      </c>
      <c r="Q713" s="11" t="str">
        <f aca="false">IF(ISBLANK(L713),"Unknown",IF(L713&gt;=4,"Good",IF(L713&lt;=2,"Poor","Neutral")))</f>
        <v>Neutral</v>
      </c>
      <c r="R713" s="11" t="str">
        <f aca="false">IF(AND(O713="Low",P713="Low",Q713="Good"),"BUY / PRIORITIZE",IF(AND(O713="High",P713="High",OR(Q713="Poor",M713=TRUE())),"HOLD / REVIEW","MONITOR"))</f>
        <v>MONITOR</v>
      </c>
      <c r="S713" s="11" t="n">
        <f aca="false">K713+(ROW()/10000000)</f>
        <v>41.0000713</v>
      </c>
    </row>
    <row r="714" customFormat="false" ht="15" hidden="false" customHeight="false" outlineLevel="0" collapsed="false">
      <c r="A714" s="11" t="s">
        <v>950</v>
      </c>
      <c r="B714" s="11" t="s">
        <v>30</v>
      </c>
      <c r="C714" s="11" t="s">
        <v>86</v>
      </c>
      <c r="D714" s="11" t="s">
        <v>35</v>
      </c>
      <c r="E714" s="11" t="s">
        <v>102</v>
      </c>
      <c r="F714" s="11" t="s">
        <v>120</v>
      </c>
      <c r="G714" s="21" t="n">
        <v>86.67</v>
      </c>
      <c r="H714" s="19" t="n">
        <v>35.8</v>
      </c>
      <c r="I714" s="21" t="n">
        <v>55.64</v>
      </c>
      <c r="J714" s="22" t="s">
        <v>80</v>
      </c>
      <c r="K714" s="11" t="n">
        <v>2</v>
      </c>
      <c r="L714" s="23" t="n">
        <v>4.9</v>
      </c>
      <c r="M714" s="24" t="b">
        <f aca="false">FALSE()</f>
        <v>0</v>
      </c>
      <c r="N714" s="11"/>
      <c r="O714" s="11" t="str">
        <f aca="false">IF(K714&lt;=StockP33,"Low",IF(K714&lt;=StockP67,"Moderate","High"))</f>
        <v>Low</v>
      </c>
      <c r="P714" s="11" t="str">
        <f aca="false">IF(H714=0,"Low",IF(H714&lt;=MarkdownP75,"Moderate","High"))</f>
        <v>High</v>
      </c>
      <c r="Q714" s="11" t="str">
        <f aca="false">IF(ISBLANK(L714),"Unknown",IF(L714&gt;=4,"Good",IF(L714&lt;=2,"Poor","Neutral")))</f>
        <v>Good</v>
      </c>
      <c r="R714" s="11" t="str">
        <f aca="false">IF(AND(O714="Low",P714="Low",Q714="Good"),"BUY / PRIORITIZE",IF(AND(O714="High",P714="High",OR(Q714="Poor",M714=TRUE())),"HOLD / REVIEW","MONITOR"))</f>
        <v>MONITOR</v>
      </c>
      <c r="S714" s="11" t="n">
        <f aca="false">K714+(ROW()/10000000)</f>
        <v>2.0000714</v>
      </c>
    </row>
    <row r="715" customFormat="false" ht="15" hidden="false" customHeight="false" outlineLevel="0" collapsed="false">
      <c r="A715" s="11" t="s">
        <v>951</v>
      </c>
      <c r="B715" s="11" t="s">
        <v>26</v>
      </c>
      <c r="C715" s="11" t="s">
        <v>107</v>
      </c>
      <c r="D715" s="11" t="s">
        <v>34</v>
      </c>
      <c r="E715" s="11" t="s">
        <v>91</v>
      </c>
      <c r="F715" s="11" t="s">
        <v>118</v>
      </c>
      <c r="G715" s="21" t="n">
        <v>102.84</v>
      </c>
      <c r="H715" s="19" t="n">
        <v>0</v>
      </c>
      <c r="I715" s="21" t="n">
        <v>102.84</v>
      </c>
      <c r="J715" s="22" t="s">
        <v>952</v>
      </c>
      <c r="K715" s="11" t="n">
        <v>27</v>
      </c>
      <c r="L715" s="23" t="n">
        <v>1.8</v>
      </c>
      <c r="M715" s="24" t="b">
        <f aca="false">FALSE()</f>
        <v>0</v>
      </c>
      <c r="N715" s="11"/>
      <c r="O715" s="11" t="str">
        <f aca="false">IF(K715&lt;=StockP33,"Low",IF(K715&lt;=StockP67,"Moderate","High"))</f>
        <v>Moderate</v>
      </c>
      <c r="P715" s="11" t="str">
        <f aca="false">IF(H715=0,"Low",IF(H715&lt;=MarkdownP75,"Moderate","High"))</f>
        <v>Low</v>
      </c>
      <c r="Q715" s="11" t="str">
        <f aca="false">IF(ISBLANK(L715),"Unknown",IF(L715&gt;=4,"Good",IF(L715&lt;=2,"Poor","Neutral")))</f>
        <v>Poor</v>
      </c>
      <c r="R715" s="11" t="str">
        <f aca="false">IF(AND(O715="Low",P715="Low",Q715="Good"),"BUY / PRIORITIZE",IF(AND(O715="High",P715="High",OR(Q715="Poor",M715=TRUE())),"HOLD / REVIEW","MONITOR"))</f>
        <v>MONITOR</v>
      </c>
      <c r="S715" s="11" t="n">
        <f aca="false">K715+(ROW()/10000000)</f>
        <v>27.0000715</v>
      </c>
    </row>
    <row r="716" customFormat="false" ht="15" hidden="false" customHeight="false" outlineLevel="0" collapsed="false">
      <c r="A716" s="11" t="s">
        <v>953</v>
      </c>
      <c r="B716" s="11" t="s">
        <v>28</v>
      </c>
      <c r="C716" s="11" t="s">
        <v>72</v>
      </c>
      <c r="D716" s="11" t="s">
        <v>36</v>
      </c>
      <c r="E716" s="11" t="s">
        <v>102</v>
      </c>
      <c r="F716" s="11" t="s">
        <v>98</v>
      </c>
      <c r="G716" s="21" t="n">
        <v>225.21</v>
      </c>
      <c r="H716" s="19" t="n">
        <v>0</v>
      </c>
      <c r="I716" s="21" t="n">
        <v>225.21</v>
      </c>
      <c r="J716" s="22" t="s">
        <v>80</v>
      </c>
      <c r="K716" s="11" t="n">
        <v>27</v>
      </c>
      <c r="L716" s="23" t="n">
        <v>3.1</v>
      </c>
      <c r="M716" s="24" t="b">
        <f aca="false">TRUE()</f>
        <v>1</v>
      </c>
      <c r="N716" s="11" t="s">
        <v>178</v>
      </c>
      <c r="O716" s="11" t="str">
        <f aca="false">IF(K716&lt;=StockP33,"Low",IF(K716&lt;=StockP67,"Moderate","High"))</f>
        <v>Moderate</v>
      </c>
      <c r="P716" s="11" t="str">
        <f aca="false">IF(H716=0,"Low",IF(H716&lt;=MarkdownP75,"Moderate","High"))</f>
        <v>Low</v>
      </c>
      <c r="Q716" s="11" t="str">
        <f aca="false">IF(ISBLANK(L716),"Unknown",IF(L716&gt;=4,"Good",IF(L716&lt;=2,"Poor","Neutral")))</f>
        <v>Neutral</v>
      </c>
      <c r="R716" s="11" t="str">
        <f aca="false">IF(AND(O716="Low",P716="Low",Q716="Good"),"BUY / PRIORITIZE",IF(AND(O716="High",P716="High",OR(Q716="Poor",M716=TRUE())),"HOLD / REVIEW","MONITOR"))</f>
        <v>MONITOR</v>
      </c>
      <c r="S716" s="11" t="n">
        <f aca="false">K716+(ROW()/10000000)</f>
        <v>27.0000716</v>
      </c>
    </row>
    <row r="717" customFormat="false" ht="15" hidden="false" customHeight="false" outlineLevel="0" collapsed="false">
      <c r="A717" s="11" t="s">
        <v>954</v>
      </c>
      <c r="B717" s="11" t="s">
        <v>27</v>
      </c>
      <c r="C717" s="11" t="s">
        <v>77</v>
      </c>
      <c r="D717" s="11" t="s">
        <v>37</v>
      </c>
      <c r="E717" s="11" t="s">
        <v>73</v>
      </c>
      <c r="F717" s="11" t="s">
        <v>92</v>
      </c>
      <c r="G717" s="21" t="n">
        <v>48.91</v>
      </c>
      <c r="H717" s="19" t="n">
        <v>27.8</v>
      </c>
      <c r="I717" s="21" t="n">
        <v>35.31</v>
      </c>
      <c r="J717" s="22" t="s">
        <v>80</v>
      </c>
      <c r="K717" s="11" t="n">
        <v>0</v>
      </c>
      <c r="L717" s="23" t="n">
        <v>4.1</v>
      </c>
      <c r="M717" s="24" t="b">
        <f aca="false">FALSE()</f>
        <v>0</v>
      </c>
      <c r="N717" s="11"/>
      <c r="O717" s="11" t="str">
        <f aca="false">IF(K717&lt;=StockP33,"Low",IF(K717&lt;=StockP67,"Moderate","High"))</f>
        <v>Low</v>
      </c>
      <c r="P717" s="11" t="str">
        <f aca="false">IF(H717=0,"Low",IF(H717&lt;=MarkdownP75,"Moderate","High"))</f>
        <v>High</v>
      </c>
      <c r="Q717" s="11" t="str">
        <f aca="false">IF(ISBLANK(L717),"Unknown",IF(L717&gt;=4,"Good",IF(L717&lt;=2,"Poor","Neutral")))</f>
        <v>Good</v>
      </c>
      <c r="R717" s="11" t="str">
        <f aca="false">IF(AND(O717="Low",P717="Low",Q717="Good"),"BUY / PRIORITIZE",IF(AND(O717="High",P717="High",OR(Q717="Poor",M717=TRUE())),"HOLD / REVIEW","MONITOR"))</f>
        <v>MONITOR</v>
      </c>
      <c r="S717" s="11" t="n">
        <f aca="false">K717+(ROW()/10000000)</f>
        <v>7.17E-005</v>
      </c>
    </row>
    <row r="718" customFormat="false" ht="15" hidden="false" customHeight="false" outlineLevel="0" collapsed="false">
      <c r="A718" s="11" t="s">
        <v>955</v>
      </c>
      <c r="B718" s="11" t="s">
        <v>28</v>
      </c>
      <c r="C718" s="11" t="s">
        <v>130</v>
      </c>
      <c r="D718" s="11" t="s">
        <v>36</v>
      </c>
      <c r="E718" s="11" t="s">
        <v>78</v>
      </c>
      <c r="F718" s="11" t="s">
        <v>79</v>
      </c>
      <c r="G718" s="21" t="n">
        <v>145.93</v>
      </c>
      <c r="H718" s="19" t="n">
        <v>0</v>
      </c>
      <c r="I718" s="21" t="n">
        <v>145.93</v>
      </c>
      <c r="J718" s="22" t="s">
        <v>80</v>
      </c>
      <c r="K718" s="11" t="n">
        <v>19</v>
      </c>
      <c r="L718" s="23" t="n">
        <v>1.5</v>
      </c>
      <c r="M718" s="24" t="b">
        <f aca="false">FALSE()</f>
        <v>0</v>
      </c>
      <c r="N718" s="11"/>
      <c r="O718" s="11" t="str">
        <f aca="false">IF(K718&lt;=StockP33,"Low",IF(K718&lt;=StockP67,"Moderate","High"))</f>
        <v>Moderate</v>
      </c>
      <c r="P718" s="11" t="str">
        <f aca="false">IF(H718=0,"Low",IF(H718&lt;=MarkdownP75,"Moderate","High"))</f>
        <v>Low</v>
      </c>
      <c r="Q718" s="11" t="str">
        <f aca="false">IF(ISBLANK(L718),"Unknown",IF(L718&gt;=4,"Good",IF(L718&lt;=2,"Poor","Neutral")))</f>
        <v>Poor</v>
      </c>
      <c r="R718" s="11" t="str">
        <f aca="false">IF(AND(O718="Low",P718="Low",Q718="Good"),"BUY / PRIORITIZE",IF(AND(O718="High",P718="High",OR(Q718="Poor",M718=TRUE())),"HOLD / REVIEW","MONITOR"))</f>
        <v>MONITOR</v>
      </c>
      <c r="S718" s="11" t="n">
        <f aca="false">K718+(ROW()/10000000)</f>
        <v>19.0000718</v>
      </c>
    </row>
    <row r="719" customFormat="false" ht="15" hidden="false" customHeight="false" outlineLevel="0" collapsed="false">
      <c r="A719" s="11" t="s">
        <v>956</v>
      </c>
      <c r="B719" s="11" t="s">
        <v>28</v>
      </c>
      <c r="C719" s="11" t="s">
        <v>86</v>
      </c>
      <c r="D719" s="11" t="s">
        <v>37</v>
      </c>
      <c r="E719" s="11"/>
      <c r="F719" s="11" t="s">
        <v>98</v>
      </c>
      <c r="G719" s="21" t="n">
        <v>225.92</v>
      </c>
      <c r="H719" s="19" t="n">
        <v>43.7</v>
      </c>
      <c r="I719" s="21" t="n">
        <v>127.19</v>
      </c>
      <c r="J719" s="22" t="s">
        <v>80</v>
      </c>
      <c r="K719" s="11" t="n">
        <v>30</v>
      </c>
      <c r="L719" s="23" t="n">
        <v>3.2</v>
      </c>
      <c r="M719" s="24" t="b">
        <f aca="false">FALSE()</f>
        <v>0</v>
      </c>
      <c r="N719" s="11"/>
      <c r="O719" s="11" t="str">
        <f aca="false">IF(K719&lt;=StockP33,"Low",IF(K719&lt;=StockP67,"Moderate","High"))</f>
        <v>Moderate</v>
      </c>
      <c r="P719" s="11" t="str">
        <f aca="false">IF(H719=0,"Low",IF(H719&lt;=MarkdownP75,"Moderate","High"))</f>
        <v>High</v>
      </c>
      <c r="Q719" s="11" t="str">
        <f aca="false">IF(ISBLANK(L719),"Unknown",IF(L719&gt;=4,"Good",IF(L719&lt;=2,"Poor","Neutral")))</f>
        <v>Neutral</v>
      </c>
      <c r="R719" s="11" t="str">
        <f aca="false">IF(AND(O719="Low",P719="Low",Q719="Good"),"BUY / PRIORITIZE",IF(AND(O719="High",P719="High",OR(Q719="Poor",M719=TRUE())),"HOLD / REVIEW","MONITOR"))</f>
        <v>MONITOR</v>
      </c>
      <c r="S719" s="11" t="n">
        <f aca="false">K719+(ROW()/10000000)</f>
        <v>30.0000719</v>
      </c>
    </row>
    <row r="720" customFormat="false" ht="15" hidden="false" customHeight="false" outlineLevel="0" collapsed="false">
      <c r="A720" s="11" t="s">
        <v>957</v>
      </c>
      <c r="B720" s="11" t="s">
        <v>28</v>
      </c>
      <c r="C720" s="11" t="s">
        <v>77</v>
      </c>
      <c r="D720" s="11" t="s">
        <v>35</v>
      </c>
      <c r="E720" s="11" t="s">
        <v>73</v>
      </c>
      <c r="F720" s="11" t="s">
        <v>98</v>
      </c>
      <c r="G720" s="21" t="n">
        <v>202.18</v>
      </c>
      <c r="H720" s="19" t="n">
        <v>39.7</v>
      </c>
      <c r="I720" s="21" t="n">
        <v>121.91</v>
      </c>
      <c r="J720" s="22" t="s">
        <v>80</v>
      </c>
      <c r="K720" s="11" t="n">
        <v>20</v>
      </c>
      <c r="L720" s="23" t="n">
        <v>4.1</v>
      </c>
      <c r="M720" s="24" t="b">
        <f aca="false">FALSE()</f>
        <v>0</v>
      </c>
      <c r="N720" s="11"/>
      <c r="O720" s="11" t="str">
        <f aca="false">IF(K720&lt;=StockP33,"Low",IF(K720&lt;=StockP67,"Moderate","High"))</f>
        <v>Moderate</v>
      </c>
      <c r="P720" s="11" t="str">
        <f aca="false">IF(H720=0,"Low",IF(H720&lt;=MarkdownP75,"Moderate","High"))</f>
        <v>High</v>
      </c>
      <c r="Q720" s="11" t="str">
        <f aca="false">IF(ISBLANK(L720),"Unknown",IF(L720&gt;=4,"Good",IF(L720&lt;=2,"Poor","Neutral")))</f>
        <v>Good</v>
      </c>
      <c r="R720" s="11" t="str">
        <f aca="false">IF(AND(O720="Low",P720="Low",Q720="Good"),"BUY / PRIORITIZE",IF(AND(O720="High",P720="High",OR(Q720="Poor",M720=TRUE())),"HOLD / REVIEW","MONITOR"))</f>
        <v>MONITOR</v>
      </c>
      <c r="S720" s="11" t="n">
        <f aca="false">K720+(ROW()/10000000)</f>
        <v>20.000072</v>
      </c>
    </row>
    <row r="721" customFormat="false" ht="15" hidden="false" customHeight="false" outlineLevel="0" collapsed="false">
      <c r="A721" s="11" t="s">
        <v>958</v>
      </c>
      <c r="B721" s="11" t="s">
        <v>30</v>
      </c>
      <c r="C721" s="11" t="s">
        <v>77</v>
      </c>
      <c r="D721" s="11" t="s">
        <v>36</v>
      </c>
      <c r="E721" s="11" t="s">
        <v>73</v>
      </c>
      <c r="F721" s="11" t="s">
        <v>96</v>
      </c>
      <c r="G721" s="21" t="n">
        <v>51.85</v>
      </c>
      <c r="H721" s="19" t="n">
        <v>0</v>
      </c>
      <c r="I721" s="21" t="n">
        <v>51.85</v>
      </c>
      <c r="J721" s="22" t="s">
        <v>80</v>
      </c>
      <c r="K721" s="11" t="n">
        <v>28</v>
      </c>
      <c r="L721" s="23"/>
      <c r="M721" s="24" t="b">
        <f aca="false">FALSE()</f>
        <v>0</v>
      </c>
      <c r="N721" s="11"/>
      <c r="O721" s="11" t="str">
        <f aca="false">IF(K721&lt;=StockP33,"Low",IF(K721&lt;=StockP67,"Moderate","High"))</f>
        <v>Moderate</v>
      </c>
      <c r="P721" s="11" t="str">
        <f aca="false">IF(H721=0,"Low",IF(H721&lt;=MarkdownP75,"Moderate","High"))</f>
        <v>Low</v>
      </c>
      <c r="Q721" s="11" t="str">
        <f aca="false">IF(ISBLANK(L721),"Unknown",IF(L721&gt;=4,"Good",IF(L721&lt;=2,"Poor","Neutral")))</f>
        <v>Unknown</v>
      </c>
      <c r="R721" s="11" t="str">
        <f aca="false">IF(AND(O721="Low",P721="Low",Q721="Good"),"BUY / PRIORITIZE",IF(AND(O721="High",P721="High",OR(Q721="Poor",M721=TRUE())),"HOLD / REVIEW","MONITOR"))</f>
        <v>MONITOR</v>
      </c>
      <c r="S721" s="11" t="n">
        <f aca="false">K721+(ROW()/10000000)</f>
        <v>28.0000721</v>
      </c>
    </row>
    <row r="722" customFormat="false" ht="15" hidden="false" customHeight="false" outlineLevel="0" collapsed="false">
      <c r="A722" s="11" t="s">
        <v>959</v>
      </c>
      <c r="B722" s="11" t="s">
        <v>30</v>
      </c>
      <c r="C722" s="11" t="s">
        <v>77</v>
      </c>
      <c r="D722" s="11" t="s">
        <v>35</v>
      </c>
      <c r="E722" s="11" t="s">
        <v>78</v>
      </c>
      <c r="F722" s="11" t="s">
        <v>92</v>
      </c>
      <c r="G722" s="21" t="n">
        <v>75.34</v>
      </c>
      <c r="H722" s="19" t="n">
        <v>0</v>
      </c>
      <c r="I722" s="21" t="n">
        <v>75.34</v>
      </c>
      <c r="J722" s="22" t="s">
        <v>80</v>
      </c>
      <c r="K722" s="11" t="n">
        <v>21</v>
      </c>
      <c r="L722" s="23"/>
      <c r="M722" s="24" t="b">
        <f aca="false">FALSE()</f>
        <v>0</v>
      </c>
      <c r="N722" s="11"/>
      <c r="O722" s="11" t="str">
        <f aca="false">IF(K722&lt;=StockP33,"Low",IF(K722&lt;=StockP67,"Moderate","High"))</f>
        <v>Moderate</v>
      </c>
      <c r="P722" s="11" t="str">
        <f aca="false">IF(H722=0,"Low",IF(H722&lt;=MarkdownP75,"Moderate","High"))</f>
        <v>Low</v>
      </c>
      <c r="Q722" s="11" t="str">
        <f aca="false">IF(ISBLANK(L722),"Unknown",IF(L722&gt;=4,"Good",IF(L722&lt;=2,"Poor","Neutral")))</f>
        <v>Unknown</v>
      </c>
      <c r="R722" s="11" t="str">
        <f aca="false">IF(AND(O722="Low",P722="Low",Q722="Good"),"BUY / PRIORITIZE",IF(AND(O722="High",P722="High",OR(Q722="Poor",M722=TRUE())),"HOLD / REVIEW","MONITOR"))</f>
        <v>MONITOR</v>
      </c>
      <c r="S722" s="11" t="n">
        <f aca="false">K722+(ROW()/10000000)</f>
        <v>21.0000722</v>
      </c>
    </row>
    <row r="723" customFormat="false" ht="15" hidden="false" customHeight="false" outlineLevel="0" collapsed="false">
      <c r="A723" s="11" t="s">
        <v>960</v>
      </c>
      <c r="B723" s="11" t="s">
        <v>29</v>
      </c>
      <c r="C723" s="11" t="s">
        <v>116</v>
      </c>
      <c r="D723" s="11" t="s">
        <v>34</v>
      </c>
      <c r="E723" s="11" t="s">
        <v>91</v>
      </c>
      <c r="F723" s="11" t="s">
        <v>79</v>
      </c>
      <c r="G723" s="21" t="n">
        <v>92.09</v>
      </c>
      <c r="H723" s="19" t="n">
        <v>54.9</v>
      </c>
      <c r="I723" s="21" t="n">
        <v>41.53</v>
      </c>
      <c r="J723" s="22" t="s">
        <v>961</v>
      </c>
      <c r="K723" s="11" t="n">
        <v>44</v>
      </c>
      <c r="L723" s="23" t="n">
        <v>2.2</v>
      </c>
      <c r="M723" s="24" t="b">
        <f aca="false">FALSE()</f>
        <v>0</v>
      </c>
      <c r="N723" s="11"/>
      <c r="O723" s="11" t="str">
        <f aca="false">IF(K723&lt;=StockP33,"Low",IF(K723&lt;=StockP67,"Moderate","High"))</f>
        <v>High</v>
      </c>
      <c r="P723" s="11" t="str">
        <f aca="false">IF(H723=0,"Low",IF(H723&lt;=MarkdownP75,"Moderate","High"))</f>
        <v>High</v>
      </c>
      <c r="Q723" s="11" t="str">
        <f aca="false">IF(ISBLANK(L723),"Unknown",IF(L723&gt;=4,"Good",IF(L723&lt;=2,"Poor","Neutral")))</f>
        <v>Neutral</v>
      </c>
      <c r="R723" s="11" t="str">
        <f aca="false">IF(AND(O723="Low",P723="Low",Q723="Good"),"BUY / PRIORITIZE",IF(AND(O723="High",P723="High",OR(Q723="Poor",M723=TRUE())),"HOLD / REVIEW","MONITOR"))</f>
        <v>MONITOR</v>
      </c>
      <c r="S723" s="11" t="n">
        <f aca="false">K723+(ROW()/10000000)</f>
        <v>44.0000723</v>
      </c>
    </row>
    <row r="724" customFormat="false" ht="15" hidden="false" customHeight="false" outlineLevel="0" collapsed="false">
      <c r="A724" s="11" t="s">
        <v>962</v>
      </c>
      <c r="B724" s="11" t="s">
        <v>8</v>
      </c>
      <c r="C724" s="11" t="s">
        <v>72</v>
      </c>
      <c r="D724" s="11" t="s">
        <v>36</v>
      </c>
      <c r="E724" s="11"/>
      <c r="F724" s="11" t="s">
        <v>96</v>
      </c>
      <c r="G724" s="21" t="n">
        <v>56.39</v>
      </c>
      <c r="H724" s="19" t="n">
        <v>0</v>
      </c>
      <c r="I724" s="21" t="n">
        <v>56.39</v>
      </c>
      <c r="J724" s="22" t="s">
        <v>80</v>
      </c>
      <c r="K724" s="11" t="n">
        <v>49</v>
      </c>
      <c r="L724" s="23" t="n">
        <v>4.2</v>
      </c>
      <c r="M724" s="24" t="b">
        <f aca="false">FALSE()</f>
        <v>0</v>
      </c>
      <c r="N724" s="11"/>
      <c r="O724" s="11" t="str">
        <f aca="false">IF(K724&lt;=StockP33,"Low",IF(K724&lt;=StockP67,"Moderate","High"))</f>
        <v>High</v>
      </c>
      <c r="P724" s="11" t="str">
        <f aca="false">IF(H724=0,"Low",IF(H724&lt;=MarkdownP75,"Moderate","High"))</f>
        <v>Low</v>
      </c>
      <c r="Q724" s="11" t="str">
        <f aca="false">IF(ISBLANK(L724),"Unknown",IF(L724&gt;=4,"Good",IF(L724&lt;=2,"Poor","Neutral")))</f>
        <v>Good</v>
      </c>
      <c r="R724" s="11" t="str">
        <f aca="false">IF(AND(O724="Low",P724="Low",Q724="Good"),"BUY / PRIORITIZE",IF(AND(O724="High",P724="High",OR(Q724="Poor",M724=TRUE())),"HOLD / REVIEW","MONITOR"))</f>
        <v>MONITOR</v>
      </c>
      <c r="S724" s="11" t="n">
        <f aca="false">K724+(ROW()/10000000)</f>
        <v>49.0000724</v>
      </c>
    </row>
    <row r="725" customFormat="false" ht="15" hidden="false" customHeight="false" outlineLevel="0" collapsed="false">
      <c r="A725" s="11" t="s">
        <v>963</v>
      </c>
      <c r="B725" s="11" t="s">
        <v>30</v>
      </c>
      <c r="C725" s="11" t="s">
        <v>95</v>
      </c>
      <c r="D725" s="11" t="s">
        <v>36</v>
      </c>
      <c r="E725" s="11" t="s">
        <v>78</v>
      </c>
      <c r="F725" s="11" t="s">
        <v>79</v>
      </c>
      <c r="G725" s="21" t="n">
        <v>108.75</v>
      </c>
      <c r="H725" s="19" t="n">
        <v>0</v>
      </c>
      <c r="I725" s="21" t="n">
        <v>108.75</v>
      </c>
      <c r="J725" s="22" t="s">
        <v>80</v>
      </c>
      <c r="K725" s="11" t="n">
        <v>38</v>
      </c>
      <c r="L725" s="23" t="n">
        <v>3.8</v>
      </c>
      <c r="M725" s="24" t="b">
        <f aca="false">FALSE()</f>
        <v>0</v>
      </c>
      <c r="N725" s="11"/>
      <c r="O725" s="11" t="str">
        <f aca="false">IF(K725&lt;=StockP33,"Low",IF(K725&lt;=StockP67,"Moderate","High"))</f>
        <v>High</v>
      </c>
      <c r="P725" s="11" t="str">
        <f aca="false">IF(H725=0,"Low",IF(H725&lt;=MarkdownP75,"Moderate","High"))</f>
        <v>Low</v>
      </c>
      <c r="Q725" s="11" t="str">
        <f aca="false">IF(ISBLANK(L725),"Unknown",IF(L725&gt;=4,"Good",IF(L725&lt;=2,"Poor","Neutral")))</f>
        <v>Neutral</v>
      </c>
      <c r="R725" s="11" t="str">
        <f aca="false">IF(AND(O725="Low",P725="Low",Q725="Good"),"BUY / PRIORITIZE",IF(AND(O725="High",P725="High",OR(Q725="Poor",M725=TRUE())),"HOLD / REVIEW","MONITOR"))</f>
        <v>MONITOR</v>
      </c>
      <c r="S725" s="11" t="n">
        <f aca="false">K725+(ROW()/10000000)</f>
        <v>38.0000725</v>
      </c>
    </row>
    <row r="726" customFormat="false" ht="15" hidden="false" customHeight="false" outlineLevel="0" collapsed="false">
      <c r="A726" s="11" t="s">
        <v>964</v>
      </c>
      <c r="B726" s="11" t="s">
        <v>27</v>
      </c>
      <c r="C726" s="11" t="s">
        <v>77</v>
      </c>
      <c r="D726" s="11" t="s">
        <v>34</v>
      </c>
      <c r="E726" s="11" t="s">
        <v>91</v>
      </c>
      <c r="F726" s="11" t="s">
        <v>74</v>
      </c>
      <c r="G726" s="21" t="n">
        <v>156.85</v>
      </c>
      <c r="H726" s="19" t="n">
        <v>0</v>
      </c>
      <c r="I726" s="21" t="n">
        <v>156.85</v>
      </c>
      <c r="J726" s="22" t="s">
        <v>188</v>
      </c>
      <c r="K726" s="11" t="n">
        <v>48</v>
      </c>
      <c r="L726" s="23" t="n">
        <v>3.4</v>
      </c>
      <c r="M726" s="24" t="b">
        <f aca="false">FALSE()</f>
        <v>0</v>
      </c>
      <c r="N726" s="11"/>
      <c r="O726" s="11" t="str">
        <f aca="false">IF(K726&lt;=StockP33,"Low",IF(K726&lt;=StockP67,"Moderate","High"))</f>
        <v>High</v>
      </c>
      <c r="P726" s="11" t="str">
        <f aca="false">IF(H726=0,"Low",IF(H726&lt;=MarkdownP75,"Moderate","High"))</f>
        <v>Low</v>
      </c>
      <c r="Q726" s="11" t="str">
        <f aca="false">IF(ISBLANK(L726),"Unknown",IF(L726&gt;=4,"Good",IF(L726&lt;=2,"Poor","Neutral")))</f>
        <v>Neutral</v>
      </c>
      <c r="R726" s="11" t="str">
        <f aca="false">IF(AND(O726="Low",P726="Low",Q726="Good"),"BUY / PRIORITIZE",IF(AND(O726="High",P726="High",OR(Q726="Poor",M726=TRUE())),"HOLD / REVIEW","MONITOR"))</f>
        <v>MONITOR</v>
      </c>
      <c r="S726" s="11" t="n">
        <f aca="false">K726+(ROW()/10000000)</f>
        <v>48.0000726</v>
      </c>
    </row>
    <row r="727" customFormat="false" ht="15" hidden="false" customHeight="false" outlineLevel="0" collapsed="false">
      <c r="A727" s="11" t="s">
        <v>965</v>
      </c>
      <c r="B727" s="11" t="s">
        <v>28</v>
      </c>
      <c r="C727" s="11" t="s">
        <v>77</v>
      </c>
      <c r="D727" s="11" t="s">
        <v>34</v>
      </c>
      <c r="E727" s="11" t="s">
        <v>110</v>
      </c>
      <c r="F727" s="11" t="s">
        <v>124</v>
      </c>
      <c r="G727" s="21" t="n">
        <v>168.13</v>
      </c>
      <c r="H727" s="19" t="n">
        <v>0</v>
      </c>
      <c r="I727" s="21" t="n">
        <v>168.13</v>
      </c>
      <c r="J727" s="22" t="s">
        <v>966</v>
      </c>
      <c r="K727" s="11" t="n">
        <v>42</v>
      </c>
      <c r="L727" s="23" t="n">
        <v>2.5</v>
      </c>
      <c r="M727" s="24" t="b">
        <f aca="false">FALSE()</f>
        <v>0</v>
      </c>
      <c r="N727" s="11"/>
      <c r="O727" s="11" t="str">
        <f aca="false">IF(K727&lt;=StockP33,"Low",IF(K727&lt;=StockP67,"Moderate","High"))</f>
        <v>High</v>
      </c>
      <c r="P727" s="11" t="str">
        <f aca="false">IF(H727=0,"Low",IF(H727&lt;=MarkdownP75,"Moderate","High"))</f>
        <v>Low</v>
      </c>
      <c r="Q727" s="11" t="str">
        <f aca="false">IF(ISBLANK(L727),"Unknown",IF(L727&gt;=4,"Good",IF(L727&lt;=2,"Poor","Neutral")))</f>
        <v>Neutral</v>
      </c>
      <c r="R727" s="11" t="str">
        <f aca="false">IF(AND(O727="Low",P727="Low",Q727="Good"),"BUY / PRIORITIZE",IF(AND(O727="High",P727="High",OR(Q727="Poor",M727=TRUE())),"HOLD / REVIEW","MONITOR"))</f>
        <v>MONITOR</v>
      </c>
      <c r="S727" s="11" t="n">
        <f aca="false">K727+(ROW()/10000000)</f>
        <v>42.0000727</v>
      </c>
    </row>
    <row r="728" customFormat="false" ht="15" hidden="false" customHeight="false" outlineLevel="0" collapsed="false">
      <c r="A728" s="11" t="s">
        <v>967</v>
      </c>
      <c r="B728" s="11" t="s">
        <v>29</v>
      </c>
      <c r="C728" s="11" t="s">
        <v>130</v>
      </c>
      <c r="D728" s="11" t="s">
        <v>35</v>
      </c>
      <c r="E728" s="11" t="s">
        <v>91</v>
      </c>
      <c r="F728" s="11" t="s">
        <v>98</v>
      </c>
      <c r="G728" s="21" t="n">
        <v>145.79</v>
      </c>
      <c r="H728" s="19" t="n">
        <v>57</v>
      </c>
      <c r="I728" s="21" t="n">
        <v>62.69</v>
      </c>
      <c r="J728" s="22" t="s">
        <v>80</v>
      </c>
      <c r="K728" s="11" t="n">
        <v>46</v>
      </c>
      <c r="L728" s="23"/>
      <c r="M728" s="24" t="b">
        <f aca="false">FALSE()</f>
        <v>0</v>
      </c>
      <c r="N728" s="11"/>
      <c r="O728" s="11" t="str">
        <f aca="false">IF(K728&lt;=StockP33,"Low",IF(K728&lt;=StockP67,"Moderate","High"))</f>
        <v>High</v>
      </c>
      <c r="P728" s="11" t="str">
        <f aca="false">IF(H728=0,"Low",IF(H728&lt;=MarkdownP75,"Moderate","High"))</f>
        <v>High</v>
      </c>
      <c r="Q728" s="11" t="str">
        <f aca="false">IF(ISBLANK(L728),"Unknown",IF(L728&gt;=4,"Good",IF(L728&lt;=2,"Poor","Neutral")))</f>
        <v>Unknown</v>
      </c>
      <c r="R728" s="11" t="str">
        <f aca="false">IF(AND(O728="Low",P728="Low",Q728="Good"),"BUY / PRIORITIZE",IF(AND(O728="High",P728="High",OR(Q728="Poor",M728=TRUE())),"HOLD / REVIEW","MONITOR"))</f>
        <v>MONITOR</v>
      </c>
      <c r="S728" s="11" t="n">
        <f aca="false">K728+(ROW()/10000000)</f>
        <v>46.0000728</v>
      </c>
    </row>
    <row r="729" customFormat="false" ht="15" hidden="false" customHeight="false" outlineLevel="0" collapsed="false">
      <c r="A729" s="11" t="s">
        <v>968</v>
      </c>
      <c r="B729" s="11" t="s">
        <v>26</v>
      </c>
      <c r="C729" s="11" t="s">
        <v>116</v>
      </c>
      <c r="D729" s="11" t="s">
        <v>37</v>
      </c>
      <c r="E729" s="11" t="s">
        <v>91</v>
      </c>
      <c r="F729" s="11" t="s">
        <v>88</v>
      </c>
      <c r="G729" s="21" t="n">
        <v>54.14</v>
      </c>
      <c r="H729" s="19" t="n">
        <v>0</v>
      </c>
      <c r="I729" s="21" t="n">
        <v>54.14</v>
      </c>
      <c r="J729" s="22" t="s">
        <v>80</v>
      </c>
      <c r="K729" s="11" t="n">
        <v>32</v>
      </c>
      <c r="L729" s="23"/>
      <c r="M729" s="24" t="b">
        <f aca="false">FALSE()</f>
        <v>0</v>
      </c>
      <c r="N729" s="11"/>
      <c r="O729" s="11" t="str">
        <f aca="false">IF(K729&lt;=StockP33,"Low",IF(K729&lt;=StockP67,"Moderate","High"))</f>
        <v>Moderate</v>
      </c>
      <c r="P729" s="11" t="str">
        <f aca="false">IF(H729=0,"Low",IF(H729&lt;=MarkdownP75,"Moderate","High"))</f>
        <v>Low</v>
      </c>
      <c r="Q729" s="11" t="str">
        <f aca="false">IF(ISBLANK(L729),"Unknown",IF(L729&gt;=4,"Good",IF(L729&lt;=2,"Poor","Neutral")))</f>
        <v>Unknown</v>
      </c>
      <c r="R729" s="11" t="str">
        <f aca="false">IF(AND(O729="Low",P729="Low",Q729="Good"),"BUY / PRIORITIZE",IF(AND(O729="High",P729="High",OR(Q729="Poor",M729=TRUE())),"HOLD / REVIEW","MONITOR"))</f>
        <v>MONITOR</v>
      </c>
      <c r="S729" s="11" t="n">
        <f aca="false">K729+(ROW()/10000000)</f>
        <v>32.0000729</v>
      </c>
    </row>
    <row r="730" customFormat="false" ht="15" hidden="false" customHeight="false" outlineLevel="0" collapsed="false">
      <c r="A730" s="11" t="s">
        <v>969</v>
      </c>
      <c r="B730" s="11" t="s">
        <v>8</v>
      </c>
      <c r="C730" s="11" t="s">
        <v>72</v>
      </c>
      <c r="D730" s="11" t="s">
        <v>36</v>
      </c>
      <c r="E730" s="11"/>
      <c r="F730" s="11" t="s">
        <v>118</v>
      </c>
      <c r="G730" s="21" t="n">
        <v>45.64</v>
      </c>
      <c r="H730" s="19" t="n">
        <v>0</v>
      </c>
      <c r="I730" s="21" t="n">
        <v>45.64</v>
      </c>
      <c r="J730" s="22" t="s">
        <v>80</v>
      </c>
      <c r="K730" s="11" t="n">
        <v>36</v>
      </c>
      <c r="L730" s="23" t="n">
        <v>3.6</v>
      </c>
      <c r="M730" s="24" t="b">
        <f aca="false">TRUE()</f>
        <v>1</v>
      </c>
      <c r="N730" s="11" t="s">
        <v>128</v>
      </c>
      <c r="O730" s="11" t="str">
        <f aca="false">IF(K730&lt;=StockP33,"Low",IF(K730&lt;=StockP67,"Moderate","High"))</f>
        <v>High</v>
      </c>
      <c r="P730" s="11" t="str">
        <f aca="false">IF(H730=0,"Low",IF(H730&lt;=MarkdownP75,"Moderate","High"))</f>
        <v>Low</v>
      </c>
      <c r="Q730" s="11" t="str">
        <f aca="false">IF(ISBLANK(L730),"Unknown",IF(L730&gt;=4,"Good",IF(L730&lt;=2,"Poor","Neutral")))</f>
        <v>Neutral</v>
      </c>
      <c r="R730" s="11" t="str">
        <f aca="false">IF(AND(O730="Low",P730="Low",Q730="Good"),"BUY / PRIORITIZE",IF(AND(O730="High",P730="High",OR(Q730="Poor",M730=TRUE())),"HOLD / REVIEW","MONITOR"))</f>
        <v>MONITOR</v>
      </c>
      <c r="S730" s="11" t="n">
        <f aca="false">K730+(ROW()/10000000)</f>
        <v>36.000073</v>
      </c>
    </row>
    <row r="731" customFormat="false" ht="15" hidden="false" customHeight="false" outlineLevel="0" collapsed="false">
      <c r="A731" s="11" t="s">
        <v>970</v>
      </c>
      <c r="B731" s="11" t="s">
        <v>26</v>
      </c>
      <c r="C731" s="11" t="s">
        <v>95</v>
      </c>
      <c r="D731" s="11" t="s">
        <v>36</v>
      </c>
      <c r="E731" s="11" t="s">
        <v>91</v>
      </c>
      <c r="F731" s="11" t="s">
        <v>74</v>
      </c>
      <c r="G731" s="21" t="n">
        <v>46.76</v>
      </c>
      <c r="H731" s="19" t="n">
        <v>0</v>
      </c>
      <c r="I731" s="21" t="n">
        <v>46.76</v>
      </c>
      <c r="J731" s="22" t="s">
        <v>80</v>
      </c>
      <c r="K731" s="11" t="n">
        <v>38</v>
      </c>
      <c r="L731" s="23" t="n">
        <v>2.7</v>
      </c>
      <c r="M731" s="24" t="b">
        <f aca="false">FALSE()</f>
        <v>0</v>
      </c>
      <c r="N731" s="11"/>
      <c r="O731" s="11" t="str">
        <f aca="false">IF(K731&lt;=StockP33,"Low",IF(K731&lt;=StockP67,"Moderate","High"))</f>
        <v>High</v>
      </c>
      <c r="P731" s="11" t="str">
        <f aca="false">IF(H731=0,"Low",IF(H731&lt;=MarkdownP75,"Moderate","High"))</f>
        <v>Low</v>
      </c>
      <c r="Q731" s="11" t="str">
        <f aca="false">IF(ISBLANK(L731),"Unknown",IF(L731&gt;=4,"Good",IF(L731&lt;=2,"Poor","Neutral")))</f>
        <v>Neutral</v>
      </c>
      <c r="R731" s="11" t="str">
        <f aca="false">IF(AND(O731="Low",P731="Low",Q731="Good"),"BUY / PRIORITIZE",IF(AND(O731="High",P731="High",OR(Q731="Poor",M731=TRUE())),"HOLD / REVIEW","MONITOR"))</f>
        <v>MONITOR</v>
      </c>
      <c r="S731" s="11" t="n">
        <f aca="false">K731+(ROW()/10000000)</f>
        <v>38.0000731</v>
      </c>
    </row>
    <row r="732" customFormat="false" ht="15" hidden="false" customHeight="false" outlineLevel="0" collapsed="false">
      <c r="A732" s="11" t="s">
        <v>971</v>
      </c>
      <c r="B732" s="11" t="s">
        <v>27</v>
      </c>
      <c r="C732" s="11" t="s">
        <v>86</v>
      </c>
      <c r="D732" s="11" t="s">
        <v>37</v>
      </c>
      <c r="E732" s="11"/>
      <c r="F732" s="11" t="s">
        <v>92</v>
      </c>
      <c r="G732" s="21" t="n">
        <v>75.23</v>
      </c>
      <c r="H732" s="19" t="n">
        <v>0</v>
      </c>
      <c r="I732" s="21" t="n">
        <v>75.23</v>
      </c>
      <c r="J732" s="22" t="s">
        <v>80</v>
      </c>
      <c r="K732" s="11" t="n">
        <v>42</v>
      </c>
      <c r="L732" s="23" t="n">
        <v>1.7</v>
      </c>
      <c r="M732" s="24" t="b">
        <f aca="false">TRUE()</f>
        <v>1</v>
      </c>
      <c r="N732" s="11" t="s">
        <v>140</v>
      </c>
      <c r="O732" s="11" t="str">
        <f aca="false">IF(K732&lt;=StockP33,"Low",IF(K732&lt;=StockP67,"Moderate","High"))</f>
        <v>High</v>
      </c>
      <c r="P732" s="11" t="str">
        <f aca="false">IF(H732=0,"Low",IF(H732&lt;=MarkdownP75,"Moderate","High"))</f>
        <v>Low</v>
      </c>
      <c r="Q732" s="11" t="str">
        <f aca="false">IF(ISBLANK(L732),"Unknown",IF(L732&gt;=4,"Good",IF(L732&lt;=2,"Poor","Neutral")))</f>
        <v>Poor</v>
      </c>
      <c r="R732" s="11" t="str">
        <f aca="false">IF(AND(O732="Low",P732="Low",Q732="Good"),"BUY / PRIORITIZE",IF(AND(O732="High",P732="High",OR(Q732="Poor",M732=TRUE())),"HOLD / REVIEW","MONITOR"))</f>
        <v>MONITOR</v>
      </c>
      <c r="S732" s="11" t="n">
        <f aca="false">K732+(ROW()/10000000)</f>
        <v>42.0000732</v>
      </c>
    </row>
    <row r="733" customFormat="false" ht="15" hidden="false" customHeight="false" outlineLevel="0" collapsed="false">
      <c r="A733" s="11" t="s">
        <v>972</v>
      </c>
      <c r="B733" s="11" t="s">
        <v>27</v>
      </c>
      <c r="C733" s="11" t="s">
        <v>95</v>
      </c>
      <c r="D733" s="11" t="s">
        <v>35</v>
      </c>
      <c r="E733" s="11" t="s">
        <v>73</v>
      </c>
      <c r="F733" s="11" t="s">
        <v>88</v>
      </c>
      <c r="G733" s="21" t="n">
        <v>70.38</v>
      </c>
      <c r="H733" s="19" t="n">
        <v>0</v>
      </c>
      <c r="I733" s="21" t="n">
        <v>70.38</v>
      </c>
      <c r="J733" s="22" t="s">
        <v>80</v>
      </c>
      <c r="K733" s="11" t="n">
        <v>37</v>
      </c>
      <c r="L733" s="23" t="n">
        <v>2</v>
      </c>
      <c r="M733" s="24" t="b">
        <f aca="false">FALSE()</f>
        <v>0</v>
      </c>
      <c r="N733" s="11"/>
      <c r="O733" s="11" t="str">
        <f aca="false">IF(K733&lt;=StockP33,"Low",IF(K733&lt;=StockP67,"Moderate","High"))</f>
        <v>High</v>
      </c>
      <c r="P733" s="11" t="str">
        <f aca="false">IF(H733=0,"Low",IF(H733&lt;=MarkdownP75,"Moderate","High"))</f>
        <v>Low</v>
      </c>
      <c r="Q733" s="11" t="str">
        <f aca="false">IF(ISBLANK(L733),"Unknown",IF(L733&gt;=4,"Good",IF(L733&lt;=2,"Poor","Neutral")))</f>
        <v>Poor</v>
      </c>
      <c r="R733" s="11" t="str">
        <f aca="false">IF(AND(O733="Low",P733="Low",Q733="Good"),"BUY / PRIORITIZE",IF(AND(O733="High",P733="High",OR(Q733="Poor",M733=TRUE())),"HOLD / REVIEW","MONITOR"))</f>
        <v>MONITOR</v>
      </c>
      <c r="S733" s="11" t="n">
        <f aca="false">K733+(ROW()/10000000)</f>
        <v>37.0000733</v>
      </c>
    </row>
    <row r="734" customFormat="false" ht="15" hidden="false" customHeight="false" outlineLevel="0" collapsed="false">
      <c r="A734" s="11" t="s">
        <v>973</v>
      </c>
      <c r="B734" s="11" t="s">
        <v>26</v>
      </c>
      <c r="C734" s="11" t="s">
        <v>101</v>
      </c>
      <c r="D734" s="11" t="s">
        <v>35</v>
      </c>
      <c r="E734" s="11" t="s">
        <v>113</v>
      </c>
      <c r="F734" s="11" t="s">
        <v>79</v>
      </c>
      <c r="G734" s="21" t="n">
        <v>76.04</v>
      </c>
      <c r="H734" s="19" t="n">
        <v>0</v>
      </c>
      <c r="I734" s="21" t="n">
        <v>76.04</v>
      </c>
      <c r="J734" s="22" t="s">
        <v>80</v>
      </c>
      <c r="K734" s="11" t="n">
        <v>13</v>
      </c>
      <c r="L734" s="23" t="n">
        <v>4.4</v>
      </c>
      <c r="M734" s="24" t="b">
        <f aca="false">FALSE()</f>
        <v>0</v>
      </c>
      <c r="N734" s="11"/>
      <c r="O734" s="11" t="str">
        <f aca="false">IF(K734&lt;=StockP33,"Low",IF(K734&lt;=StockP67,"Moderate","High"))</f>
        <v>Low</v>
      </c>
      <c r="P734" s="11" t="str">
        <f aca="false">IF(H734=0,"Low",IF(H734&lt;=MarkdownP75,"Moderate","High"))</f>
        <v>Low</v>
      </c>
      <c r="Q734" s="11" t="str">
        <f aca="false">IF(ISBLANK(L734),"Unknown",IF(L734&gt;=4,"Good",IF(L734&lt;=2,"Poor","Neutral")))</f>
        <v>Good</v>
      </c>
      <c r="R734" s="11" t="str">
        <f aca="false">IF(AND(O734="Low",P734="Low",Q734="Good"),"BUY / PRIORITIZE",IF(AND(O734="High",P734="High",OR(Q734="Poor",M734=TRUE())),"HOLD / REVIEW","MONITOR"))</f>
        <v>BUY / PRIORITIZE</v>
      </c>
      <c r="S734" s="11" t="n">
        <f aca="false">K734+(ROW()/10000000)</f>
        <v>13.0000734</v>
      </c>
    </row>
    <row r="735" customFormat="false" ht="15" hidden="false" customHeight="false" outlineLevel="0" collapsed="false">
      <c r="A735" s="11" t="s">
        <v>974</v>
      </c>
      <c r="B735" s="11" t="s">
        <v>29</v>
      </c>
      <c r="C735" s="11" t="s">
        <v>77</v>
      </c>
      <c r="D735" s="11" t="s">
        <v>35</v>
      </c>
      <c r="E735" s="11" t="s">
        <v>110</v>
      </c>
      <c r="F735" s="11" t="s">
        <v>82</v>
      </c>
      <c r="G735" s="21" t="n">
        <v>110.82</v>
      </c>
      <c r="H735" s="19" t="n">
        <v>15.7</v>
      </c>
      <c r="I735" s="21" t="n">
        <v>93.42</v>
      </c>
      <c r="J735" s="22" t="s">
        <v>80</v>
      </c>
      <c r="K735" s="11" t="n">
        <v>43</v>
      </c>
      <c r="L735" s="23"/>
      <c r="M735" s="24" t="b">
        <f aca="false">TRUE()</f>
        <v>1</v>
      </c>
      <c r="N735" s="11" t="s">
        <v>128</v>
      </c>
      <c r="O735" s="11" t="str">
        <f aca="false">IF(K735&lt;=StockP33,"Low",IF(K735&lt;=StockP67,"Moderate","High"))</f>
        <v>High</v>
      </c>
      <c r="P735" s="11" t="str">
        <f aca="false">IF(H735=0,"Low",IF(H735&lt;=MarkdownP75,"Moderate","High"))</f>
        <v>Moderate</v>
      </c>
      <c r="Q735" s="11" t="str">
        <f aca="false">IF(ISBLANK(L735),"Unknown",IF(L735&gt;=4,"Good",IF(L735&lt;=2,"Poor","Neutral")))</f>
        <v>Unknown</v>
      </c>
      <c r="R735" s="11" t="str">
        <f aca="false">IF(AND(O735="Low",P735="Low",Q735="Good"),"BUY / PRIORITIZE",IF(AND(O735="High",P735="High",OR(Q735="Poor",M735=TRUE())),"HOLD / REVIEW","MONITOR"))</f>
        <v>MONITOR</v>
      </c>
      <c r="S735" s="11" t="n">
        <f aca="false">K735+(ROW()/10000000)</f>
        <v>43.0000735</v>
      </c>
    </row>
    <row r="736" customFormat="false" ht="15" hidden="false" customHeight="false" outlineLevel="0" collapsed="false">
      <c r="A736" s="11" t="s">
        <v>975</v>
      </c>
      <c r="B736" s="11" t="s">
        <v>8</v>
      </c>
      <c r="C736" s="11" t="s">
        <v>130</v>
      </c>
      <c r="D736" s="11" t="s">
        <v>36</v>
      </c>
      <c r="E736" s="11"/>
      <c r="F736" s="11" t="s">
        <v>118</v>
      </c>
      <c r="G736" s="21" t="n">
        <v>47.47</v>
      </c>
      <c r="H736" s="19" t="n">
        <v>0</v>
      </c>
      <c r="I736" s="21" t="n">
        <v>47.47</v>
      </c>
      <c r="J736" s="22" t="s">
        <v>80</v>
      </c>
      <c r="K736" s="11" t="n">
        <v>42</v>
      </c>
      <c r="L736" s="23" t="n">
        <v>4.7</v>
      </c>
      <c r="M736" s="24" t="b">
        <f aca="false">FALSE()</f>
        <v>0</v>
      </c>
      <c r="N736" s="11"/>
      <c r="O736" s="11" t="str">
        <f aca="false">IF(K736&lt;=StockP33,"Low",IF(K736&lt;=StockP67,"Moderate","High"))</f>
        <v>High</v>
      </c>
      <c r="P736" s="11" t="str">
        <f aca="false">IF(H736=0,"Low",IF(H736&lt;=MarkdownP75,"Moderate","High"))</f>
        <v>Low</v>
      </c>
      <c r="Q736" s="11" t="str">
        <f aca="false">IF(ISBLANK(L736),"Unknown",IF(L736&gt;=4,"Good",IF(L736&lt;=2,"Poor","Neutral")))</f>
        <v>Good</v>
      </c>
      <c r="R736" s="11" t="str">
        <f aca="false">IF(AND(O736="Low",P736="Low",Q736="Good"),"BUY / PRIORITIZE",IF(AND(O736="High",P736="High",OR(Q736="Poor",M736=TRUE())),"HOLD / REVIEW","MONITOR"))</f>
        <v>MONITOR</v>
      </c>
      <c r="S736" s="11" t="n">
        <f aca="false">K736+(ROW()/10000000)</f>
        <v>42.0000736</v>
      </c>
    </row>
    <row r="737" customFormat="false" ht="15" hidden="false" customHeight="false" outlineLevel="0" collapsed="false">
      <c r="A737" s="11" t="s">
        <v>976</v>
      </c>
      <c r="B737" s="11" t="s">
        <v>8</v>
      </c>
      <c r="C737" s="11" t="s">
        <v>116</v>
      </c>
      <c r="D737" s="11" t="s">
        <v>34</v>
      </c>
      <c r="E737" s="11"/>
      <c r="F737" s="11" t="s">
        <v>74</v>
      </c>
      <c r="G737" s="21" t="n">
        <v>79.94</v>
      </c>
      <c r="H737" s="19" t="n">
        <v>0</v>
      </c>
      <c r="I737" s="21" t="n">
        <v>79.94</v>
      </c>
      <c r="J737" s="22" t="s">
        <v>654</v>
      </c>
      <c r="K737" s="11" t="n">
        <v>26</v>
      </c>
      <c r="L737" s="23" t="n">
        <v>3.8</v>
      </c>
      <c r="M737" s="24" t="b">
        <f aca="false">FALSE()</f>
        <v>0</v>
      </c>
      <c r="N737" s="11"/>
      <c r="O737" s="11" t="str">
        <f aca="false">IF(K737&lt;=StockP33,"Low",IF(K737&lt;=StockP67,"Moderate","High"))</f>
        <v>Moderate</v>
      </c>
      <c r="P737" s="11" t="str">
        <f aca="false">IF(H737=0,"Low",IF(H737&lt;=MarkdownP75,"Moderate","High"))</f>
        <v>Low</v>
      </c>
      <c r="Q737" s="11" t="str">
        <f aca="false">IF(ISBLANK(L737),"Unknown",IF(L737&gt;=4,"Good",IF(L737&lt;=2,"Poor","Neutral")))</f>
        <v>Neutral</v>
      </c>
      <c r="R737" s="11" t="str">
        <f aca="false">IF(AND(O737="Low",P737="Low",Q737="Good"),"BUY / PRIORITIZE",IF(AND(O737="High",P737="High",OR(Q737="Poor",M737=TRUE())),"HOLD / REVIEW","MONITOR"))</f>
        <v>MONITOR</v>
      </c>
      <c r="S737" s="11" t="n">
        <f aca="false">K737+(ROW()/10000000)</f>
        <v>26.0000737</v>
      </c>
    </row>
    <row r="738" customFormat="false" ht="15" hidden="false" customHeight="false" outlineLevel="0" collapsed="false">
      <c r="A738" s="11" t="s">
        <v>977</v>
      </c>
      <c r="B738" s="11" t="s">
        <v>26</v>
      </c>
      <c r="C738" s="11" t="s">
        <v>86</v>
      </c>
      <c r="D738" s="11" t="s">
        <v>36</v>
      </c>
      <c r="E738" s="11" t="s">
        <v>102</v>
      </c>
      <c r="F738" s="11" t="s">
        <v>118</v>
      </c>
      <c r="G738" s="21" t="n">
        <v>74.67</v>
      </c>
      <c r="H738" s="19" t="n">
        <v>0</v>
      </c>
      <c r="I738" s="21" t="n">
        <v>74.67</v>
      </c>
      <c r="J738" s="22" t="s">
        <v>80</v>
      </c>
      <c r="K738" s="11" t="n">
        <v>15</v>
      </c>
      <c r="L738" s="23" t="n">
        <v>4.6</v>
      </c>
      <c r="M738" s="24" t="b">
        <f aca="false">FALSE()</f>
        <v>0</v>
      </c>
      <c r="N738" s="11"/>
      <c r="O738" s="11" t="str">
        <f aca="false">IF(K738&lt;=StockP33,"Low",IF(K738&lt;=StockP67,"Moderate","High"))</f>
        <v>Low</v>
      </c>
      <c r="P738" s="11" t="str">
        <f aca="false">IF(H738=0,"Low",IF(H738&lt;=MarkdownP75,"Moderate","High"))</f>
        <v>Low</v>
      </c>
      <c r="Q738" s="11" t="str">
        <f aca="false">IF(ISBLANK(L738),"Unknown",IF(L738&gt;=4,"Good",IF(L738&lt;=2,"Poor","Neutral")))</f>
        <v>Good</v>
      </c>
      <c r="R738" s="11" t="str">
        <f aca="false">IF(AND(O738="Low",P738="Low",Q738="Good"),"BUY / PRIORITIZE",IF(AND(O738="High",P738="High",OR(Q738="Poor",M738=TRUE())),"HOLD / REVIEW","MONITOR"))</f>
        <v>BUY / PRIORITIZE</v>
      </c>
      <c r="S738" s="11" t="n">
        <f aca="false">K738+(ROW()/10000000)</f>
        <v>15.0000738</v>
      </c>
    </row>
    <row r="739" customFormat="false" ht="15" hidden="false" customHeight="false" outlineLevel="0" collapsed="false">
      <c r="A739" s="11" t="s">
        <v>978</v>
      </c>
      <c r="B739" s="11" t="s">
        <v>27</v>
      </c>
      <c r="C739" s="11" t="s">
        <v>130</v>
      </c>
      <c r="D739" s="11" t="s">
        <v>36</v>
      </c>
      <c r="E739" s="11" t="s">
        <v>102</v>
      </c>
      <c r="F739" s="11" t="s">
        <v>124</v>
      </c>
      <c r="G739" s="21" t="n">
        <v>63.79</v>
      </c>
      <c r="H739" s="19" t="n">
        <v>35.5</v>
      </c>
      <c r="I739" s="21" t="n">
        <v>41.14</v>
      </c>
      <c r="J739" s="22" t="s">
        <v>80</v>
      </c>
      <c r="K739" s="11" t="n">
        <v>15</v>
      </c>
      <c r="L739" s="23" t="n">
        <v>3.1</v>
      </c>
      <c r="M739" s="24" t="b">
        <f aca="false">TRUE()</f>
        <v>1</v>
      </c>
      <c r="N739" s="11" t="s">
        <v>140</v>
      </c>
      <c r="O739" s="11" t="str">
        <f aca="false">IF(K739&lt;=StockP33,"Low",IF(K739&lt;=StockP67,"Moderate","High"))</f>
        <v>Low</v>
      </c>
      <c r="P739" s="11" t="str">
        <f aca="false">IF(H739=0,"Low",IF(H739&lt;=MarkdownP75,"Moderate","High"))</f>
        <v>High</v>
      </c>
      <c r="Q739" s="11" t="str">
        <f aca="false">IF(ISBLANK(L739),"Unknown",IF(L739&gt;=4,"Good",IF(L739&lt;=2,"Poor","Neutral")))</f>
        <v>Neutral</v>
      </c>
      <c r="R739" s="11" t="str">
        <f aca="false">IF(AND(O739="Low",P739="Low",Q739="Good"),"BUY / PRIORITIZE",IF(AND(O739="High",P739="High",OR(Q739="Poor",M739=TRUE())),"HOLD / REVIEW","MONITOR"))</f>
        <v>MONITOR</v>
      </c>
      <c r="S739" s="11" t="n">
        <f aca="false">K739+(ROW()/10000000)</f>
        <v>15.0000739</v>
      </c>
    </row>
    <row r="740" customFormat="false" ht="15" hidden="false" customHeight="false" outlineLevel="0" collapsed="false">
      <c r="A740" s="11" t="s">
        <v>979</v>
      </c>
      <c r="B740" s="11" t="s">
        <v>26</v>
      </c>
      <c r="C740" s="11" t="s">
        <v>107</v>
      </c>
      <c r="D740" s="11" t="s">
        <v>36</v>
      </c>
      <c r="E740" s="11" t="s">
        <v>102</v>
      </c>
      <c r="F740" s="11" t="s">
        <v>124</v>
      </c>
      <c r="G740" s="21" t="n">
        <v>49.6</v>
      </c>
      <c r="H740" s="19" t="n">
        <v>0</v>
      </c>
      <c r="I740" s="21" t="n">
        <v>49.6</v>
      </c>
      <c r="J740" s="22" t="s">
        <v>80</v>
      </c>
      <c r="K740" s="11" t="n">
        <v>32</v>
      </c>
      <c r="L740" s="23" t="n">
        <v>4.7</v>
      </c>
      <c r="M740" s="24" t="b">
        <f aca="false">FALSE()</f>
        <v>0</v>
      </c>
      <c r="N740" s="11"/>
      <c r="O740" s="11" t="str">
        <f aca="false">IF(K740&lt;=StockP33,"Low",IF(K740&lt;=StockP67,"Moderate","High"))</f>
        <v>Moderate</v>
      </c>
      <c r="P740" s="11" t="str">
        <f aca="false">IF(H740=0,"Low",IF(H740&lt;=MarkdownP75,"Moderate","High"))</f>
        <v>Low</v>
      </c>
      <c r="Q740" s="11" t="str">
        <f aca="false">IF(ISBLANK(L740),"Unknown",IF(L740&gt;=4,"Good",IF(L740&lt;=2,"Poor","Neutral")))</f>
        <v>Good</v>
      </c>
      <c r="R740" s="11" t="str">
        <f aca="false">IF(AND(O740="Low",P740="Low",Q740="Good"),"BUY / PRIORITIZE",IF(AND(O740="High",P740="High",OR(Q740="Poor",M740=TRUE())),"HOLD / REVIEW","MONITOR"))</f>
        <v>MONITOR</v>
      </c>
      <c r="S740" s="11" t="n">
        <f aca="false">K740+(ROW()/10000000)</f>
        <v>32.000074</v>
      </c>
    </row>
    <row r="741" customFormat="false" ht="15" hidden="false" customHeight="false" outlineLevel="0" collapsed="false">
      <c r="A741" s="11" t="s">
        <v>980</v>
      </c>
      <c r="B741" s="11" t="s">
        <v>30</v>
      </c>
      <c r="C741" s="11" t="s">
        <v>72</v>
      </c>
      <c r="D741" s="11" t="s">
        <v>34</v>
      </c>
      <c r="E741" s="11" t="s">
        <v>73</v>
      </c>
      <c r="F741" s="11" t="s">
        <v>74</v>
      </c>
      <c r="G741" s="21" t="n">
        <v>57.91</v>
      </c>
      <c r="H741" s="19" t="n">
        <v>0</v>
      </c>
      <c r="I741" s="21" t="n">
        <v>57.91</v>
      </c>
      <c r="J741" s="22" t="s">
        <v>981</v>
      </c>
      <c r="K741" s="11" t="n">
        <v>33</v>
      </c>
      <c r="L741" s="23" t="n">
        <v>3.9</v>
      </c>
      <c r="M741" s="24" t="b">
        <f aca="false">FALSE()</f>
        <v>0</v>
      </c>
      <c r="N741" s="11"/>
      <c r="O741" s="11" t="str">
        <f aca="false">IF(K741&lt;=StockP33,"Low",IF(K741&lt;=StockP67,"Moderate","High"))</f>
        <v>Moderate</v>
      </c>
      <c r="P741" s="11" t="str">
        <f aca="false">IF(H741=0,"Low",IF(H741&lt;=MarkdownP75,"Moderate","High"))</f>
        <v>Low</v>
      </c>
      <c r="Q741" s="11" t="str">
        <f aca="false">IF(ISBLANK(L741),"Unknown",IF(L741&gt;=4,"Good",IF(L741&lt;=2,"Poor","Neutral")))</f>
        <v>Neutral</v>
      </c>
      <c r="R741" s="11" t="str">
        <f aca="false">IF(AND(O741="Low",P741="Low",Q741="Good"),"BUY / PRIORITIZE",IF(AND(O741="High",P741="High",OR(Q741="Poor",M741=TRUE())),"HOLD / REVIEW","MONITOR"))</f>
        <v>MONITOR</v>
      </c>
      <c r="S741" s="11" t="n">
        <f aca="false">K741+(ROW()/10000000)</f>
        <v>33.0000741</v>
      </c>
    </row>
    <row r="742" customFormat="false" ht="15" hidden="false" customHeight="false" outlineLevel="0" collapsed="false">
      <c r="A742" s="11" t="s">
        <v>982</v>
      </c>
      <c r="B742" s="11" t="s">
        <v>27</v>
      </c>
      <c r="C742" s="11" t="s">
        <v>77</v>
      </c>
      <c r="D742" s="11" t="s">
        <v>35</v>
      </c>
      <c r="E742" s="11" t="s">
        <v>73</v>
      </c>
      <c r="F742" s="11" t="s">
        <v>79</v>
      </c>
      <c r="G742" s="21" t="n">
        <v>135.99</v>
      </c>
      <c r="H742" s="19" t="n">
        <v>0</v>
      </c>
      <c r="I742" s="21" t="n">
        <v>135.99</v>
      </c>
      <c r="J742" s="22" t="s">
        <v>80</v>
      </c>
      <c r="K742" s="11" t="n">
        <v>34</v>
      </c>
      <c r="L742" s="23" t="n">
        <v>3</v>
      </c>
      <c r="M742" s="24" t="b">
        <f aca="false">FALSE()</f>
        <v>0</v>
      </c>
      <c r="N742" s="11"/>
      <c r="O742" s="11" t="str">
        <f aca="false">IF(K742&lt;=StockP33,"Low",IF(K742&lt;=StockP67,"Moderate","High"))</f>
        <v>High</v>
      </c>
      <c r="P742" s="11" t="str">
        <f aca="false">IF(H742=0,"Low",IF(H742&lt;=MarkdownP75,"Moderate","High"))</f>
        <v>Low</v>
      </c>
      <c r="Q742" s="11" t="str">
        <f aca="false">IF(ISBLANK(L742),"Unknown",IF(L742&gt;=4,"Good",IF(L742&lt;=2,"Poor","Neutral")))</f>
        <v>Neutral</v>
      </c>
      <c r="R742" s="11" t="str">
        <f aca="false">IF(AND(O742="Low",P742="Low",Q742="Good"),"BUY / PRIORITIZE",IF(AND(O742="High",P742="High",OR(Q742="Poor",M742=TRUE())),"HOLD / REVIEW","MONITOR"))</f>
        <v>MONITOR</v>
      </c>
      <c r="S742" s="11" t="n">
        <f aca="false">K742+(ROW()/10000000)</f>
        <v>34.0000742</v>
      </c>
    </row>
    <row r="743" customFormat="false" ht="15" hidden="false" customHeight="false" outlineLevel="0" collapsed="false">
      <c r="A743" s="11" t="s">
        <v>983</v>
      </c>
      <c r="B743" s="11" t="s">
        <v>27</v>
      </c>
      <c r="C743" s="11" t="s">
        <v>95</v>
      </c>
      <c r="D743" s="11" t="s">
        <v>37</v>
      </c>
      <c r="E743" s="11" t="s">
        <v>91</v>
      </c>
      <c r="F743" s="11" t="s">
        <v>120</v>
      </c>
      <c r="G743" s="21" t="n">
        <v>53.49</v>
      </c>
      <c r="H743" s="19" t="n">
        <v>21.8</v>
      </c>
      <c r="I743" s="21" t="n">
        <v>41.83</v>
      </c>
      <c r="J743" s="22" t="s">
        <v>80</v>
      </c>
      <c r="K743" s="11" t="n">
        <v>41</v>
      </c>
      <c r="L743" s="23" t="n">
        <v>2.1</v>
      </c>
      <c r="M743" s="24" t="b">
        <f aca="false">FALSE()</f>
        <v>0</v>
      </c>
      <c r="N743" s="11"/>
      <c r="O743" s="11" t="str">
        <f aca="false">IF(K743&lt;=StockP33,"Low",IF(K743&lt;=StockP67,"Moderate","High"))</f>
        <v>High</v>
      </c>
      <c r="P743" s="11" t="str">
        <f aca="false">IF(H743=0,"Low",IF(H743&lt;=MarkdownP75,"Moderate","High"))</f>
        <v>Moderate</v>
      </c>
      <c r="Q743" s="11" t="str">
        <f aca="false">IF(ISBLANK(L743),"Unknown",IF(L743&gt;=4,"Good",IF(L743&lt;=2,"Poor","Neutral")))</f>
        <v>Neutral</v>
      </c>
      <c r="R743" s="11" t="str">
        <f aca="false">IF(AND(O743="Low",P743="Low",Q743="Good"),"BUY / PRIORITIZE",IF(AND(O743="High",P743="High",OR(Q743="Poor",M743=TRUE())),"HOLD / REVIEW","MONITOR"))</f>
        <v>MONITOR</v>
      </c>
      <c r="S743" s="11" t="n">
        <f aca="false">K743+(ROW()/10000000)</f>
        <v>41.0000743</v>
      </c>
    </row>
    <row r="744" customFormat="false" ht="15" hidden="false" customHeight="false" outlineLevel="0" collapsed="false">
      <c r="A744" s="11" t="s">
        <v>984</v>
      </c>
      <c r="B744" s="11" t="s">
        <v>30</v>
      </c>
      <c r="C744" s="11" t="s">
        <v>130</v>
      </c>
      <c r="D744" s="11" t="s">
        <v>35</v>
      </c>
      <c r="E744" s="11" t="s">
        <v>91</v>
      </c>
      <c r="F744" s="11" t="s">
        <v>79</v>
      </c>
      <c r="G744" s="21" t="n">
        <v>113.29</v>
      </c>
      <c r="H744" s="19" t="n">
        <v>34</v>
      </c>
      <c r="I744" s="21" t="n">
        <v>74.77</v>
      </c>
      <c r="J744" s="22" t="s">
        <v>80</v>
      </c>
      <c r="K744" s="11" t="n">
        <v>10</v>
      </c>
      <c r="L744" s="23"/>
      <c r="M744" s="24" t="b">
        <f aca="false">FALSE()</f>
        <v>0</v>
      </c>
      <c r="N744" s="11"/>
      <c r="O744" s="11" t="str">
        <f aca="false">IF(K744&lt;=StockP33,"Low",IF(K744&lt;=StockP67,"Moderate","High"))</f>
        <v>Low</v>
      </c>
      <c r="P744" s="11" t="str">
        <f aca="false">IF(H744=0,"Low",IF(H744&lt;=MarkdownP75,"Moderate","High"))</f>
        <v>High</v>
      </c>
      <c r="Q744" s="11" t="str">
        <f aca="false">IF(ISBLANK(L744),"Unknown",IF(L744&gt;=4,"Good",IF(L744&lt;=2,"Poor","Neutral")))</f>
        <v>Unknown</v>
      </c>
      <c r="R744" s="11" t="str">
        <f aca="false">IF(AND(O744="Low",P744="Low",Q744="Good"),"BUY / PRIORITIZE",IF(AND(O744="High",P744="High",OR(Q744="Poor",M744=TRUE())),"HOLD / REVIEW","MONITOR"))</f>
        <v>MONITOR</v>
      </c>
      <c r="S744" s="11" t="n">
        <f aca="false">K744+(ROW()/10000000)</f>
        <v>10.0000744</v>
      </c>
    </row>
    <row r="745" customFormat="false" ht="15" hidden="false" customHeight="false" outlineLevel="0" collapsed="false">
      <c r="A745" s="11" t="s">
        <v>985</v>
      </c>
      <c r="B745" s="11" t="s">
        <v>30</v>
      </c>
      <c r="C745" s="11" t="s">
        <v>101</v>
      </c>
      <c r="D745" s="11" t="s">
        <v>37</v>
      </c>
      <c r="E745" s="11" t="s">
        <v>78</v>
      </c>
      <c r="F745" s="11" t="s">
        <v>88</v>
      </c>
      <c r="G745" s="21" t="n">
        <v>110.87</v>
      </c>
      <c r="H745" s="19" t="n">
        <v>6</v>
      </c>
      <c r="I745" s="21" t="n">
        <v>104.22</v>
      </c>
      <c r="J745" s="22" t="s">
        <v>80</v>
      </c>
      <c r="K745" s="11" t="n">
        <v>15</v>
      </c>
      <c r="L745" s="23"/>
      <c r="M745" s="24" t="b">
        <f aca="false">FALSE()</f>
        <v>0</v>
      </c>
      <c r="N745" s="11"/>
      <c r="O745" s="11" t="str">
        <f aca="false">IF(K745&lt;=StockP33,"Low",IF(K745&lt;=StockP67,"Moderate","High"))</f>
        <v>Low</v>
      </c>
      <c r="P745" s="11" t="str">
        <f aca="false">IF(H745=0,"Low",IF(H745&lt;=MarkdownP75,"Moderate","High"))</f>
        <v>Moderate</v>
      </c>
      <c r="Q745" s="11" t="str">
        <f aca="false">IF(ISBLANK(L745),"Unknown",IF(L745&gt;=4,"Good",IF(L745&lt;=2,"Poor","Neutral")))</f>
        <v>Unknown</v>
      </c>
      <c r="R745" s="11" t="str">
        <f aca="false">IF(AND(O745="Low",P745="Low",Q745="Good"),"BUY / PRIORITIZE",IF(AND(O745="High",P745="High",OR(Q745="Poor",M745=TRUE())),"HOLD / REVIEW","MONITOR"))</f>
        <v>MONITOR</v>
      </c>
      <c r="S745" s="11" t="n">
        <f aca="false">K745+(ROW()/10000000)</f>
        <v>15.0000745</v>
      </c>
    </row>
    <row r="746" customFormat="false" ht="15" hidden="false" customHeight="false" outlineLevel="0" collapsed="false">
      <c r="A746" s="11" t="s">
        <v>986</v>
      </c>
      <c r="B746" s="11" t="s">
        <v>30</v>
      </c>
      <c r="C746" s="11" t="s">
        <v>107</v>
      </c>
      <c r="D746" s="11" t="s">
        <v>36</v>
      </c>
      <c r="E746" s="11"/>
      <c r="F746" s="11" t="s">
        <v>118</v>
      </c>
      <c r="G746" s="21" t="n">
        <v>94.3</v>
      </c>
      <c r="H746" s="19" t="n">
        <v>0</v>
      </c>
      <c r="I746" s="21" t="n">
        <v>94.3</v>
      </c>
      <c r="J746" s="22" t="s">
        <v>80</v>
      </c>
      <c r="K746" s="11" t="n">
        <v>16</v>
      </c>
      <c r="L746" s="23"/>
      <c r="M746" s="24" t="b">
        <f aca="false">FALSE()</f>
        <v>0</v>
      </c>
      <c r="N746" s="11"/>
      <c r="O746" s="11" t="str">
        <f aca="false">IF(K746&lt;=StockP33,"Low",IF(K746&lt;=StockP67,"Moderate","High"))</f>
        <v>Low</v>
      </c>
      <c r="P746" s="11" t="str">
        <f aca="false">IF(H746=0,"Low",IF(H746&lt;=MarkdownP75,"Moderate","High"))</f>
        <v>Low</v>
      </c>
      <c r="Q746" s="11" t="str">
        <f aca="false">IF(ISBLANK(L746),"Unknown",IF(L746&gt;=4,"Good",IF(L746&lt;=2,"Poor","Neutral")))</f>
        <v>Unknown</v>
      </c>
      <c r="R746" s="11" t="str">
        <f aca="false">IF(AND(O746="Low",P746="Low",Q746="Good"),"BUY / PRIORITIZE",IF(AND(O746="High",P746="High",OR(Q746="Poor",M746=TRUE())),"HOLD / REVIEW","MONITOR"))</f>
        <v>MONITOR</v>
      </c>
      <c r="S746" s="11" t="n">
        <f aca="false">K746+(ROW()/10000000)</f>
        <v>16.0000746</v>
      </c>
    </row>
    <row r="747" customFormat="false" ht="15" hidden="false" customHeight="false" outlineLevel="0" collapsed="false">
      <c r="A747" s="11" t="s">
        <v>987</v>
      </c>
      <c r="B747" s="11" t="s">
        <v>8</v>
      </c>
      <c r="C747" s="11" t="s">
        <v>130</v>
      </c>
      <c r="D747" s="11" t="s">
        <v>34</v>
      </c>
      <c r="E747" s="11"/>
      <c r="F747" s="11" t="s">
        <v>74</v>
      </c>
      <c r="G747" s="21" t="n">
        <v>37.94</v>
      </c>
      <c r="H747" s="19" t="n">
        <v>0</v>
      </c>
      <c r="I747" s="21" t="n">
        <v>37.94</v>
      </c>
      <c r="J747" s="22" t="s">
        <v>577</v>
      </c>
      <c r="K747" s="11" t="n">
        <v>9</v>
      </c>
      <c r="L747" s="23" t="n">
        <v>4.6</v>
      </c>
      <c r="M747" s="24" t="b">
        <f aca="false">FALSE()</f>
        <v>0</v>
      </c>
      <c r="N747" s="11"/>
      <c r="O747" s="11" t="str">
        <f aca="false">IF(K747&lt;=StockP33,"Low",IF(K747&lt;=StockP67,"Moderate","High"))</f>
        <v>Low</v>
      </c>
      <c r="P747" s="11" t="str">
        <f aca="false">IF(H747=0,"Low",IF(H747&lt;=MarkdownP75,"Moderate","High"))</f>
        <v>Low</v>
      </c>
      <c r="Q747" s="11" t="str">
        <f aca="false">IF(ISBLANK(L747),"Unknown",IF(L747&gt;=4,"Good",IF(L747&lt;=2,"Poor","Neutral")))</f>
        <v>Good</v>
      </c>
      <c r="R747" s="11" t="str">
        <f aca="false">IF(AND(O747="Low",P747="Low",Q747="Good"),"BUY / PRIORITIZE",IF(AND(O747="High",P747="High",OR(Q747="Poor",M747=TRUE())),"HOLD / REVIEW","MONITOR"))</f>
        <v>BUY / PRIORITIZE</v>
      </c>
      <c r="S747" s="11" t="n">
        <f aca="false">K747+(ROW()/10000000)</f>
        <v>9.0000747</v>
      </c>
    </row>
    <row r="748" customFormat="false" ht="15" hidden="false" customHeight="false" outlineLevel="0" collapsed="false">
      <c r="A748" s="11" t="s">
        <v>988</v>
      </c>
      <c r="B748" s="11" t="s">
        <v>28</v>
      </c>
      <c r="C748" s="11" t="s">
        <v>107</v>
      </c>
      <c r="D748" s="11" t="s">
        <v>37</v>
      </c>
      <c r="E748" s="11" t="s">
        <v>102</v>
      </c>
      <c r="F748" s="11" t="s">
        <v>92</v>
      </c>
      <c r="G748" s="21" t="n">
        <v>200.24</v>
      </c>
      <c r="H748" s="19" t="n">
        <v>23</v>
      </c>
      <c r="I748" s="21" t="n">
        <v>154.18</v>
      </c>
      <c r="J748" s="22" t="s">
        <v>80</v>
      </c>
      <c r="K748" s="11" t="n">
        <v>38</v>
      </c>
      <c r="L748" s="23"/>
      <c r="M748" s="24" t="b">
        <f aca="false">FALSE()</f>
        <v>0</v>
      </c>
      <c r="N748" s="11"/>
      <c r="O748" s="11" t="str">
        <f aca="false">IF(K748&lt;=StockP33,"Low",IF(K748&lt;=StockP67,"Moderate","High"))</f>
        <v>High</v>
      </c>
      <c r="P748" s="11" t="str">
        <f aca="false">IF(H748=0,"Low",IF(H748&lt;=MarkdownP75,"Moderate","High"))</f>
        <v>High</v>
      </c>
      <c r="Q748" s="11" t="str">
        <f aca="false">IF(ISBLANK(L748),"Unknown",IF(L748&gt;=4,"Good",IF(L748&lt;=2,"Poor","Neutral")))</f>
        <v>Unknown</v>
      </c>
      <c r="R748" s="11" t="str">
        <f aca="false">IF(AND(O748="Low",P748="Low",Q748="Good"),"BUY / PRIORITIZE",IF(AND(O748="High",P748="High",OR(Q748="Poor",M748=TRUE())),"HOLD / REVIEW","MONITOR"))</f>
        <v>MONITOR</v>
      </c>
      <c r="S748" s="11" t="n">
        <f aca="false">K748+(ROW()/10000000)</f>
        <v>38.0000748</v>
      </c>
    </row>
    <row r="749" customFormat="false" ht="15" hidden="false" customHeight="false" outlineLevel="0" collapsed="false">
      <c r="A749" s="11" t="s">
        <v>989</v>
      </c>
      <c r="B749" s="11" t="s">
        <v>8</v>
      </c>
      <c r="C749" s="11" t="s">
        <v>130</v>
      </c>
      <c r="D749" s="11" t="s">
        <v>37</v>
      </c>
      <c r="E749" s="11"/>
      <c r="F749" s="11" t="s">
        <v>120</v>
      </c>
      <c r="G749" s="21" t="n">
        <v>43.45</v>
      </c>
      <c r="H749" s="19" t="n">
        <v>0</v>
      </c>
      <c r="I749" s="21" t="n">
        <v>43.45</v>
      </c>
      <c r="J749" s="22" t="s">
        <v>80</v>
      </c>
      <c r="K749" s="11" t="n">
        <v>50</v>
      </c>
      <c r="L749" s="23" t="n">
        <v>4</v>
      </c>
      <c r="M749" s="24" t="b">
        <f aca="false">FALSE()</f>
        <v>0</v>
      </c>
      <c r="N749" s="11"/>
      <c r="O749" s="11" t="str">
        <f aca="false">IF(K749&lt;=StockP33,"Low",IF(K749&lt;=StockP67,"Moderate","High"))</f>
        <v>High</v>
      </c>
      <c r="P749" s="11" t="str">
        <f aca="false">IF(H749=0,"Low",IF(H749&lt;=MarkdownP75,"Moderate","High"))</f>
        <v>Low</v>
      </c>
      <c r="Q749" s="11" t="str">
        <f aca="false">IF(ISBLANK(L749),"Unknown",IF(L749&gt;=4,"Good",IF(L749&lt;=2,"Poor","Neutral")))</f>
        <v>Good</v>
      </c>
      <c r="R749" s="11" t="str">
        <f aca="false">IF(AND(O749="Low",P749="Low",Q749="Good"),"BUY / PRIORITIZE",IF(AND(O749="High",P749="High",OR(Q749="Poor",M749=TRUE())),"HOLD / REVIEW","MONITOR"))</f>
        <v>MONITOR</v>
      </c>
      <c r="S749" s="11" t="n">
        <f aca="false">K749+(ROW()/10000000)</f>
        <v>50.0000749</v>
      </c>
    </row>
    <row r="750" customFormat="false" ht="15" hidden="false" customHeight="false" outlineLevel="0" collapsed="false">
      <c r="A750" s="11" t="s">
        <v>990</v>
      </c>
      <c r="B750" s="11" t="s">
        <v>26</v>
      </c>
      <c r="C750" s="11" t="s">
        <v>130</v>
      </c>
      <c r="D750" s="11" t="s">
        <v>35</v>
      </c>
      <c r="E750" s="11" t="s">
        <v>78</v>
      </c>
      <c r="F750" s="11" t="s">
        <v>74</v>
      </c>
      <c r="G750" s="21" t="n">
        <v>76.92</v>
      </c>
      <c r="H750" s="19" t="n">
        <v>9.6</v>
      </c>
      <c r="I750" s="21" t="n">
        <v>69.54</v>
      </c>
      <c r="J750" s="22" t="s">
        <v>80</v>
      </c>
      <c r="K750" s="11" t="n">
        <v>20</v>
      </c>
      <c r="L750" s="23" t="n">
        <v>2</v>
      </c>
      <c r="M750" s="24" t="b">
        <f aca="false">FALSE()</f>
        <v>0</v>
      </c>
      <c r="N750" s="11"/>
      <c r="O750" s="11" t="str">
        <f aca="false">IF(K750&lt;=StockP33,"Low",IF(K750&lt;=StockP67,"Moderate","High"))</f>
        <v>Moderate</v>
      </c>
      <c r="P750" s="11" t="str">
        <f aca="false">IF(H750=0,"Low",IF(H750&lt;=MarkdownP75,"Moderate","High"))</f>
        <v>Moderate</v>
      </c>
      <c r="Q750" s="11" t="str">
        <f aca="false">IF(ISBLANK(L750),"Unknown",IF(L750&gt;=4,"Good",IF(L750&lt;=2,"Poor","Neutral")))</f>
        <v>Poor</v>
      </c>
      <c r="R750" s="11" t="str">
        <f aca="false">IF(AND(O750="Low",P750="Low",Q750="Good"),"BUY / PRIORITIZE",IF(AND(O750="High",P750="High",OR(Q750="Poor",M750=TRUE())),"HOLD / REVIEW","MONITOR"))</f>
        <v>MONITOR</v>
      </c>
      <c r="S750" s="11" t="n">
        <f aca="false">K750+(ROW()/10000000)</f>
        <v>20.000075</v>
      </c>
    </row>
    <row r="751" customFormat="false" ht="15" hidden="false" customHeight="false" outlineLevel="0" collapsed="false">
      <c r="A751" s="11" t="s">
        <v>991</v>
      </c>
      <c r="B751" s="11" t="s">
        <v>8</v>
      </c>
      <c r="C751" s="11" t="s">
        <v>130</v>
      </c>
      <c r="D751" s="11" t="s">
        <v>36</v>
      </c>
      <c r="E751" s="11"/>
      <c r="F751" s="11" t="s">
        <v>88</v>
      </c>
      <c r="G751" s="21" t="n">
        <v>21.09</v>
      </c>
      <c r="H751" s="19" t="n">
        <v>0</v>
      </c>
      <c r="I751" s="21" t="n">
        <v>21.09</v>
      </c>
      <c r="J751" s="22" t="s">
        <v>80</v>
      </c>
      <c r="K751" s="11" t="n">
        <v>33</v>
      </c>
      <c r="L751" s="23" t="n">
        <v>4.1</v>
      </c>
      <c r="M751" s="24" t="b">
        <f aca="false">TRUE()</f>
        <v>1</v>
      </c>
      <c r="N751" s="11" t="s">
        <v>128</v>
      </c>
      <c r="O751" s="11" t="str">
        <f aca="false">IF(K751&lt;=StockP33,"Low",IF(K751&lt;=StockP67,"Moderate","High"))</f>
        <v>Moderate</v>
      </c>
      <c r="P751" s="11" t="str">
        <f aca="false">IF(H751=0,"Low",IF(H751&lt;=MarkdownP75,"Moderate","High"))</f>
        <v>Low</v>
      </c>
      <c r="Q751" s="11" t="str">
        <f aca="false">IF(ISBLANK(L751),"Unknown",IF(L751&gt;=4,"Good",IF(L751&lt;=2,"Poor","Neutral")))</f>
        <v>Good</v>
      </c>
      <c r="R751" s="11" t="str">
        <f aca="false">IF(AND(O751="Low",P751="Low",Q751="Good"),"BUY / PRIORITIZE",IF(AND(O751="High",P751="High",OR(Q751="Poor",M751=TRUE())),"HOLD / REVIEW","MONITOR"))</f>
        <v>MONITOR</v>
      </c>
      <c r="S751" s="11" t="n">
        <f aca="false">K751+(ROW()/10000000)</f>
        <v>33.0000751</v>
      </c>
    </row>
    <row r="752" customFormat="false" ht="15" hidden="false" customHeight="false" outlineLevel="0" collapsed="false">
      <c r="A752" s="11" t="s">
        <v>992</v>
      </c>
      <c r="B752" s="11" t="s">
        <v>27</v>
      </c>
      <c r="C752" s="11" t="s">
        <v>86</v>
      </c>
      <c r="D752" s="11" t="s">
        <v>37</v>
      </c>
      <c r="E752" s="11" t="s">
        <v>73</v>
      </c>
      <c r="F752" s="11" t="s">
        <v>98</v>
      </c>
      <c r="G752" s="21" t="n">
        <v>55.47</v>
      </c>
      <c r="H752" s="19" t="n">
        <v>0</v>
      </c>
      <c r="I752" s="21" t="n">
        <v>55.47</v>
      </c>
      <c r="J752" s="22" t="s">
        <v>80</v>
      </c>
      <c r="K752" s="11" t="n">
        <v>18</v>
      </c>
      <c r="L752" s="23"/>
      <c r="M752" s="24" t="b">
        <f aca="false">FALSE()</f>
        <v>0</v>
      </c>
      <c r="N752" s="11"/>
      <c r="O752" s="11" t="str">
        <f aca="false">IF(K752&lt;=StockP33,"Low",IF(K752&lt;=StockP67,"Moderate","High"))</f>
        <v>Moderate</v>
      </c>
      <c r="P752" s="11" t="str">
        <f aca="false">IF(H752=0,"Low",IF(H752&lt;=MarkdownP75,"Moderate","High"))</f>
        <v>Low</v>
      </c>
      <c r="Q752" s="11" t="str">
        <f aca="false">IF(ISBLANK(L752),"Unknown",IF(L752&gt;=4,"Good",IF(L752&lt;=2,"Poor","Neutral")))</f>
        <v>Unknown</v>
      </c>
      <c r="R752" s="11" t="str">
        <f aca="false">IF(AND(O752="Low",P752="Low",Q752="Good"),"BUY / PRIORITIZE",IF(AND(O752="High",P752="High",OR(Q752="Poor",M752=TRUE())),"HOLD / REVIEW","MONITOR"))</f>
        <v>MONITOR</v>
      </c>
      <c r="S752" s="11" t="n">
        <f aca="false">K752+(ROW()/10000000)</f>
        <v>18.0000752</v>
      </c>
    </row>
    <row r="753" customFormat="false" ht="15" hidden="false" customHeight="false" outlineLevel="0" collapsed="false">
      <c r="A753" s="11" t="s">
        <v>993</v>
      </c>
      <c r="B753" s="11" t="s">
        <v>28</v>
      </c>
      <c r="C753" s="11" t="s">
        <v>101</v>
      </c>
      <c r="D753" s="11" t="s">
        <v>34</v>
      </c>
      <c r="E753" s="11" t="s">
        <v>102</v>
      </c>
      <c r="F753" s="11" t="s">
        <v>88</v>
      </c>
      <c r="G753" s="21" t="n">
        <v>122.53</v>
      </c>
      <c r="H753" s="19" t="n">
        <v>0</v>
      </c>
      <c r="I753" s="21" t="n">
        <v>122.53</v>
      </c>
      <c r="J753" s="22" t="s">
        <v>593</v>
      </c>
      <c r="K753" s="11" t="n">
        <v>25</v>
      </c>
      <c r="L753" s="23"/>
      <c r="M753" s="24" t="b">
        <f aca="false">FALSE()</f>
        <v>0</v>
      </c>
      <c r="N753" s="11"/>
      <c r="O753" s="11" t="str">
        <f aca="false">IF(K753&lt;=StockP33,"Low",IF(K753&lt;=StockP67,"Moderate","High"))</f>
        <v>Moderate</v>
      </c>
      <c r="P753" s="11" t="str">
        <f aca="false">IF(H753=0,"Low",IF(H753&lt;=MarkdownP75,"Moderate","High"))</f>
        <v>Low</v>
      </c>
      <c r="Q753" s="11" t="str">
        <f aca="false">IF(ISBLANK(L753),"Unknown",IF(L753&gt;=4,"Good",IF(L753&lt;=2,"Poor","Neutral")))</f>
        <v>Unknown</v>
      </c>
      <c r="R753" s="11" t="str">
        <f aca="false">IF(AND(O753="Low",P753="Low",Q753="Good"),"BUY / PRIORITIZE",IF(AND(O753="High",P753="High",OR(Q753="Poor",M753=TRUE())),"HOLD / REVIEW","MONITOR"))</f>
        <v>MONITOR</v>
      </c>
      <c r="S753" s="11" t="n">
        <f aca="false">K753+(ROW()/10000000)</f>
        <v>25.0000753</v>
      </c>
    </row>
    <row r="754" customFormat="false" ht="15" hidden="false" customHeight="false" outlineLevel="0" collapsed="false">
      <c r="A754" s="11" t="s">
        <v>994</v>
      </c>
      <c r="B754" s="11" t="s">
        <v>8</v>
      </c>
      <c r="C754" s="11" t="s">
        <v>77</v>
      </c>
      <c r="D754" s="11" t="s">
        <v>35</v>
      </c>
      <c r="E754" s="11"/>
      <c r="F754" s="11" t="s">
        <v>111</v>
      </c>
      <c r="G754" s="21" t="n">
        <v>61.13</v>
      </c>
      <c r="H754" s="19" t="n">
        <v>0</v>
      </c>
      <c r="I754" s="21" t="n">
        <v>61.13</v>
      </c>
      <c r="J754" s="22" t="s">
        <v>80</v>
      </c>
      <c r="K754" s="11" t="n">
        <v>34</v>
      </c>
      <c r="L754" s="23" t="n">
        <v>2.6</v>
      </c>
      <c r="M754" s="24" t="b">
        <f aca="false">FALSE()</f>
        <v>0</v>
      </c>
      <c r="N754" s="11"/>
      <c r="O754" s="11" t="str">
        <f aca="false">IF(K754&lt;=StockP33,"Low",IF(K754&lt;=StockP67,"Moderate","High"))</f>
        <v>High</v>
      </c>
      <c r="P754" s="11" t="str">
        <f aca="false">IF(H754=0,"Low",IF(H754&lt;=MarkdownP75,"Moderate","High"))</f>
        <v>Low</v>
      </c>
      <c r="Q754" s="11" t="str">
        <f aca="false">IF(ISBLANK(L754),"Unknown",IF(L754&gt;=4,"Good",IF(L754&lt;=2,"Poor","Neutral")))</f>
        <v>Neutral</v>
      </c>
      <c r="R754" s="11" t="str">
        <f aca="false">IF(AND(O754="Low",P754="Low",Q754="Good"),"BUY / PRIORITIZE",IF(AND(O754="High",P754="High",OR(Q754="Poor",M754=TRUE())),"HOLD / REVIEW","MONITOR"))</f>
        <v>MONITOR</v>
      </c>
      <c r="S754" s="11" t="n">
        <f aca="false">K754+(ROW()/10000000)</f>
        <v>34.0000754</v>
      </c>
    </row>
    <row r="755" customFormat="false" ht="15" hidden="false" customHeight="false" outlineLevel="0" collapsed="false">
      <c r="A755" s="11" t="s">
        <v>995</v>
      </c>
      <c r="B755" s="11" t="s">
        <v>28</v>
      </c>
      <c r="C755" s="11" t="s">
        <v>77</v>
      </c>
      <c r="D755" s="11" t="s">
        <v>34</v>
      </c>
      <c r="E755" s="11" t="s">
        <v>110</v>
      </c>
      <c r="F755" s="11" t="s">
        <v>124</v>
      </c>
      <c r="G755" s="21" t="n">
        <v>127.59</v>
      </c>
      <c r="H755" s="19" t="n">
        <v>0</v>
      </c>
      <c r="I755" s="21" t="n">
        <v>127.59</v>
      </c>
      <c r="J755" s="22" t="s">
        <v>417</v>
      </c>
      <c r="K755" s="11" t="n">
        <v>1</v>
      </c>
      <c r="L755" s="23" t="n">
        <v>4.9</v>
      </c>
      <c r="M755" s="24" t="b">
        <f aca="false">FALSE()</f>
        <v>0</v>
      </c>
      <c r="N755" s="11"/>
      <c r="O755" s="11" t="str">
        <f aca="false">IF(K755&lt;=StockP33,"Low",IF(K755&lt;=StockP67,"Moderate","High"))</f>
        <v>Low</v>
      </c>
      <c r="P755" s="11" t="str">
        <f aca="false">IF(H755=0,"Low",IF(H755&lt;=MarkdownP75,"Moderate","High"))</f>
        <v>Low</v>
      </c>
      <c r="Q755" s="11" t="str">
        <f aca="false">IF(ISBLANK(L755),"Unknown",IF(L755&gt;=4,"Good",IF(L755&lt;=2,"Poor","Neutral")))</f>
        <v>Good</v>
      </c>
      <c r="R755" s="11" t="str">
        <f aca="false">IF(AND(O755="Low",P755="Low",Q755="Good"),"BUY / PRIORITIZE",IF(AND(O755="High",P755="High",OR(Q755="Poor",M755=TRUE())),"HOLD / REVIEW","MONITOR"))</f>
        <v>BUY / PRIORITIZE</v>
      </c>
      <c r="S755" s="11" t="n">
        <f aca="false">K755+(ROW()/10000000)</f>
        <v>1.0000755</v>
      </c>
    </row>
    <row r="756" customFormat="false" ht="15" hidden="false" customHeight="false" outlineLevel="0" collapsed="false">
      <c r="A756" s="11" t="s">
        <v>996</v>
      </c>
      <c r="B756" s="11" t="s">
        <v>8</v>
      </c>
      <c r="C756" s="11" t="s">
        <v>107</v>
      </c>
      <c r="D756" s="11" t="s">
        <v>35</v>
      </c>
      <c r="E756" s="11"/>
      <c r="F756" s="11" t="s">
        <v>118</v>
      </c>
      <c r="G756" s="21" t="n">
        <v>73.04</v>
      </c>
      <c r="H756" s="19" t="n">
        <v>0</v>
      </c>
      <c r="I756" s="21" t="n">
        <v>73.04</v>
      </c>
      <c r="J756" s="22" t="s">
        <v>80</v>
      </c>
      <c r="K756" s="11" t="n">
        <v>44</v>
      </c>
      <c r="L756" s="23" t="n">
        <v>4.2</v>
      </c>
      <c r="M756" s="24" t="b">
        <f aca="false">FALSE()</f>
        <v>0</v>
      </c>
      <c r="N756" s="11"/>
      <c r="O756" s="11" t="str">
        <f aca="false">IF(K756&lt;=StockP33,"Low",IF(K756&lt;=StockP67,"Moderate","High"))</f>
        <v>High</v>
      </c>
      <c r="P756" s="11" t="str">
        <f aca="false">IF(H756=0,"Low",IF(H756&lt;=MarkdownP75,"Moderate","High"))</f>
        <v>Low</v>
      </c>
      <c r="Q756" s="11" t="str">
        <f aca="false">IF(ISBLANK(L756),"Unknown",IF(L756&gt;=4,"Good",IF(L756&lt;=2,"Poor","Neutral")))</f>
        <v>Good</v>
      </c>
      <c r="R756" s="11" t="str">
        <f aca="false">IF(AND(O756="Low",P756="Low",Q756="Good"),"BUY / PRIORITIZE",IF(AND(O756="High",P756="High",OR(Q756="Poor",M756=TRUE())),"HOLD / REVIEW","MONITOR"))</f>
        <v>MONITOR</v>
      </c>
      <c r="S756" s="11" t="n">
        <f aca="false">K756+(ROW()/10000000)</f>
        <v>44.0000756</v>
      </c>
    </row>
    <row r="757" customFormat="false" ht="15" hidden="false" customHeight="false" outlineLevel="0" collapsed="false">
      <c r="A757" s="11" t="s">
        <v>997</v>
      </c>
      <c r="B757" s="11" t="s">
        <v>28</v>
      </c>
      <c r="C757" s="11" t="s">
        <v>77</v>
      </c>
      <c r="D757" s="11" t="s">
        <v>37</v>
      </c>
      <c r="E757" s="11" t="s">
        <v>73</v>
      </c>
      <c r="F757" s="11" t="s">
        <v>111</v>
      </c>
      <c r="G757" s="21" t="n">
        <v>129.46</v>
      </c>
      <c r="H757" s="19" t="n">
        <v>0</v>
      </c>
      <c r="I757" s="21" t="n">
        <v>129.46</v>
      </c>
      <c r="J757" s="22" t="s">
        <v>80</v>
      </c>
      <c r="K757" s="11" t="n">
        <v>32</v>
      </c>
      <c r="L757" s="23" t="n">
        <v>4</v>
      </c>
      <c r="M757" s="24" t="b">
        <f aca="false">FALSE()</f>
        <v>0</v>
      </c>
      <c r="N757" s="11"/>
      <c r="O757" s="11" t="str">
        <f aca="false">IF(K757&lt;=StockP33,"Low",IF(K757&lt;=StockP67,"Moderate","High"))</f>
        <v>Moderate</v>
      </c>
      <c r="P757" s="11" t="str">
        <f aca="false">IF(H757=0,"Low",IF(H757&lt;=MarkdownP75,"Moderate","High"))</f>
        <v>Low</v>
      </c>
      <c r="Q757" s="11" t="str">
        <f aca="false">IF(ISBLANK(L757),"Unknown",IF(L757&gt;=4,"Good",IF(L757&lt;=2,"Poor","Neutral")))</f>
        <v>Good</v>
      </c>
      <c r="R757" s="11" t="str">
        <f aca="false">IF(AND(O757="Low",P757="Low",Q757="Good"),"BUY / PRIORITIZE",IF(AND(O757="High",P757="High",OR(Q757="Poor",M757=TRUE())),"HOLD / REVIEW","MONITOR"))</f>
        <v>MONITOR</v>
      </c>
      <c r="S757" s="11" t="n">
        <f aca="false">K757+(ROW()/10000000)</f>
        <v>32.0000757</v>
      </c>
    </row>
    <row r="758" customFormat="false" ht="15" hidden="false" customHeight="false" outlineLevel="0" collapsed="false">
      <c r="A758" s="11" t="s">
        <v>998</v>
      </c>
      <c r="B758" s="11" t="s">
        <v>8</v>
      </c>
      <c r="C758" s="11" t="s">
        <v>86</v>
      </c>
      <c r="D758" s="11" t="s">
        <v>37</v>
      </c>
      <c r="E758" s="11"/>
      <c r="F758" s="11" t="s">
        <v>88</v>
      </c>
      <c r="G758" s="21" t="n">
        <v>51.3</v>
      </c>
      <c r="H758" s="19" t="n">
        <v>0</v>
      </c>
      <c r="I758" s="21" t="n">
        <v>51.3</v>
      </c>
      <c r="J758" s="22" t="s">
        <v>80</v>
      </c>
      <c r="K758" s="11" t="n">
        <v>33</v>
      </c>
      <c r="L758" s="23"/>
      <c r="M758" s="24" t="b">
        <f aca="false">FALSE()</f>
        <v>0</v>
      </c>
      <c r="N758" s="11"/>
      <c r="O758" s="11" t="str">
        <f aca="false">IF(K758&lt;=StockP33,"Low",IF(K758&lt;=StockP67,"Moderate","High"))</f>
        <v>Moderate</v>
      </c>
      <c r="P758" s="11" t="str">
        <f aca="false">IF(H758=0,"Low",IF(H758&lt;=MarkdownP75,"Moderate","High"))</f>
        <v>Low</v>
      </c>
      <c r="Q758" s="11" t="str">
        <f aca="false">IF(ISBLANK(L758),"Unknown",IF(L758&gt;=4,"Good",IF(L758&lt;=2,"Poor","Neutral")))</f>
        <v>Unknown</v>
      </c>
      <c r="R758" s="11" t="str">
        <f aca="false">IF(AND(O758="Low",P758="Low",Q758="Good"),"BUY / PRIORITIZE",IF(AND(O758="High",P758="High",OR(Q758="Poor",M758=TRUE())),"HOLD / REVIEW","MONITOR"))</f>
        <v>MONITOR</v>
      </c>
      <c r="S758" s="11" t="n">
        <f aca="false">K758+(ROW()/10000000)</f>
        <v>33.0000758</v>
      </c>
    </row>
    <row r="759" customFormat="false" ht="15" hidden="false" customHeight="false" outlineLevel="0" collapsed="false">
      <c r="A759" s="11" t="s">
        <v>999</v>
      </c>
      <c r="B759" s="11" t="s">
        <v>27</v>
      </c>
      <c r="C759" s="11" t="s">
        <v>101</v>
      </c>
      <c r="D759" s="11" t="s">
        <v>34</v>
      </c>
      <c r="E759" s="11" t="s">
        <v>78</v>
      </c>
      <c r="F759" s="11" t="s">
        <v>92</v>
      </c>
      <c r="G759" s="21" t="n">
        <v>173</v>
      </c>
      <c r="H759" s="19" t="n">
        <v>0</v>
      </c>
      <c r="I759" s="21" t="n">
        <v>173</v>
      </c>
      <c r="J759" s="22" t="s">
        <v>270</v>
      </c>
      <c r="K759" s="11" t="n">
        <v>13</v>
      </c>
      <c r="L759" s="23" t="n">
        <v>3.9</v>
      </c>
      <c r="M759" s="24" t="b">
        <f aca="false">FALSE()</f>
        <v>0</v>
      </c>
      <c r="N759" s="11"/>
      <c r="O759" s="11" t="str">
        <f aca="false">IF(K759&lt;=StockP33,"Low",IF(K759&lt;=StockP67,"Moderate","High"))</f>
        <v>Low</v>
      </c>
      <c r="P759" s="11" t="str">
        <f aca="false">IF(H759=0,"Low",IF(H759&lt;=MarkdownP75,"Moderate","High"))</f>
        <v>Low</v>
      </c>
      <c r="Q759" s="11" t="str">
        <f aca="false">IF(ISBLANK(L759),"Unknown",IF(L759&gt;=4,"Good",IF(L759&lt;=2,"Poor","Neutral")))</f>
        <v>Neutral</v>
      </c>
      <c r="R759" s="11" t="str">
        <f aca="false">IF(AND(O759="Low",P759="Low",Q759="Good"),"BUY / PRIORITIZE",IF(AND(O759="High",P759="High",OR(Q759="Poor",M759=TRUE())),"HOLD / REVIEW","MONITOR"))</f>
        <v>MONITOR</v>
      </c>
      <c r="S759" s="11" t="n">
        <f aca="false">K759+(ROW()/10000000)</f>
        <v>13.0000759</v>
      </c>
    </row>
    <row r="760" customFormat="false" ht="15" hidden="false" customHeight="false" outlineLevel="0" collapsed="false">
      <c r="A760" s="11" t="s">
        <v>1000</v>
      </c>
      <c r="B760" s="11" t="s">
        <v>8</v>
      </c>
      <c r="C760" s="11" t="s">
        <v>77</v>
      </c>
      <c r="D760" s="11" t="s">
        <v>35</v>
      </c>
      <c r="E760" s="11"/>
      <c r="F760" s="11" t="s">
        <v>98</v>
      </c>
      <c r="G760" s="21" t="n">
        <v>70.72</v>
      </c>
      <c r="H760" s="19" t="n">
        <v>0</v>
      </c>
      <c r="I760" s="21" t="n">
        <v>70.72</v>
      </c>
      <c r="J760" s="22" t="s">
        <v>80</v>
      </c>
      <c r="K760" s="11" t="n">
        <v>18</v>
      </c>
      <c r="L760" s="23" t="n">
        <v>2.8</v>
      </c>
      <c r="M760" s="24" t="b">
        <f aca="false">FALSE()</f>
        <v>0</v>
      </c>
      <c r="N760" s="11"/>
      <c r="O760" s="11" t="str">
        <f aca="false">IF(K760&lt;=StockP33,"Low",IF(K760&lt;=StockP67,"Moderate","High"))</f>
        <v>Moderate</v>
      </c>
      <c r="P760" s="11" t="str">
        <f aca="false">IF(H760=0,"Low",IF(H760&lt;=MarkdownP75,"Moderate","High"))</f>
        <v>Low</v>
      </c>
      <c r="Q760" s="11" t="str">
        <f aca="false">IF(ISBLANK(L760),"Unknown",IF(L760&gt;=4,"Good",IF(L760&lt;=2,"Poor","Neutral")))</f>
        <v>Neutral</v>
      </c>
      <c r="R760" s="11" t="str">
        <f aca="false">IF(AND(O760="Low",P760="Low",Q760="Good"),"BUY / PRIORITIZE",IF(AND(O760="High",P760="High",OR(Q760="Poor",M760=TRUE())),"HOLD / REVIEW","MONITOR"))</f>
        <v>MONITOR</v>
      </c>
      <c r="S760" s="11" t="n">
        <f aca="false">K760+(ROW()/10000000)</f>
        <v>18.000076</v>
      </c>
    </row>
    <row r="761" customFormat="false" ht="15" hidden="false" customHeight="false" outlineLevel="0" collapsed="false">
      <c r="A761" s="11" t="s">
        <v>1001</v>
      </c>
      <c r="B761" s="11" t="s">
        <v>27</v>
      </c>
      <c r="C761" s="11" t="s">
        <v>130</v>
      </c>
      <c r="D761" s="11" t="s">
        <v>35</v>
      </c>
      <c r="E761" s="11" t="s">
        <v>91</v>
      </c>
      <c r="F761" s="11" t="s">
        <v>82</v>
      </c>
      <c r="G761" s="21" t="n">
        <v>126.37</v>
      </c>
      <c r="H761" s="19" t="n">
        <v>0</v>
      </c>
      <c r="I761" s="21" t="n">
        <v>126.37</v>
      </c>
      <c r="J761" s="22" t="s">
        <v>80</v>
      </c>
      <c r="K761" s="11" t="n">
        <v>42</v>
      </c>
      <c r="L761" s="23" t="n">
        <v>2</v>
      </c>
      <c r="M761" s="24" t="b">
        <f aca="false">FALSE()</f>
        <v>0</v>
      </c>
      <c r="N761" s="11"/>
      <c r="O761" s="11" t="str">
        <f aca="false">IF(K761&lt;=StockP33,"Low",IF(K761&lt;=StockP67,"Moderate","High"))</f>
        <v>High</v>
      </c>
      <c r="P761" s="11" t="str">
        <f aca="false">IF(H761=0,"Low",IF(H761&lt;=MarkdownP75,"Moderate","High"))</f>
        <v>Low</v>
      </c>
      <c r="Q761" s="11" t="str">
        <f aca="false">IF(ISBLANK(L761),"Unknown",IF(L761&gt;=4,"Good",IF(L761&lt;=2,"Poor","Neutral")))</f>
        <v>Poor</v>
      </c>
      <c r="R761" s="11" t="str">
        <f aca="false">IF(AND(O761="Low",P761="Low",Q761="Good"),"BUY / PRIORITIZE",IF(AND(O761="High",P761="High",OR(Q761="Poor",M761=TRUE())),"HOLD / REVIEW","MONITOR"))</f>
        <v>MONITOR</v>
      </c>
      <c r="S761" s="11" t="n">
        <f aca="false">K761+(ROW()/10000000)</f>
        <v>42.0000761</v>
      </c>
    </row>
    <row r="762" customFormat="false" ht="15" hidden="false" customHeight="false" outlineLevel="0" collapsed="false">
      <c r="A762" s="11" t="s">
        <v>1002</v>
      </c>
      <c r="B762" s="11" t="s">
        <v>26</v>
      </c>
      <c r="C762" s="11" t="s">
        <v>72</v>
      </c>
      <c r="D762" s="11" t="s">
        <v>37</v>
      </c>
      <c r="E762" s="11" t="s">
        <v>102</v>
      </c>
      <c r="F762" s="11" t="s">
        <v>96</v>
      </c>
      <c r="G762" s="21" t="n">
        <v>84.19</v>
      </c>
      <c r="H762" s="19" t="n">
        <v>9.6</v>
      </c>
      <c r="I762" s="21" t="n">
        <v>76.11</v>
      </c>
      <c r="J762" s="22" t="s">
        <v>80</v>
      </c>
      <c r="K762" s="11" t="n">
        <v>45</v>
      </c>
      <c r="L762" s="23" t="n">
        <v>2.1</v>
      </c>
      <c r="M762" s="24" t="b">
        <f aca="false">FALSE()</f>
        <v>0</v>
      </c>
      <c r="N762" s="11"/>
      <c r="O762" s="11" t="str">
        <f aca="false">IF(K762&lt;=StockP33,"Low",IF(K762&lt;=StockP67,"Moderate","High"))</f>
        <v>High</v>
      </c>
      <c r="P762" s="11" t="str">
        <f aca="false">IF(H762=0,"Low",IF(H762&lt;=MarkdownP75,"Moderate","High"))</f>
        <v>Moderate</v>
      </c>
      <c r="Q762" s="11" t="str">
        <f aca="false">IF(ISBLANK(L762),"Unknown",IF(L762&gt;=4,"Good",IF(L762&lt;=2,"Poor","Neutral")))</f>
        <v>Neutral</v>
      </c>
      <c r="R762" s="11" t="str">
        <f aca="false">IF(AND(O762="Low",P762="Low",Q762="Good"),"BUY / PRIORITIZE",IF(AND(O762="High",P762="High",OR(Q762="Poor",M762=TRUE())),"HOLD / REVIEW","MONITOR"))</f>
        <v>MONITOR</v>
      </c>
      <c r="S762" s="11" t="n">
        <f aca="false">K762+(ROW()/10000000)</f>
        <v>45.0000762</v>
      </c>
    </row>
    <row r="763" customFormat="false" ht="15" hidden="false" customHeight="false" outlineLevel="0" collapsed="false">
      <c r="A763" s="11" t="s">
        <v>1003</v>
      </c>
      <c r="B763" s="11" t="s">
        <v>8</v>
      </c>
      <c r="C763" s="11" t="s">
        <v>130</v>
      </c>
      <c r="D763" s="11" t="s">
        <v>35</v>
      </c>
      <c r="E763" s="11"/>
      <c r="F763" s="11" t="s">
        <v>79</v>
      </c>
      <c r="G763" s="21" t="n">
        <v>59.39</v>
      </c>
      <c r="H763" s="19" t="n">
        <v>44.6</v>
      </c>
      <c r="I763" s="21" t="n">
        <v>32.9</v>
      </c>
      <c r="J763" s="22" t="s">
        <v>80</v>
      </c>
      <c r="K763" s="11" t="n">
        <v>41</v>
      </c>
      <c r="L763" s="23" t="n">
        <v>2.3</v>
      </c>
      <c r="M763" s="24" t="b">
        <f aca="false">TRUE()</f>
        <v>1</v>
      </c>
      <c r="N763" s="11" t="s">
        <v>89</v>
      </c>
      <c r="O763" s="11" t="str">
        <f aca="false">IF(K763&lt;=StockP33,"Low",IF(K763&lt;=StockP67,"Moderate","High"))</f>
        <v>High</v>
      </c>
      <c r="P763" s="11" t="str">
        <f aca="false">IF(H763=0,"Low",IF(H763&lt;=MarkdownP75,"Moderate","High"))</f>
        <v>High</v>
      </c>
      <c r="Q763" s="11" t="str">
        <f aca="false">IF(ISBLANK(L763),"Unknown",IF(L763&gt;=4,"Good",IF(L763&lt;=2,"Poor","Neutral")))</f>
        <v>Neutral</v>
      </c>
      <c r="R763" s="11" t="str">
        <f aca="false">IF(AND(O763="Low",P763="Low",Q763="Good"),"BUY / PRIORITIZE",IF(AND(O763="High",P763="High",OR(Q763="Poor",M763=TRUE())),"HOLD / REVIEW","MONITOR"))</f>
        <v>HOLD / REVIEW</v>
      </c>
      <c r="S763" s="11" t="n">
        <f aca="false">K763+(ROW()/10000000)</f>
        <v>41.0000763</v>
      </c>
    </row>
    <row r="764" customFormat="false" ht="15" hidden="false" customHeight="false" outlineLevel="0" collapsed="false">
      <c r="A764" s="11" t="s">
        <v>1004</v>
      </c>
      <c r="B764" s="11" t="s">
        <v>28</v>
      </c>
      <c r="C764" s="11" t="s">
        <v>95</v>
      </c>
      <c r="D764" s="11" t="s">
        <v>36</v>
      </c>
      <c r="E764" s="11" t="s">
        <v>113</v>
      </c>
      <c r="F764" s="11" t="s">
        <v>98</v>
      </c>
      <c r="G764" s="21" t="n">
        <v>195.38</v>
      </c>
      <c r="H764" s="19" t="n">
        <v>0.3</v>
      </c>
      <c r="I764" s="21" t="n">
        <v>194.79</v>
      </c>
      <c r="J764" s="22" t="s">
        <v>80</v>
      </c>
      <c r="K764" s="11" t="n">
        <v>30</v>
      </c>
      <c r="L764" s="23" t="n">
        <v>2.9</v>
      </c>
      <c r="M764" s="24" t="b">
        <f aca="false">FALSE()</f>
        <v>0</v>
      </c>
      <c r="N764" s="11"/>
      <c r="O764" s="11" t="str">
        <f aca="false">IF(K764&lt;=StockP33,"Low",IF(K764&lt;=StockP67,"Moderate","High"))</f>
        <v>Moderate</v>
      </c>
      <c r="P764" s="11" t="str">
        <f aca="false">IF(H764=0,"Low",IF(H764&lt;=MarkdownP75,"Moderate","High"))</f>
        <v>Moderate</v>
      </c>
      <c r="Q764" s="11" t="str">
        <f aca="false">IF(ISBLANK(L764),"Unknown",IF(L764&gt;=4,"Good",IF(L764&lt;=2,"Poor","Neutral")))</f>
        <v>Neutral</v>
      </c>
      <c r="R764" s="11" t="str">
        <f aca="false">IF(AND(O764="Low",P764="Low",Q764="Good"),"BUY / PRIORITIZE",IF(AND(O764="High",P764="High",OR(Q764="Poor",M764=TRUE())),"HOLD / REVIEW","MONITOR"))</f>
        <v>MONITOR</v>
      </c>
      <c r="S764" s="11" t="n">
        <f aca="false">K764+(ROW()/10000000)</f>
        <v>30.0000764</v>
      </c>
    </row>
    <row r="765" customFormat="false" ht="15" hidden="false" customHeight="false" outlineLevel="0" collapsed="false">
      <c r="A765" s="11" t="s">
        <v>1005</v>
      </c>
      <c r="B765" s="11" t="s">
        <v>27</v>
      </c>
      <c r="C765" s="11" t="s">
        <v>116</v>
      </c>
      <c r="D765" s="11" t="s">
        <v>34</v>
      </c>
      <c r="E765" s="11" t="s">
        <v>91</v>
      </c>
      <c r="F765" s="11" t="s">
        <v>88</v>
      </c>
      <c r="G765" s="21" t="n">
        <v>107.64</v>
      </c>
      <c r="H765" s="19" t="n">
        <v>7.5</v>
      </c>
      <c r="I765" s="21" t="n">
        <v>99.57</v>
      </c>
      <c r="J765" s="22" t="s">
        <v>952</v>
      </c>
      <c r="K765" s="11" t="n">
        <v>21</v>
      </c>
      <c r="L765" s="23" t="n">
        <v>4.6</v>
      </c>
      <c r="M765" s="24" t="b">
        <f aca="false">FALSE()</f>
        <v>0</v>
      </c>
      <c r="N765" s="11"/>
      <c r="O765" s="11" t="str">
        <f aca="false">IF(K765&lt;=StockP33,"Low",IF(K765&lt;=StockP67,"Moderate","High"))</f>
        <v>Moderate</v>
      </c>
      <c r="P765" s="11" t="str">
        <f aca="false">IF(H765=0,"Low",IF(H765&lt;=MarkdownP75,"Moderate","High"))</f>
        <v>Moderate</v>
      </c>
      <c r="Q765" s="11" t="str">
        <f aca="false">IF(ISBLANK(L765),"Unknown",IF(L765&gt;=4,"Good",IF(L765&lt;=2,"Poor","Neutral")))</f>
        <v>Good</v>
      </c>
      <c r="R765" s="11" t="str">
        <f aca="false">IF(AND(O765="Low",P765="Low",Q765="Good"),"BUY / PRIORITIZE",IF(AND(O765="High",P765="High",OR(Q765="Poor",M765=TRUE())),"HOLD / REVIEW","MONITOR"))</f>
        <v>MONITOR</v>
      </c>
      <c r="S765" s="11" t="n">
        <f aca="false">K765+(ROW()/10000000)</f>
        <v>21.0000765</v>
      </c>
    </row>
    <row r="766" customFormat="false" ht="15" hidden="false" customHeight="false" outlineLevel="0" collapsed="false">
      <c r="A766" s="11" t="s">
        <v>1006</v>
      </c>
      <c r="B766" s="11" t="s">
        <v>29</v>
      </c>
      <c r="C766" s="11" t="s">
        <v>101</v>
      </c>
      <c r="D766" s="11" t="s">
        <v>34</v>
      </c>
      <c r="E766" s="11" t="s">
        <v>78</v>
      </c>
      <c r="F766" s="11" t="s">
        <v>96</v>
      </c>
      <c r="G766" s="21" t="n">
        <v>63.12</v>
      </c>
      <c r="H766" s="19" t="n">
        <v>0</v>
      </c>
      <c r="I766" s="21" t="n">
        <v>63.12</v>
      </c>
      <c r="J766" s="22" t="s">
        <v>231</v>
      </c>
      <c r="K766" s="11" t="n">
        <v>35</v>
      </c>
      <c r="L766" s="23" t="n">
        <v>2.9</v>
      </c>
      <c r="M766" s="24" t="b">
        <f aca="false">FALSE()</f>
        <v>0</v>
      </c>
      <c r="N766" s="11"/>
      <c r="O766" s="11" t="str">
        <f aca="false">IF(K766&lt;=StockP33,"Low",IF(K766&lt;=StockP67,"Moderate","High"))</f>
        <v>High</v>
      </c>
      <c r="P766" s="11" t="str">
        <f aca="false">IF(H766=0,"Low",IF(H766&lt;=MarkdownP75,"Moderate","High"))</f>
        <v>Low</v>
      </c>
      <c r="Q766" s="11" t="str">
        <f aca="false">IF(ISBLANK(L766),"Unknown",IF(L766&gt;=4,"Good",IF(L766&lt;=2,"Poor","Neutral")))</f>
        <v>Neutral</v>
      </c>
      <c r="R766" s="11" t="str">
        <f aca="false">IF(AND(O766="Low",P766="Low",Q766="Good"),"BUY / PRIORITIZE",IF(AND(O766="High",P766="High",OR(Q766="Poor",M766=TRUE())),"HOLD / REVIEW","MONITOR"))</f>
        <v>MONITOR</v>
      </c>
      <c r="S766" s="11" t="n">
        <f aca="false">K766+(ROW()/10000000)</f>
        <v>35.0000766</v>
      </c>
    </row>
    <row r="767" customFormat="false" ht="15" hidden="false" customHeight="false" outlineLevel="0" collapsed="false">
      <c r="A767" s="11" t="s">
        <v>1007</v>
      </c>
      <c r="B767" s="11" t="s">
        <v>26</v>
      </c>
      <c r="C767" s="11" t="s">
        <v>116</v>
      </c>
      <c r="D767" s="11" t="s">
        <v>36</v>
      </c>
      <c r="E767" s="11" t="s">
        <v>78</v>
      </c>
      <c r="F767" s="11" t="s">
        <v>96</v>
      </c>
      <c r="G767" s="21" t="n">
        <v>58.91</v>
      </c>
      <c r="H767" s="19" t="n">
        <v>0</v>
      </c>
      <c r="I767" s="21" t="n">
        <v>58.91</v>
      </c>
      <c r="J767" s="22" t="s">
        <v>80</v>
      </c>
      <c r="K767" s="11" t="n">
        <v>17</v>
      </c>
      <c r="L767" s="23" t="n">
        <v>2</v>
      </c>
      <c r="M767" s="24" t="b">
        <f aca="false">FALSE()</f>
        <v>0</v>
      </c>
      <c r="N767" s="11"/>
      <c r="O767" s="11" t="str">
        <f aca="false">IF(K767&lt;=StockP33,"Low",IF(K767&lt;=StockP67,"Moderate","High"))</f>
        <v>Low</v>
      </c>
      <c r="P767" s="11" t="str">
        <f aca="false">IF(H767=0,"Low",IF(H767&lt;=MarkdownP75,"Moderate","High"))</f>
        <v>Low</v>
      </c>
      <c r="Q767" s="11" t="str">
        <f aca="false">IF(ISBLANK(L767),"Unknown",IF(L767&gt;=4,"Good",IF(L767&lt;=2,"Poor","Neutral")))</f>
        <v>Poor</v>
      </c>
      <c r="R767" s="11" t="str">
        <f aca="false">IF(AND(O767="Low",P767="Low",Q767="Good"),"BUY / PRIORITIZE",IF(AND(O767="High",P767="High",OR(Q767="Poor",M767=TRUE())),"HOLD / REVIEW","MONITOR"))</f>
        <v>MONITOR</v>
      </c>
      <c r="S767" s="11" t="n">
        <f aca="false">K767+(ROW()/10000000)</f>
        <v>17.0000767</v>
      </c>
    </row>
    <row r="768" customFormat="false" ht="15" hidden="false" customHeight="false" outlineLevel="0" collapsed="false">
      <c r="A768" s="11" t="s">
        <v>1008</v>
      </c>
      <c r="B768" s="11" t="s">
        <v>26</v>
      </c>
      <c r="C768" s="11" t="s">
        <v>101</v>
      </c>
      <c r="D768" s="11" t="s">
        <v>35</v>
      </c>
      <c r="E768" s="11" t="s">
        <v>78</v>
      </c>
      <c r="F768" s="11" t="s">
        <v>98</v>
      </c>
      <c r="G768" s="21" t="n">
        <v>93.27</v>
      </c>
      <c r="H768" s="19" t="n">
        <v>0</v>
      </c>
      <c r="I768" s="21" t="n">
        <v>93.27</v>
      </c>
      <c r="J768" s="22" t="s">
        <v>80</v>
      </c>
      <c r="K768" s="11" t="n">
        <v>18</v>
      </c>
      <c r="L768" s="23" t="n">
        <v>3.7</v>
      </c>
      <c r="M768" s="24" t="b">
        <f aca="false">FALSE()</f>
        <v>0</v>
      </c>
      <c r="N768" s="11"/>
      <c r="O768" s="11" t="str">
        <f aca="false">IF(K768&lt;=StockP33,"Low",IF(K768&lt;=StockP67,"Moderate","High"))</f>
        <v>Moderate</v>
      </c>
      <c r="P768" s="11" t="str">
        <f aca="false">IF(H768=0,"Low",IF(H768&lt;=MarkdownP75,"Moderate","High"))</f>
        <v>Low</v>
      </c>
      <c r="Q768" s="11" t="str">
        <f aca="false">IF(ISBLANK(L768),"Unknown",IF(L768&gt;=4,"Good",IF(L768&lt;=2,"Poor","Neutral")))</f>
        <v>Neutral</v>
      </c>
      <c r="R768" s="11" t="str">
        <f aca="false">IF(AND(O768="Low",P768="Low",Q768="Good"),"BUY / PRIORITIZE",IF(AND(O768="High",P768="High",OR(Q768="Poor",M768=TRUE())),"HOLD / REVIEW","MONITOR"))</f>
        <v>MONITOR</v>
      </c>
      <c r="S768" s="11" t="n">
        <f aca="false">K768+(ROW()/10000000)</f>
        <v>18.0000768</v>
      </c>
    </row>
    <row r="769" customFormat="false" ht="15" hidden="false" customHeight="false" outlineLevel="0" collapsed="false">
      <c r="A769" s="11" t="s">
        <v>1009</v>
      </c>
      <c r="B769" s="11" t="s">
        <v>27</v>
      </c>
      <c r="C769" s="11" t="s">
        <v>130</v>
      </c>
      <c r="D769" s="11" t="s">
        <v>34</v>
      </c>
      <c r="E769" s="11" t="s">
        <v>73</v>
      </c>
      <c r="F769" s="11" t="s">
        <v>98</v>
      </c>
      <c r="G769" s="21" t="n">
        <v>147.88</v>
      </c>
      <c r="H769" s="19" t="n">
        <v>36.8</v>
      </c>
      <c r="I769" s="21" t="n">
        <v>93.46</v>
      </c>
      <c r="J769" s="22" t="s">
        <v>1010</v>
      </c>
      <c r="K769" s="11" t="n">
        <v>37</v>
      </c>
      <c r="L769" s="23" t="n">
        <v>3.3</v>
      </c>
      <c r="M769" s="24" t="b">
        <f aca="false">FALSE()</f>
        <v>0</v>
      </c>
      <c r="N769" s="11"/>
      <c r="O769" s="11" t="str">
        <f aca="false">IF(K769&lt;=StockP33,"Low",IF(K769&lt;=StockP67,"Moderate","High"))</f>
        <v>High</v>
      </c>
      <c r="P769" s="11" t="str">
        <f aca="false">IF(H769=0,"Low",IF(H769&lt;=MarkdownP75,"Moderate","High"))</f>
        <v>High</v>
      </c>
      <c r="Q769" s="11" t="str">
        <f aca="false">IF(ISBLANK(L769),"Unknown",IF(L769&gt;=4,"Good",IF(L769&lt;=2,"Poor","Neutral")))</f>
        <v>Neutral</v>
      </c>
      <c r="R769" s="11" t="str">
        <f aca="false">IF(AND(O769="Low",P769="Low",Q769="Good"),"BUY / PRIORITIZE",IF(AND(O769="High",P769="High",OR(Q769="Poor",M769=TRUE())),"HOLD / REVIEW","MONITOR"))</f>
        <v>MONITOR</v>
      </c>
      <c r="S769" s="11" t="n">
        <f aca="false">K769+(ROW()/10000000)</f>
        <v>37.0000769</v>
      </c>
    </row>
    <row r="770" customFormat="false" ht="15" hidden="false" customHeight="false" outlineLevel="0" collapsed="false">
      <c r="A770" s="11" t="s">
        <v>1011</v>
      </c>
      <c r="B770" s="11" t="s">
        <v>30</v>
      </c>
      <c r="C770" s="11" t="s">
        <v>77</v>
      </c>
      <c r="D770" s="11" t="s">
        <v>36</v>
      </c>
      <c r="E770" s="11" t="s">
        <v>78</v>
      </c>
      <c r="F770" s="11" t="s">
        <v>92</v>
      </c>
      <c r="G770" s="21" t="n">
        <v>30.53</v>
      </c>
      <c r="H770" s="19" t="n">
        <v>0</v>
      </c>
      <c r="I770" s="21" t="n">
        <v>30.53</v>
      </c>
      <c r="J770" s="22" t="s">
        <v>80</v>
      </c>
      <c r="K770" s="11" t="n">
        <v>25</v>
      </c>
      <c r="L770" s="23" t="n">
        <v>2.5</v>
      </c>
      <c r="M770" s="24" t="b">
        <f aca="false">FALSE()</f>
        <v>0</v>
      </c>
      <c r="N770" s="11"/>
      <c r="O770" s="11" t="str">
        <f aca="false">IF(K770&lt;=StockP33,"Low",IF(K770&lt;=StockP67,"Moderate","High"))</f>
        <v>Moderate</v>
      </c>
      <c r="P770" s="11" t="str">
        <f aca="false">IF(H770=0,"Low",IF(H770&lt;=MarkdownP75,"Moderate","High"))</f>
        <v>Low</v>
      </c>
      <c r="Q770" s="11" t="str">
        <f aca="false">IF(ISBLANK(L770),"Unknown",IF(L770&gt;=4,"Good",IF(L770&lt;=2,"Poor","Neutral")))</f>
        <v>Neutral</v>
      </c>
      <c r="R770" s="11" t="str">
        <f aca="false">IF(AND(O770="Low",P770="Low",Q770="Good"),"BUY / PRIORITIZE",IF(AND(O770="High",P770="High",OR(Q770="Poor",M770=TRUE())),"HOLD / REVIEW","MONITOR"))</f>
        <v>MONITOR</v>
      </c>
      <c r="S770" s="11" t="n">
        <f aca="false">K770+(ROW()/10000000)</f>
        <v>25.000077</v>
      </c>
    </row>
    <row r="771" customFormat="false" ht="15" hidden="false" customHeight="false" outlineLevel="0" collapsed="false">
      <c r="A771" s="11" t="s">
        <v>1012</v>
      </c>
      <c r="B771" s="11" t="s">
        <v>30</v>
      </c>
      <c r="C771" s="11" t="s">
        <v>72</v>
      </c>
      <c r="D771" s="11" t="s">
        <v>36</v>
      </c>
      <c r="E771" s="11" t="s">
        <v>91</v>
      </c>
      <c r="F771" s="11" t="s">
        <v>88</v>
      </c>
      <c r="G771" s="21" t="n">
        <v>104.96</v>
      </c>
      <c r="H771" s="19" t="n">
        <v>1.6</v>
      </c>
      <c r="I771" s="21" t="n">
        <v>103.28</v>
      </c>
      <c r="J771" s="22" t="s">
        <v>80</v>
      </c>
      <c r="K771" s="11" t="n">
        <v>33</v>
      </c>
      <c r="L771" s="23" t="n">
        <v>2</v>
      </c>
      <c r="M771" s="24" t="b">
        <f aca="false">FALSE()</f>
        <v>0</v>
      </c>
      <c r="N771" s="11"/>
      <c r="O771" s="11" t="str">
        <f aca="false">IF(K771&lt;=StockP33,"Low",IF(K771&lt;=StockP67,"Moderate","High"))</f>
        <v>Moderate</v>
      </c>
      <c r="P771" s="11" t="str">
        <f aca="false">IF(H771=0,"Low",IF(H771&lt;=MarkdownP75,"Moderate","High"))</f>
        <v>Moderate</v>
      </c>
      <c r="Q771" s="11" t="str">
        <f aca="false">IF(ISBLANK(L771),"Unknown",IF(L771&gt;=4,"Good",IF(L771&lt;=2,"Poor","Neutral")))</f>
        <v>Poor</v>
      </c>
      <c r="R771" s="11" t="str">
        <f aca="false">IF(AND(O771="Low",P771="Low",Q771="Good"),"BUY / PRIORITIZE",IF(AND(O771="High",P771="High",OR(Q771="Poor",M771=TRUE())),"HOLD / REVIEW","MONITOR"))</f>
        <v>MONITOR</v>
      </c>
      <c r="S771" s="11" t="n">
        <f aca="false">K771+(ROW()/10000000)</f>
        <v>33.0000771</v>
      </c>
    </row>
    <row r="772" customFormat="false" ht="15" hidden="false" customHeight="false" outlineLevel="0" collapsed="false">
      <c r="A772" s="11" t="s">
        <v>1013</v>
      </c>
      <c r="B772" s="11" t="s">
        <v>27</v>
      </c>
      <c r="C772" s="11" t="s">
        <v>101</v>
      </c>
      <c r="D772" s="11" t="s">
        <v>37</v>
      </c>
      <c r="E772" s="11" t="s">
        <v>110</v>
      </c>
      <c r="F772" s="11" t="s">
        <v>96</v>
      </c>
      <c r="G772" s="21" t="n">
        <v>75.52</v>
      </c>
      <c r="H772" s="19" t="n">
        <v>0</v>
      </c>
      <c r="I772" s="21" t="n">
        <v>75.52</v>
      </c>
      <c r="J772" s="22" t="s">
        <v>80</v>
      </c>
      <c r="K772" s="11" t="n">
        <v>2</v>
      </c>
      <c r="L772" s="23" t="n">
        <v>2.8</v>
      </c>
      <c r="M772" s="24" t="b">
        <f aca="false">FALSE()</f>
        <v>0</v>
      </c>
      <c r="N772" s="11"/>
      <c r="O772" s="11" t="str">
        <f aca="false">IF(K772&lt;=StockP33,"Low",IF(K772&lt;=StockP67,"Moderate","High"))</f>
        <v>Low</v>
      </c>
      <c r="P772" s="11" t="str">
        <f aca="false">IF(H772=0,"Low",IF(H772&lt;=MarkdownP75,"Moderate","High"))</f>
        <v>Low</v>
      </c>
      <c r="Q772" s="11" t="str">
        <f aca="false">IF(ISBLANK(L772),"Unknown",IF(L772&gt;=4,"Good",IF(L772&lt;=2,"Poor","Neutral")))</f>
        <v>Neutral</v>
      </c>
      <c r="R772" s="11" t="str">
        <f aca="false">IF(AND(O772="Low",P772="Low",Q772="Good"),"BUY / PRIORITIZE",IF(AND(O772="High",P772="High",OR(Q772="Poor",M772=TRUE())),"HOLD / REVIEW","MONITOR"))</f>
        <v>MONITOR</v>
      </c>
      <c r="S772" s="11" t="n">
        <f aca="false">K772+(ROW()/10000000)</f>
        <v>2.0000772</v>
      </c>
    </row>
    <row r="773" customFormat="false" ht="15" hidden="false" customHeight="false" outlineLevel="0" collapsed="false">
      <c r="A773" s="11" t="s">
        <v>1014</v>
      </c>
      <c r="B773" s="11" t="s">
        <v>26</v>
      </c>
      <c r="C773" s="11" t="s">
        <v>116</v>
      </c>
      <c r="D773" s="11" t="s">
        <v>37</v>
      </c>
      <c r="E773" s="11" t="s">
        <v>113</v>
      </c>
      <c r="F773" s="11" t="s">
        <v>74</v>
      </c>
      <c r="G773" s="21" t="n">
        <v>54.7</v>
      </c>
      <c r="H773" s="19" t="n">
        <v>0</v>
      </c>
      <c r="I773" s="21" t="n">
        <v>54.7</v>
      </c>
      <c r="J773" s="22" t="s">
        <v>80</v>
      </c>
      <c r="K773" s="11" t="n">
        <v>18</v>
      </c>
      <c r="L773" s="23" t="n">
        <v>4.2</v>
      </c>
      <c r="M773" s="24" t="b">
        <f aca="false">FALSE()</f>
        <v>0</v>
      </c>
      <c r="N773" s="11"/>
      <c r="O773" s="11" t="str">
        <f aca="false">IF(K773&lt;=StockP33,"Low",IF(K773&lt;=StockP67,"Moderate","High"))</f>
        <v>Moderate</v>
      </c>
      <c r="P773" s="11" t="str">
        <f aca="false">IF(H773=0,"Low",IF(H773&lt;=MarkdownP75,"Moderate","High"))</f>
        <v>Low</v>
      </c>
      <c r="Q773" s="11" t="str">
        <f aca="false">IF(ISBLANK(L773),"Unknown",IF(L773&gt;=4,"Good",IF(L773&lt;=2,"Poor","Neutral")))</f>
        <v>Good</v>
      </c>
      <c r="R773" s="11" t="str">
        <f aca="false">IF(AND(O773="Low",P773="Low",Q773="Good"),"BUY / PRIORITIZE",IF(AND(O773="High",P773="High",OR(Q773="Poor",M773=TRUE())),"HOLD / REVIEW","MONITOR"))</f>
        <v>MONITOR</v>
      </c>
      <c r="S773" s="11" t="n">
        <f aca="false">K773+(ROW()/10000000)</f>
        <v>18.0000773</v>
      </c>
    </row>
    <row r="774" customFormat="false" ht="15" hidden="false" customHeight="false" outlineLevel="0" collapsed="false">
      <c r="A774" s="11" t="s">
        <v>1015</v>
      </c>
      <c r="B774" s="11" t="s">
        <v>29</v>
      </c>
      <c r="C774" s="11" t="s">
        <v>107</v>
      </c>
      <c r="D774" s="11" t="s">
        <v>35</v>
      </c>
      <c r="E774" s="11" t="s">
        <v>110</v>
      </c>
      <c r="F774" s="11" t="s">
        <v>82</v>
      </c>
      <c r="G774" s="21" t="n">
        <v>126.25</v>
      </c>
      <c r="H774" s="19" t="n">
        <v>25.9</v>
      </c>
      <c r="I774" s="21" t="n">
        <v>93.55</v>
      </c>
      <c r="J774" s="22" t="s">
        <v>80</v>
      </c>
      <c r="K774" s="11" t="n">
        <v>40</v>
      </c>
      <c r="L774" s="23" t="n">
        <v>1.5</v>
      </c>
      <c r="M774" s="24" t="b">
        <f aca="false">TRUE()</f>
        <v>1</v>
      </c>
      <c r="N774" s="11" t="s">
        <v>128</v>
      </c>
      <c r="O774" s="11" t="str">
        <f aca="false">IF(K774&lt;=StockP33,"Low",IF(K774&lt;=StockP67,"Moderate","High"))</f>
        <v>High</v>
      </c>
      <c r="P774" s="11" t="str">
        <f aca="false">IF(H774=0,"Low",IF(H774&lt;=MarkdownP75,"Moderate","High"))</f>
        <v>High</v>
      </c>
      <c r="Q774" s="11" t="str">
        <f aca="false">IF(ISBLANK(L774),"Unknown",IF(L774&gt;=4,"Good",IF(L774&lt;=2,"Poor","Neutral")))</f>
        <v>Poor</v>
      </c>
      <c r="R774" s="11" t="str">
        <f aca="false">IF(AND(O774="Low",P774="Low",Q774="Good"),"BUY / PRIORITIZE",IF(AND(O774="High",P774="High",OR(Q774="Poor",M774=TRUE())),"HOLD / REVIEW","MONITOR"))</f>
        <v>HOLD / REVIEW</v>
      </c>
      <c r="S774" s="11" t="n">
        <f aca="false">K774+(ROW()/10000000)</f>
        <v>40.0000774</v>
      </c>
    </row>
    <row r="775" customFormat="false" ht="15" hidden="false" customHeight="false" outlineLevel="0" collapsed="false">
      <c r="A775" s="11" t="s">
        <v>1016</v>
      </c>
      <c r="B775" s="11" t="s">
        <v>29</v>
      </c>
      <c r="C775" s="11" t="s">
        <v>86</v>
      </c>
      <c r="D775" s="11" t="s">
        <v>35</v>
      </c>
      <c r="E775" s="11" t="s">
        <v>110</v>
      </c>
      <c r="F775" s="11" t="s">
        <v>96</v>
      </c>
      <c r="G775" s="21" t="n">
        <v>63.86</v>
      </c>
      <c r="H775" s="19" t="n">
        <v>52.8</v>
      </c>
      <c r="I775" s="21" t="n">
        <v>30.14</v>
      </c>
      <c r="J775" s="22" t="s">
        <v>80</v>
      </c>
      <c r="K775" s="11" t="n">
        <v>23</v>
      </c>
      <c r="L775" s="23"/>
      <c r="M775" s="24" t="b">
        <f aca="false">FALSE()</f>
        <v>0</v>
      </c>
      <c r="N775" s="11"/>
      <c r="O775" s="11" t="str">
        <f aca="false">IF(K775&lt;=StockP33,"Low",IF(K775&lt;=StockP67,"Moderate","High"))</f>
        <v>Moderate</v>
      </c>
      <c r="P775" s="11" t="str">
        <f aca="false">IF(H775=0,"Low",IF(H775&lt;=MarkdownP75,"Moderate","High"))</f>
        <v>High</v>
      </c>
      <c r="Q775" s="11" t="str">
        <f aca="false">IF(ISBLANK(L775),"Unknown",IF(L775&gt;=4,"Good",IF(L775&lt;=2,"Poor","Neutral")))</f>
        <v>Unknown</v>
      </c>
      <c r="R775" s="11" t="str">
        <f aca="false">IF(AND(O775="Low",P775="Low",Q775="Good"),"BUY / PRIORITIZE",IF(AND(O775="High",P775="High",OR(Q775="Poor",M775=TRUE())),"HOLD / REVIEW","MONITOR"))</f>
        <v>MONITOR</v>
      </c>
      <c r="S775" s="11" t="n">
        <f aca="false">K775+(ROW()/10000000)</f>
        <v>23.0000775</v>
      </c>
    </row>
    <row r="776" customFormat="false" ht="15" hidden="false" customHeight="false" outlineLevel="0" collapsed="false">
      <c r="A776" s="11" t="s">
        <v>1017</v>
      </c>
      <c r="B776" s="11" t="s">
        <v>8</v>
      </c>
      <c r="C776" s="11" t="s">
        <v>77</v>
      </c>
      <c r="D776" s="11" t="s">
        <v>37</v>
      </c>
      <c r="E776" s="11"/>
      <c r="F776" s="11" t="s">
        <v>74</v>
      </c>
      <c r="G776" s="21" t="n">
        <v>75.93</v>
      </c>
      <c r="H776" s="19" t="n">
        <v>0</v>
      </c>
      <c r="I776" s="21" t="n">
        <v>75.93</v>
      </c>
      <c r="J776" s="22" t="s">
        <v>80</v>
      </c>
      <c r="K776" s="11" t="n">
        <v>32</v>
      </c>
      <c r="L776" s="23" t="n">
        <v>3.1</v>
      </c>
      <c r="M776" s="24" t="b">
        <f aca="false">FALSE()</f>
        <v>0</v>
      </c>
      <c r="N776" s="11"/>
      <c r="O776" s="11" t="str">
        <f aca="false">IF(K776&lt;=StockP33,"Low",IF(K776&lt;=StockP67,"Moderate","High"))</f>
        <v>Moderate</v>
      </c>
      <c r="P776" s="11" t="str">
        <f aca="false">IF(H776=0,"Low",IF(H776&lt;=MarkdownP75,"Moderate","High"))</f>
        <v>Low</v>
      </c>
      <c r="Q776" s="11" t="str">
        <f aca="false">IF(ISBLANK(L776),"Unknown",IF(L776&gt;=4,"Good",IF(L776&lt;=2,"Poor","Neutral")))</f>
        <v>Neutral</v>
      </c>
      <c r="R776" s="11" t="str">
        <f aca="false">IF(AND(O776="Low",P776="Low",Q776="Good"),"BUY / PRIORITIZE",IF(AND(O776="High",P776="High",OR(Q776="Poor",M776=TRUE())),"HOLD / REVIEW","MONITOR"))</f>
        <v>MONITOR</v>
      </c>
      <c r="S776" s="11" t="n">
        <f aca="false">K776+(ROW()/10000000)</f>
        <v>32.0000776</v>
      </c>
    </row>
    <row r="777" customFormat="false" ht="15" hidden="false" customHeight="false" outlineLevel="0" collapsed="false">
      <c r="A777" s="11" t="s">
        <v>1018</v>
      </c>
      <c r="B777" s="11" t="s">
        <v>30</v>
      </c>
      <c r="C777" s="11" t="s">
        <v>72</v>
      </c>
      <c r="D777" s="11" t="s">
        <v>36</v>
      </c>
      <c r="E777" s="11" t="s">
        <v>113</v>
      </c>
      <c r="F777" s="11" t="s">
        <v>124</v>
      </c>
      <c r="G777" s="21" t="n">
        <v>82.51</v>
      </c>
      <c r="H777" s="19" t="n">
        <v>27.3</v>
      </c>
      <c r="I777" s="21" t="n">
        <v>59.98</v>
      </c>
      <c r="J777" s="22" t="s">
        <v>80</v>
      </c>
      <c r="K777" s="11" t="n">
        <v>9</v>
      </c>
      <c r="L777" s="23" t="n">
        <v>3.8</v>
      </c>
      <c r="M777" s="24" t="b">
        <f aca="false">FALSE()</f>
        <v>0</v>
      </c>
      <c r="N777" s="11"/>
      <c r="O777" s="11" t="str">
        <f aca="false">IF(K777&lt;=StockP33,"Low",IF(K777&lt;=StockP67,"Moderate","High"))</f>
        <v>Low</v>
      </c>
      <c r="P777" s="11" t="str">
        <f aca="false">IF(H777=0,"Low",IF(H777&lt;=MarkdownP75,"Moderate","High"))</f>
        <v>High</v>
      </c>
      <c r="Q777" s="11" t="str">
        <f aca="false">IF(ISBLANK(L777),"Unknown",IF(L777&gt;=4,"Good",IF(L777&lt;=2,"Poor","Neutral")))</f>
        <v>Neutral</v>
      </c>
      <c r="R777" s="11" t="str">
        <f aca="false">IF(AND(O777="Low",P777="Low",Q777="Good"),"BUY / PRIORITIZE",IF(AND(O777="High",P777="High",OR(Q777="Poor",M777=TRUE())),"HOLD / REVIEW","MONITOR"))</f>
        <v>MONITOR</v>
      </c>
      <c r="S777" s="11" t="n">
        <f aca="false">K777+(ROW()/10000000)</f>
        <v>9.0000777</v>
      </c>
    </row>
    <row r="778" customFormat="false" ht="15" hidden="false" customHeight="false" outlineLevel="0" collapsed="false">
      <c r="A778" s="11" t="s">
        <v>1019</v>
      </c>
      <c r="B778" s="11" t="s">
        <v>26</v>
      </c>
      <c r="C778" s="11" t="s">
        <v>86</v>
      </c>
      <c r="D778" s="11" t="s">
        <v>36</v>
      </c>
      <c r="E778" s="11" t="s">
        <v>102</v>
      </c>
      <c r="F778" s="11" t="s">
        <v>98</v>
      </c>
      <c r="G778" s="21" t="n">
        <v>46.02</v>
      </c>
      <c r="H778" s="19" t="n">
        <v>0</v>
      </c>
      <c r="I778" s="21" t="n">
        <v>46.02</v>
      </c>
      <c r="J778" s="22" t="s">
        <v>80</v>
      </c>
      <c r="K778" s="11" t="n">
        <v>21</v>
      </c>
      <c r="L778" s="23" t="n">
        <v>1.1</v>
      </c>
      <c r="M778" s="24" t="b">
        <f aca="false">FALSE()</f>
        <v>0</v>
      </c>
      <c r="N778" s="11"/>
      <c r="O778" s="11" t="str">
        <f aca="false">IF(K778&lt;=StockP33,"Low",IF(K778&lt;=StockP67,"Moderate","High"))</f>
        <v>Moderate</v>
      </c>
      <c r="P778" s="11" t="str">
        <f aca="false">IF(H778=0,"Low",IF(H778&lt;=MarkdownP75,"Moderate","High"))</f>
        <v>Low</v>
      </c>
      <c r="Q778" s="11" t="str">
        <f aca="false">IF(ISBLANK(L778),"Unknown",IF(L778&gt;=4,"Good",IF(L778&lt;=2,"Poor","Neutral")))</f>
        <v>Poor</v>
      </c>
      <c r="R778" s="11" t="str">
        <f aca="false">IF(AND(O778="Low",P778="Low",Q778="Good"),"BUY / PRIORITIZE",IF(AND(O778="High",P778="High",OR(Q778="Poor",M778=TRUE())),"HOLD / REVIEW","MONITOR"))</f>
        <v>MONITOR</v>
      </c>
      <c r="S778" s="11" t="n">
        <f aca="false">K778+(ROW()/10000000)</f>
        <v>21.0000778</v>
      </c>
    </row>
    <row r="779" customFormat="false" ht="15" hidden="false" customHeight="false" outlineLevel="0" collapsed="false">
      <c r="A779" s="11" t="s">
        <v>1020</v>
      </c>
      <c r="B779" s="11" t="s">
        <v>27</v>
      </c>
      <c r="C779" s="11" t="s">
        <v>95</v>
      </c>
      <c r="D779" s="11" t="s">
        <v>37</v>
      </c>
      <c r="E779" s="11" t="s">
        <v>102</v>
      </c>
      <c r="F779" s="11" t="s">
        <v>124</v>
      </c>
      <c r="G779" s="21" t="n">
        <v>125.67</v>
      </c>
      <c r="H779" s="19" t="n">
        <v>45.5</v>
      </c>
      <c r="I779" s="21" t="n">
        <v>68.49</v>
      </c>
      <c r="J779" s="22" t="s">
        <v>80</v>
      </c>
      <c r="K779" s="11" t="n">
        <v>27</v>
      </c>
      <c r="L779" s="23" t="n">
        <v>1.6</v>
      </c>
      <c r="M779" s="24" t="b">
        <f aca="false">FALSE()</f>
        <v>0</v>
      </c>
      <c r="N779" s="11"/>
      <c r="O779" s="11" t="str">
        <f aca="false">IF(K779&lt;=StockP33,"Low",IF(K779&lt;=StockP67,"Moderate","High"))</f>
        <v>Moderate</v>
      </c>
      <c r="P779" s="11" t="str">
        <f aca="false">IF(H779=0,"Low",IF(H779&lt;=MarkdownP75,"Moderate","High"))</f>
        <v>High</v>
      </c>
      <c r="Q779" s="11" t="str">
        <f aca="false">IF(ISBLANK(L779),"Unknown",IF(L779&gt;=4,"Good",IF(L779&lt;=2,"Poor","Neutral")))</f>
        <v>Poor</v>
      </c>
      <c r="R779" s="11" t="str">
        <f aca="false">IF(AND(O779="Low",P779="Low",Q779="Good"),"BUY / PRIORITIZE",IF(AND(O779="High",P779="High",OR(Q779="Poor",M779=TRUE())),"HOLD / REVIEW","MONITOR"))</f>
        <v>MONITOR</v>
      </c>
      <c r="S779" s="11" t="n">
        <f aca="false">K779+(ROW()/10000000)</f>
        <v>27.0000779</v>
      </c>
    </row>
    <row r="780" customFormat="false" ht="15" hidden="false" customHeight="false" outlineLevel="0" collapsed="false">
      <c r="A780" s="11" t="s">
        <v>1021</v>
      </c>
      <c r="B780" s="11" t="s">
        <v>29</v>
      </c>
      <c r="C780" s="11" t="s">
        <v>95</v>
      </c>
      <c r="D780" s="11" t="s">
        <v>37</v>
      </c>
      <c r="E780" s="11" t="s">
        <v>91</v>
      </c>
      <c r="F780" s="11" t="s">
        <v>74</v>
      </c>
      <c r="G780" s="21" t="n">
        <v>65.61</v>
      </c>
      <c r="H780" s="19" t="n">
        <v>50.7</v>
      </c>
      <c r="I780" s="21" t="n">
        <v>32.35</v>
      </c>
      <c r="J780" s="22" t="s">
        <v>80</v>
      </c>
      <c r="K780" s="11" t="n">
        <v>23</v>
      </c>
      <c r="L780" s="23" t="n">
        <v>1.1</v>
      </c>
      <c r="M780" s="24" t="b">
        <f aca="false">FALSE()</f>
        <v>0</v>
      </c>
      <c r="N780" s="11"/>
      <c r="O780" s="11" t="str">
        <f aca="false">IF(K780&lt;=StockP33,"Low",IF(K780&lt;=StockP67,"Moderate","High"))</f>
        <v>Moderate</v>
      </c>
      <c r="P780" s="11" t="str">
        <f aca="false">IF(H780=0,"Low",IF(H780&lt;=MarkdownP75,"Moderate","High"))</f>
        <v>High</v>
      </c>
      <c r="Q780" s="11" t="str">
        <f aca="false">IF(ISBLANK(L780),"Unknown",IF(L780&gt;=4,"Good",IF(L780&lt;=2,"Poor","Neutral")))</f>
        <v>Poor</v>
      </c>
      <c r="R780" s="11" t="str">
        <f aca="false">IF(AND(O780="Low",P780="Low",Q780="Good"),"BUY / PRIORITIZE",IF(AND(O780="High",P780="High",OR(Q780="Poor",M780=TRUE())),"HOLD / REVIEW","MONITOR"))</f>
        <v>MONITOR</v>
      </c>
      <c r="S780" s="11" t="n">
        <f aca="false">K780+(ROW()/10000000)</f>
        <v>23.000078</v>
      </c>
    </row>
    <row r="781" customFormat="false" ht="15" hidden="false" customHeight="false" outlineLevel="0" collapsed="false">
      <c r="A781" s="11" t="s">
        <v>1022</v>
      </c>
      <c r="B781" s="11" t="s">
        <v>27</v>
      </c>
      <c r="C781" s="11" t="s">
        <v>86</v>
      </c>
      <c r="D781" s="11" t="s">
        <v>35</v>
      </c>
      <c r="E781" s="11" t="s">
        <v>110</v>
      </c>
      <c r="F781" s="11" t="s">
        <v>111</v>
      </c>
      <c r="G781" s="21" t="n">
        <v>91.61</v>
      </c>
      <c r="H781" s="19" t="n">
        <v>0</v>
      </c>
      <c r="I781" s="21" t="n">
        <v>91.61</v>
      </c>
      <c r="J781" s="22" t="s">
        <v>80</v>
      </c>
      <c r="K781" s="11" t="n">
        <v>31</v>
      </c>
      <c r="L781" s="23" t="n">
        <v>1.4</v>
      </c>
      <c r="M781" s="24" t="b">
        <f aca="false">FALSE()</f>
        <v>0</v>
      </c>
      <c r="N781" s="11"/>
      <c r="O781" s="11" t="str">
        <f aca="false">IF(K781&lt;=StockP33,"Low",IF(K781&lt;=StockP67,"Moderate","High"))</f>
        <v>Moderate</v>
      </c>
      <c r="P781" s="11" t="str">
        <f aca="false">IF(H781=0,"Low",IF(H781&lt;=MarkdownP75,"Moderate","High"))</f>
        <v>Low</v>
      </c>
      <c r="Q781" s="11" t="str">
        <f aca="false">IF(ISBLANK(L781),"Unknown",IF(L781&gt;=4,"Good",IF(L781&lt;=2,"Poor","Neutral")))</f>
        <v>Poor</v>
      </c>
      <c r="R781" s="11" t="str">
        <f aca="false">IF(AND(O781="Low",P781="Low",Q781="Good"),"BUY / PRIORITIZE",IF(AND(O781="High",P781="High",OR(Q781="Poor",M781=TRUE())),"HOLD / REVIEW","MONITOR"))</f>
        <v>MONITOR</v>
      </c>
      <c r="S781" s="11" t="n">
        <f aca="false">K781+(ROW()/10000000)</f>
        <v>31.0000781</v>
      </c>
    </row>
    <row r="782" customFormat="false" ht="15" hidden="false" customHeight="false" outlineLevel="0" collapsed="false">
      <c r="A782" s="11" t="s">
        <v>1023</v>
      </c>
      <c r="B782" s="11" t="s">
        <v>28</v>
      </c>
      <c r="C782" s="11" t="s">
        <v>101</v>
      </c>
      <c r="D782" s="11" t="s">
        <v>35</v>
      </c>
      <c r="E782" s="11" t="s">
        <v>110</v>
      </c>
      <c r="F782" s="11" t="s">
        <v>79</v>
      </c>
      <c r="G782" s="21" t="n">
        <v>162.78</v>
      </c>
      <c r="H782" s="19" t="n">
        <v>0</v>
      </c>
      <c r="I782" s="21" t="n">
        <v>162.78</v>
      </c>
      <c r="J782" s="22" t="s">
        <v>80</v>
      </c>
      <c r="K782" s="11" t="n">
        <v>0</v>
      </c>
      <c r="L782" s="23"/>
      <c r="M782" s="24" t="b">
        <f aca="false">FALSE()</f>
        <v>0</v>
      </c>
      <c r="N782" s="11"/>
      <c r="O782" s="11" t="str">
        <f aca="false">IF(K782&lt;=StockP33,"Low",IF(K782&lt;=StockP67,"Moderate","High"))</f>
        <v>Low</v>
      </c>
      <c r="P782" s="11" t="str">
        <f aca="false">IF(H782=0,"Low",IF(H782&lt;=MarkdownP75,"Moderate","High"))</f>
        <v>Low</v>
      </c>
      <c r="Q782" s="11" t="str">
        <f aca="false">IF(ISBLANK(L782),"Unknown",IF(L782&gt;=4,"Good",IF(L782&lt;=2,"Poor","Neutral")))</f>
        <v>Unknown</v>
      </c>
      <c r="R782" s="11" t="str">
        <f aca="false">IF(AND(O782="Low",P782="Low",Q782="Good"),"BUY / PRIORITIZE",IF(AND(O782="High",P782="High",OR(Q782="Poor",M782=TRUE())),"HOLD / REVIEW","MONITOR"))</f>
        <v>MONITOR</v>
      </c>
      <c r="S782" s="11" t="n">
        <f aca="false">K782+(ROW()/10000000)</f>
        <v>7.82E-005</v>
      </c>
    </row>
    <row r="783" customFormat="false" ht="15" hidden="false" customHeight="false" outlineLevel="0" collapsed="false">
      <c r="A783" s="11" t="s">
        <v>1024</v>
      </c>
      <c r="B783" s="11" t="s">
        <v>28</v>
      </c>
      <c r="C783" s="11" t="s">
        <v>95</v>
      </c>
      <c r="D783" s="11" t="s">
        <v>37</v>
      </c>
      <c r="E783" s="11" t="s">
        <v>113</v>
      </c>
      <c r="F783" s="11" t="s">
        <v>92</v>
      </c>
      <c r="G783" s="21" t="n">
        <v>134.35</v>
      </c>
      <c r="H783" s="19" t="n">
        <v>35.3</v>
      </c>
      <c r="I783" s="21" t="n">
        <v>86.92</v>
      </c>
      <c r="J783" s="22" t="s">
        <v>80</v>
      </c>
      <c r="K783" s="11" t="n">
        <v>36</v>
      </c>
      <c r="L783" s="23"/>
      <c r="M783" s="24" t="b">
        <f aca="false">FALSE()</f>
        <v>0</v>
      </c>
      <c r="N783" s="11"/>
      <c r="O783" s="11" t="str">
        <f aca="false">IF(K783&lt;=StockP33,"Low",IF(K783&lt;=StockP67,"Moderate","High"))</f>
        <v>High</v>
      </c>
      <c r="P783" s="11" t="str">
        <f aca="false">IF(H783=0,"Low",IF(H783&lt;=MarkdownP75,"Moderate","High"))</f>
        <v>High</v>
      </c>
      <c r="Q783" s="11" t="str">
        <f aca="false">IF(ISBLANK(L783),"Unknown",IF(L783&gt;=4,"Good",IF(L783&lt;=2,"Poor","Neutral")))</f>
        <v>Unknown</v>
      </c>
      <c r="R783" s="11" t="str">
        <f aca="false">IF(AND(O783="Low",P783="Low",Q783="Good"),"BUY / PRIORITIZE",IF(AND(O783="High",P783="High",OR(Q783="Poor",M783=TRUE())),"HOLD / REVIEW","MONITOR"))</f>
        <v>MONITOR</v>
      </c>
      <c r="S783" s="11" t="n">
        <f aca="false">K783+(ROW()/10000000)</f>
        <v>36.0000783</v>
      </c>
    </row>
    <row r="784" customFormat="false" ht="15" hidden="false" customHeight="false" outlineLevel="0" collapsed="false">
      <c r="A784" s="11" t="s">
        <v>1025</v>
      </c>
      <c r="B784" s="11" t="s">
        <v>26</v>
      </c>
      <c r="C784" s="11" t="s">
        <v>95</v>
      </c>
      <c r="D784" s="11" t="s">
        <v>34</v>
      </c>
      <c r="E784" s="11"/>
      <c r="F784" s="11" t="s">
        <v>92</v>
      </c>
      <c r="G784" s="21" t="n">
        <v>77.74</v>
      </c>
      <c r="H784" s="19" t="n">
        <v>38.8</v>
      </c>
      <c r="I784" s="21" t="n">
        <v>47.58</v>
      </c>
      <c r="J784" s="22" t="s">
        <v>1026</v>
      </c>
      <c r="K784" s="11" t="n">
        <v>23</v>
      </c>
      <c r="L784" s="23" t="n">
        <v>4.3</v>
      </c>
      <c r="M784" s="24" t="b">
        <f aca="false">FALSE()</f>
        <v>0</v>
      </c>
      <c r="N784" s="11"/>
      <c r="O784" s="11" t="str">
        <f aca="false">IF(K784&lt;=StockP33,"Low",IF(K784&lt;=StockP67,"Moderate","High"))</f>
        <v>Moderate</v>
      </c>
      <c r="P784" s="11" t="str">
        <f aca="false">IF(H784=0,"Low",IF(H784&lt;=MarkdownP75,"Moderate","High"))</f>
        <v>High</v>
      </c>
      <c r="Q784" s="11" t="str">
        <f aca="false">IF(ISBLANK(L784),"Unknown",IF(L784&gt;=4,"Good",IF(L784&lt;=2,"Poor","Neutral")))</f>
        <v>Good</v>
      </c>
      <c r="R784" s="11" t="str">
        <f aca="false">IF(AND(O784="Low",P784="Low",Q784="Good"),"BUY / PRIORITIZE",IF(AND(O784="High",P784="High",OR(Q784="Poor",M784=TRUE())),"HOLD / REVIEW","MONITOR"))</f>
        <v>MONITOR</v>
      </c>
      <c r="S784" s="11" t="n">
        <f aca="false">K784+(ROW()/10000000)</f>
        <v>23.0000784</v>
      </c>
    </row>
    <row r="785" customFormat="false" ht="15" hidden="false" customHeight="false" outlineLevel="0" collapsed="false">
      <c r="A785" s="11" t="s">
        <v>1027</v>
      </c>
      <c r="B785" s="11" t="s">
        <v>8</v>
      </c>
      <c r="C785" s="11" t="s">
        <v>116</v>
      </c>
      <c r="D785" s="11" t="s">
        <v>35</v>
      </c>
      <c r="E785" s="11"/>
      <c r="F785" s="11" t="s">
        <v>124</v>
      </c>
      <c r="G785" s="21" t="n">
        <v>49.33</v>
      </c>
      <c r="H785" s="19" t="n">
        <v>59.9</v>
      </c>
      <c r="I785" s="21" t="n">
        <v>19.78</v>
      </c>
      <c r="J785" s="22" t="s">
        <v>80</v>
      </c>
      <c r="K785" s="11" t="n">
        <v>47</v>
      </c>
      <c r="L785" s="23"/>
      <c r="M785" s="24" t="b">
        <f aca="false">FALSE()</f>
        <v>0</v>
      </c>
      <c r="N785" s="11"/>
      <c r="O785" s="11" t="str">
        <f aca="false">IF(K785&lt;=StockP33,"Low",IF(K785&lt;=StockP67,"Moderate","High"))</f>
        <v>High</v>
      </c>
      <c r="P785" s="11" t="str">
        <f aca="false">IF(H785=0,"Low",IF(H785&lt;=MarkdownP75,"Moderate","High"))</f>
        <v>High</v>
      </c>
      <c r="Q785" s="11" t="str">
        <f aca="false">IF(ISBLANK(L785),"Unknown",IF(L785&gt;=4,"Good",IF(L785&lt;=2,"Poor","Neutral")))</f>
        <v>Unknown</v>
      </c>
      <c r="R785" s="11" t="str">
        <f aca="false">IF(AND(O785="Low",P785="Low",Q785="Good"),"BUY / PRIORITIZE",IF(AND(O785="High",P785="High",OR(Q785="Poor",M785=TRUE())),"HOLD / REVIEW","MONITOR"))</f>
        <v>MONITOR</v>
      </c>
      <c r="S785" s="11" t="n">
        <f aca="false">K785+(ROW()/10000000)</f>
        <v>47.0000785</v>
      </c>
    </row>
    <row r="786" customFormat="false" ht="15" hidden="false" customHeight="false" outlineLevel="0" collapsed="false">
      <c r="A786" s="11" t="s">
        <v>1028</v>
      </c>
      <c r="B786" s="11" t="s">
        <v>28</v>
      </c>
      <c r="C786" s="11" t="s">
        <v>130</v>
      </c>
      <c r="D786" s="11" t="s">
        <v>35</v>
      </c>
      <c r="E786" s="11" t="s">
        <v>91</v>
      </c>
      <c r="F786" s="11" t="s">
        <v>92</v>
      </c>
      <c r="G786" s="21" t="n">
        <v>231.52</v>
      </c>
      <c r="H786" s="19" t="n">
        <v>17.3</v>
      </c>
      <c r="I786" s="21" t="n">
        <v>191.47</v>
      </c>
      <c r="J786" s="22" t="s">
        <v>80</v>
      </c>
      <c r="K786" s="11" t="n">
        <v>49</v>
      </c>
      <c r="L786" s="23" t="n">
        <v>2.1</v>
      </c>
      <c r="M786" s="24" t="b">
        <f aca="false">FALSE()</f>
        <v>0</v>
      </c>
      <c r="N786" s="11"/>
      <c r="O786" s="11" t="str">
        <f aca="false">IF(K786&lt;=StockP33,"Low",IF(K786&lt;=StockP67,"Moderate","High"))</f>
        <v>High</v>
      </c>
      <c r="P786" s="11" t="str">
        <f aca="false">IF(H786=0,"Low",IF(H786&lt;=MarkdownP75,"Moderate","High"))</f>
        <v>Moderate</v>
      </c>
      <c r="Q786" s="11" t="str">
        <f aca="false">IF(ISBLANK(L786),"Unknown",IF(L786&gt;=4,"Good",IF(L786&lt;=2,"Poor","Neutral")))</f>
        <v>Neutral</v>
      </c>
      <c r="R786" s="11" t="str">
        <f aca="false">IF(AND(O786="Low",P786="Low",Q786="Good"),"BUY / PRIORITIZE",IF(AND(O786="High",P786="High",OR(Q786="Poor",M786=TRUE())),"HOLD / REVIEW","MONITOR"))</f>
        <v>MONITOR</v>
      </c>
      <c r="S786" s="11" t="n">
        <f aca="false">K786+(ROW()/10000000)</f>
        <v>49.0000786</v>
      </c>
    </row>
    <row r="787" customFormat="false" ht="15" hidden="false" customHeight="false" outlineLevel="0" collapsed="false">
      <c r="A787" s="11" t="s">
        <v>1029</v>
      </c>
      <c r="B787" s="11" t="s">
        <v>28</v>
      </c>
      <c r="C787" s="11" t="s">
        <v>116</v>
      </c>
      <c r="D787" s="11" t="s">
        <v>37</v>
      </c>
      <c r="E787" s="11" t="s">
        <v>73</v>
      </c>
      <c r="F787" s="11" t="s">
        <v>88</v>
      </c>
      <c r="G787" s="21" t="n">
        <v>140.1</v>
      </c>
      <c r="H787" s="19" t="n">
        <v>0</v>
      </c>
      <c r="I787" s="21" t="n">
        <v>140.1</v>
      </c>
      <c r="J787" s="22" t="s">
        <v>80</v>
      </c>
      <c r="K787" s="11" t="n">
        <v>14</v>
      </c>
      <c r="L787" s="23" t="n">
        <v>3.9</v>
      </c>
      <c r="M787" s="24" t="b">
        <f aca="false">FALSE()</f>
        <v>0</v>
      </c>
      <c r="N787" s="11"/>
      <c r="O787" s="11" t="str">
        <f aca="false">IF(K787&lt;=StockP33,"Low",IF(K787&lt;=StockP67,"Moderate","High"))</f>
        <v>Low</v>
      </c>
      <c r="P787" s="11" t="str">
        <f aca="false">IF(H787=0,"Low",IF(H787&lt;=MarkdownP75,"Moderate","High"))</f>
        <v>Low</v>
      </c>
      <c r="Q787" s="11" t="str">
        <f aca="false">IF(ISBLANK(L787),"Unknown",IF(L787&gt;=4,"Good",IF(L787&lt;=2,"Poor","Neutral")))</f>
        <v>Neutral</v>
      </c>
      <c r="R787" s="11" t="str">
        <f aca="false">IF(AND(O787="Low",P787="Low",Q787="Good"),"BUY / PRIORITIZE",IF(AND(O787="High",P787="High",OR(Q787="Poor",M787=TRUE())),"HOLD / REVIEW","MONITOR"))</f>
        <v>MONITOR</v>
      </c>
      <c r="S787" s="11" t="n">
        <f aca="false">K787+(ROW()/10000000)</f>
        <v>14.0000787</v>
      </c>
    </row>
    <row r="788" customFormat="false" ht="15" hidden="false" customHeight="false" outlineLevel="0" collapsed="false">
      <c r="A788" s="11" t="s">
        <v>1030</v>
      </c>
      <c r="B788" s="11" t="s">
        <v>27</v>
      </c>
      <c r="C788" s="11" t="s">
        <v>107</v>
      </c>
      <c r="D788" s="11" t="s">
        <v>35</v>
      </c>
      <c r="E788" s="11" t="s">
        <v>91</v>
      </c>
      <c r="F788" s="11" t="s">
        <v>79</v>
      </c>
      <c r="G788" s="21" t="n">
        <v>117.38</v>
      </c>
      <c r="H788" s="19" t="n">
        <v>27.8</v>
      </c>
      <c r="I788" s="21" t="n">
        <v>84.75</v>
      </c>
      <c r="J788" s="22" t="s">
        <v>80</v>
      </c>
      <c r="K788" s="11" t="n">
        <v>34</v>
      </c>
      <c r="L788" s="23" t="n">
        <v>2.8</v>
      </c>
      <c r="M788" s="24" t="b">
        <f aca="false">TRUE()</f>
        <v>1</v>
      </c>
      <c r="N788" s="11" t="s">
        <v>140</v>
      </c>
      <c r="O788" s="11" t="str">
        <f aca="false">IF(K788&lt;=StockP33,"Low",IF(K788&lt;=StockP67,"Moderate","High"))</f>
        <v>High</v>
      </c>
      <c r="P788" s="11" t="str">
        <f aca="false">IF(H788=0,"Low",IF(H788&lt;=MarkdownP75,"Moderate","High"))</f>
        <v>High</v>
      </c>
      <c r="Q788" s="11" t="str">
        <f aca="false">IF(ISBLANK(L788),"Unknown",IF(L788&gt;=4,"Good",IF(L788&lt;=2,"Poor","Neutral")))</f>
        <v>Neutral</v>
      </c>
      <c r="R788" s="11" t="str">
        <f aca="false">IF(AND(O788="Low",P788="Low",Q788="Good"),"BUY / PRIORITIZE",IF(AND(O788="High",P788="High",OR(Q788="Poor",M788=TRUE())),"HOLD / REVIEW","MONITOR"))</f>
        <v>HOLD / REVIEW</v>
      </c>
      <c r="S788" s="11" t="n">
        <f aca="false">K788+(ROW()/10000000)</f>
        <v>34.0000788</v>
      </c>
    </row>
    <row r="789" customFormat="false" ht="15" hidden="false" customHeight="false" outlineLevel="0" collapsed="false">
      <c r="A789" s="11" t="s">
        <v>1031</v>
      </c>
      <c r="B789" s="11" t="s">
        <v>30</v>
      </c>
      <c r="C789" s="11" t="s">
        <v>107</v>
      </c>
      <c r="D789" s="11" t="s">
        <v>34</v>
      </c>
      <c r="E789" s="11" t="s">
        <v>91</v>
      </c>
      <c r="F789" s="11" t="s">
        <v>120</v>
      </c>
      <c r="G789" s="21" t="n">
        <v>83.98</v>
      </c>
      <c r="H789" s="19" t="n">
        <v>0</v>
      </c>
      <c r="I789" s="21" t="n">
        <v>83.98</v>
      </c>
      <c r="J789" s="22" t="s">
        <v>1032</v>
      </c>
      <c r="K789" s="11" t="n">
        <v>23</v>
      </c>
      <c r="L789" s="23" t="n">
        <v>1.9</v>
      </c>
      <c r="M789" s="24" t="b">
        <f aca="false">FALSE()</f>
        <v>0</v>
      </c>
      <c r="N789" s="11"/>
      <c r="O789" s="11" t="str">
        <f aca="false">IF(K789&lt;=StockP33,"Low",IF(K789&lt;=StockP67,"Moderate","High"))</f>
        <v>Moderate</v>
      </c>
      <c r="P789" s="11" t="str">
        <f aca="false">IF(H789=0,"Low",IF(H789&lt;=MarkdownP75,"Moderate","High"))</f>
        <v>Low</v>
      </c>
      <c r="Q789" s="11" t="str">
        <f aca="false">IF(ISBLANK(L789),"Unknown",IF(L789&gt;=4,"Good",IF(L789&lt;=2,"Poor","Neutral")))</f>
        <v>Poor</v>
      </c>
      <c r="R789" s="11" t="str">
        <f aca="false">IF(AND(O789="Low",P789="Low",Q789="Good"),"BUY / PRIORITIZE",IF(AND(O789="High",P789="High",OR(Q789="Poor",M789=TRUE())),"HOLD / REVIEW","MONITOR"))</f>
        <v>MONITOR</v>
      </c>
      <c r="S789" s="11" t="n">
        <f aca="false">K789+(ROW()/10000000)</f>
        <v>23.0000789</v>
      </c>
    </row>
    <row r="790" customFormat="false" ht="15" hidden="false" customHeight="false" outlineLevel="0" collapsed="false">
      <c r="A790" s="11" t="s">
        <v>1033</v>
      </c>
      <c r="B790" s="11" t="s">
        <v>27</v>
      </c>
      <c r="C790" s="11" t="s">
        <v>101</v>
      </c>
      <c r="D790" s="11" t="s">
        <v>34</v>
      </c>
      <c r="E790" s="11" t="s">
        <v>73</v>
      </c>
      <c r="F790" s="11" t="s">
        <v>118</v>
      </c>
      <c r="G790" s="21" t="n">
        <v>111.67</v>
      </c>
      <c r="H790" s="19" t="n">
        <v>53.5</v>
      </c>
      <c r="I790" s="21" t="n">
        <v>51.93</v>
      </c>
      <c r="J790" s="22" t="s">
        <v>735</v>
      </c>
      <c r="K790" s="11" t="n">
        <v>19</v>
      </c>
      <c r="L790" s="23"/>
      <c r="M790" s="24" t="b">
        <f aca="false">FALSE()</f>
        <v>0</v>
      </c>
      <c r="N790" s="11"/>
      <c r="O790" s="11" t="str">
        <f aca="false">IF(K790&lt;=StockP33,"Low",IF(K790&lt;=StockP67,"Moderate","High"))</f>
        <v>Moderate</v>
      </c>
      <c r="P790" s="11" t="str">
        <f aca="false">IF(H790=0,"Low",IF(H790&lt;=MarkdownP75,"Moderate","High"))</f>
        <v>High</v>
      </c>
      <c r="Q790" s="11" t="str">
        <f aca="false">IF(ISBLANK(L790),"Unknown",IF(L790&gt;=4,"Good",IF(L790&lt;=2,"Poor","Neutral")))</f>
        <v>Unknown</v>
      </c>
      <c r="R790" s="11" t="str">
        <f aca="false">IF(AND(O790="Low",P790="Low",Q790="Good"),"BUY / PRIORITIZE",IF(AND(O790="High",P790="High",OR(Q790="Poor",M790=TRUE())),"HOLD / REVIEW","MONITOR"))</f>
        <v>MONITOR</v>
      </c>
      <c r="S790" s="11" t="n">
        <f aca="false">K790+(ROW()/10000000)</f>
        <v>19.000079</v>
      </c>
    </row>
    <row r="791" customFormat="false" ht="15" hidden="false" customHeight="false" outlineLevel="0" collapsed="false">
      <c r="A791" s="11" t="s">
        <v>1034</v>
      </c>
      <c r="B791" s="11" t="s">
        <v>26</v>
      </c>
      <c r="C791" s="11" t="s">
        <v>101</v>
      </c>
      <c r="D791" s="11" t="s">
        <v>35</v>
      </c>
      <c r="E791" s="11" t="s">
        <v>91</v>
      </c>
      <c r="F791" s="11" t="s">
        <v>88</v>
      </c>
      <c r="G791" s="21" t="n">
        <v>25.16</v>
      </c>
      <c r="H791" s="19" t="n">
        <v>0</v>
      </c>
      <c r="I791" s="21" t="n">
        <v>25.16</v>
      </c>
      <c r="J791" s="22" t="s">
        <v>80</v>
      </c>
      <c r="K791" s="11" t="n">
        <v>37</v>
      </c>
      <c r="L791" s="23" t="n">
        <v>2.8</v>
      </c>
      <c r="M791" s="24" t="b">
        <f aca="false">FALSE()</f>
        <v>0</v>
      </c>
      <c r="N791" s="11"/>
      <c r="O791" s="11" t="str">
        <f aca="false">IF(K791&lt;=StockP33,"Low",IF(K791&lt;=StockP67,"Moderate","High"))</f>
        <v>High</v>
      </c>
      <c r="P791" s="11" t="str">
        <f aca="false">IF(H791=0,"Low",IF(H791&lt;=MarkdownP75,"Moderate","High"))</f>
        <v>Low</v>
      </c>
      <c r="Q791" s="11" t="str">
        <f aca="false">IF(ISBLANK(L791),"Unknown",IF(L791&gt;=4,"Good",IF(L791&lt;=2,"Poor","Neutral")))</f>
        <v>Neutral</v>
      </c>
      <c r="R791" s="11" t="str">
        <f aca="false">IF(AND(O791="Low",P791="Low",Q791="Good"),"BUY / PRIORITIZE",IF(AND(O791="High",P791="High",OR(Q791="Poor",M791=TRUE())),"HOLD / REVIEW","MONITOR"))</f>
        <v>MONITOR</v>
      </c>
      <c r="S791" s="11" t="n">
        <f aca="false">K791+(ROW()/10000000)</f>
        <v>37.0000791</v>
      </c>
    </row>
    <row r="792" customFormat="false" ht="15" hidden="false" customHeight="false" outlineLevel="0" collapsed="false">
      <c r="A792" s="11" t="s">
        <v>1035</v>
      </c>
      <c r="B792" s="11" t="s">
        <v>28</v>
      </c>
      <c r="C792" s="11" t="s">
        <v>86</v>
      </c>
      <c r="D792" s="11" t="s">
        <v>36</v>
      </c>
      <c r="E792" s="11" t="s">
        <v>73</v>
      </c>
      <c r="F792" s="11" t="s">
        <v>96</v>
      </c>
      <c r="G792" s="21" t="n">
        <v>175.82</v>
      </c>
      <c r="H792" s="19" t="n">
        <v>23</v>
      </c>
      <c r="I792" s="21" t="n">
        <v>135.38</v>
      </c>
      <c r="J792" s="22" t="s">
        <v>80</v>
      </c>
      <c r="K792" s="11" t="n">
        <v>1</v>
      </c>
      <c r="L792" s="23" t="n">
        <v>3.7</v>
      </c>
      <c r="M792" s="24" t="b">
        <f aca="false">FALSE()</f>
        <v>0</v>
      </c>
      <c r="N792" s="11"/>
      <c r="O792" s="11" t="str">
        <f aca="false">IF(K792&lt;=StockP33,"Low",IF(K792&lt;=StockP67,"Moderate","High"))</f>
        <v>Low</v>
      </c>
      <c r="P792" s="11" t="str">
        <f aca="false">IF(H792=0,"Low",IF(H792&lt;=MarkdownP75,"Moderate","High"))</f>
        <v>High</v>
      </c>
      <c r="Q792" s="11" t="str">
        <f aca="false">IF(ISBLANK(L792),"Unknown",IF(L792&gt;=4,"Good",IF(L792&lt;=2,"Poor","Neutral")))</f>
        <v>Neutral</v>
      </c>
      <c r="R792" s="11" t="str">
        <f aca="false">IF(AND(O792="Low",P792="Low",Q792="Good"),"BUY / PRIORITIZE",IF(AND(O792="High",P792="High",OR(Q792="Poor",M792=TRUE())),"HOLD / REVIEW","MONITOR"))</f>
        <v>MONITOR</v>
      </c>
      <c r="S792" s="11" t="n">
        <f aca="false">K792+(ROW()/10000000)</f>
        <v>1.0000792</v>
      </c>
    </row>
    <row r="793" customFormat="false" ht="15" hidden="false" customHeight="false" outlineLevel="0" collapsed="false">
      <c r="A793" s="11" t="s">
        <v>1036</v>
      </c>
      <c r="B793" s="11" t="s">
        <v>30</v>
      </c>
      <c r="C793" s="11" t="s">
        <v>95</v>
      </c>
      <c r="D793" s="11" t="s">
        <v>35</v>
      </c>
      <c r="E793" s="11" t="s">
        <v>110</v>
      </c>
      <c r="F793" s="11" t="s">
        <v>98</v>
      </c>
      <c r="G793" s="21" t="n">
        <v>53.25</v>
      </c>
      <c r="H793" s="19" t="n">
        <v>37.5</v>
      </c>
      <c r="I793" s="21" t="n">
        <v>33.28</v>
      </c>
      <c r="J793" s="22" t="s">
        <v>80</v>
      </c>
      <c r="K793" s="11" t="n">
        <v>33</v>
      </c>
      <c r="L793" s="23" t="n">
        <v>4.3</v>
      </c>
      <c r="M793" s="24" t="b">
        <f aca="false">FALSE()</f>
        <v>0</v>
      </c>
      <c r="N793" s="11"/>
      <c r="O793" s="11" t="str">
        <f aca="false">IF(K793&lt;=StockP33,"Low",IF(K793&lt;=StockP67,"Moderate","High"))</f>
        <v>Moderate</v>
      </c>
      <c r="P793" s="11" t="str">
        <f aca="false">IF(H793=0,"Low",IF(H793&lt;=MarkdownP75,"Moderate","High"))</f>
        <v>High</v>
      </c>
      <c r="Q793" s="11" t="str">
        <f aca="false">IF(ISBLANK(L793),"Unknown",IF(L793&gt;=4,"Good",IF(L793&lt;=2,"Poor","Neutral")))</f>
        <v>Good</v>
      </c>
      <c r="R793" s="11" t="str">
        <f aca="false">IF(AND(O793="Low",P793="Low",Q793="Good"),"BUY / PRIORITIZE",IF(AND(O793="High",P793="High",OR(Q793="Poor",M793=TRUE())),"HOLD / REVIEW","MONITOR"))</f>
        <v>MONITOR</v>
      </c>
      <c r="S793" s="11" t="n">
        <f aca="false">K793+(ROW()/10000000)</f>
        <v>33.0000793</v>
      </c>
    </row>
    <row r="794" customFormat="false" ht="15" hidden="false" customHeight="false" outlineLevel="0" collapsed="false">
      <c r="A794" s="11" t="s">
        <v>1037</v>
      </c>
      <c r="B794" s="11" t="s">
        <v>28</v>
      </c>
      <c r="C794" s="11" t="s">
        <v>86</v>
      </c>
      <c r="D794" s="11" t="s">
        <v>36</v>
      </c>
      <c r="E794" s="11" t="s">
        <v>113</v>
      </c>
      <c r="F794" s="11" t="s">
        <v>120</v>
      </c>
      <c r="G794" s="21" t="n">
        <v>215.19</v>
      </c>
      <c r="H794" s="19" t="n">
        <v>43</v>
      </c>
      <c r="I794" s="21" t="n">
        <v>122.66</v>
      </c>
      <c r="J794" s="22" t="s">
        <v>80</v>
      </c>
      <c r="K794" s="11" t="n">
        <v>48</v>
      </c>
      <c r="L794" s="23" t="n">
        <v>2.5</v>
      </c>
      <c r="M794" s="24" t="b">
        <f aca="false">FALSE()</f>
        <v>0</v>
      </c>
      <c r="N794" s="11"/>
      <c r="O794" s="11" t="str">
        <f aca="false">IF(K794&lt;=StockP33,"Low",IF(K794&lt;=StockP67,"Moderate","High"))</f>
        <v>High</v>
      </c>
      <c r="P794" s="11" t="str">
        <f aca="false">IF(H794=0,"Low",IF(H794&lt;=MarkdownP75,"Moderate","High"))</f>
        <v>High</v>
      </c>
      <c r="Q794" s="11" t="str">
        <f aca="false">IF(ISBLANK(L794),"Unknown",IF(L794&gt;=4,"Good",IF(L794&lt;=2,"Poor","Neutral")))</f>
        <v>Neutral</v>
      </c>
      <c r="R794" s="11" t="str">
        <f aca="false">IF(AND(O794="Low",P794="Low",Q794="Good"),"BUY / PRIORITIZE",IF(AND(O794="High",P794="High",OR(Q794="Poor",M794=TRUE())),"HOLD / REVIEW","MONITOR"))</f>
        <v>MONITOR</v>
      </c>
      <c r="S794" s="11" t="n">
        <f aca="false">K794+(ROW()/10000000)</f>
        <v>48.0000794</v>
      </c>
    </row>
    <row r="795" customFormat="false" ht="15" hidden="false" customHeight="false" outlineLevel="0" collapsed="false">
      <c r="A795" s="11" t="s">
        <v>1038</v>
      </c>
      <c r="B795" s="11" t="s">
        <v>26</v>
      </c>
      <c r="C795" s="11" t="s">
        <v>72</v>
      </c>
      <c r="D795" s="11" t="s">
        <v>35</v>
      </c>
      <c r="E795" s="11" t="s">
        <v>91</v>
      </c>
      <c r="F795" s="11" t="s">
        <v>79</v>
      </c>
      <c r="G795" s="21" t="n">
        <v>78.41</v>
      </c>
      <c r="H795" s="19" t="n">
        <v>20.7</v>
      </c>
      <c r="I795" s="21" t="n">
        <v>62.18</v>
      </c>
      <c r="J795" s="22" t="s">
        <v>80</v>
      </c>
      <c r="K795" s="11" t="n">
        <v>9</v>
      </c>
      <c r="L795" s="23" t="n">
        <v>4.4</v>
      </c>
      <c r="M795" s="24" t="b">
        <f aca="false">FALSE()</f>
        <v>0</v>
      </c>
      <c r="N795" s="11"/>
      <c r="O795" s="11" t="str">
        <f aca="false">IF(K795&lt;=StockP33,"Low",IF(K795&lt;=StockP67,"Moderate","High"))</f>
        <v>Low</v>
      </c>
      <c r="P795" s="11" t="str">
        <f aca="false">IF(H795=0,"Low",IF(H795&lt;=MarkdownP75,"Moderate","High"))</f>
        <v>Moderate</v>
      </c>
      <c r="Q795" s="11" t="str">
        <f aca="false">IF(ISBLANK(L795),"Unknown",IF(L795&gt;=4,"Good",IF(L795&lt;=2,"Poor","Neutral")))</f>
        <v>Good</v>
      </c>
      <c r="R795" s="11" t="str">
        <f aca="false">IF(AND(O795="Low",P795="Low",Q795="Good"),"BUY / PRIORITIZE",IF(AND(O795="High",P795="High",OR(Q795="Poor",M795=TRUE())),"HOLD / REVIEW","MONITOR"))</f>
        <v>MONITOR</v>
      </c>
      <c r="S795" s="11" t="n">
        <f aca="false">K795+(ROW()/10000000)</f>
        <v>9.0000795</v>
      </c>
    </row>
    <row r="796" customFormat="false" ht="15" hidden="false" customHeight="false" outlineLevel="0" collapsed="false">
      <c r="A796" s="11" t="s">
        <v>1039</v>
      </c>
      <c r="B796" s="11" t="s">
        <v>29</v>
      </c>
      <c r="C796" s="11" t="s">
        <v>72</v>
      </c>
      <c r="D796" s="11" t="s">
        <v>35</v>
      </c>
      <c r="E796" s="11" t="s">
        <v>102</v>
      </c>
      <c r="F796" s="11" t="s">
        <v>79</v>
      </c>
      <c r="G796" s="21" t="n">
        <v>173.15</v>
      </c>
      <c r="H796" s="19" t="n">
        <v>0</v>
      </c>
      <c r="I796" s="21" t="n">
        <v>173.15</v>
      </c>
      <c r="J796" s="22" t="s">
        <v>80</v>
      </c>
      <c r="K796" s="11" t="n">
        <v>45</v>
      </c>
      <c r="L796" s="23" t="n">
        <v>2.2</v>
      </c>
      <c r="M796" s="24" t="b">
        <f aca="false">FALSE()</f>
        <v>0</v>
      </c>
      <c r="N796" s="11"/>
      <c r="O796" s="11" t="str">
        <f aca="false">IF(K796&lt;=StockP33,"Low",IF(K796&lt;=StockP67,"Moderate","High"))</f>
        <v>High</v>
      </c>
      <c r="P796" s="11" t="str">
        <f aca="false">IF(H796=0,"Low",IF(H796&lt;=MarkdownP75,"Moderate","High"))</f>
        <v>Low</v>
      </c>
      <c r="Q796" s="11" t="str">
        <f aca="false">IF(ISBLANK(L796),"Unknown",IF(L796&gt;=4,"Good",IF(L796&lt;=2,"Poor","Neutral")))</f>
        <v>Neutral</v>
      </c>
      <c r="R796" s="11" t="str">
        <f aca="false">IF(AND(O796="Low",P796="Low",Q796="Good"),"BUY / PRIORITIZE",IF(AND(O796="High",P796="High",OR(Q796="Poor",M796=TRUE())),"HOLD / REVIEW","MONITOR"))</f>
        <v>MONITOR</v>
      </c>
      <c r="S796" s="11" t="n">
        <f aca="false">K796+(ROW()/10000000)</f>
        <v>45.0000796</v>
      </c>
    </row>
    <row r="797" customFormat="false" ht="15" hidden="false" customHeight="false" outlineLevel="0" collapsed="false">
      <c r="A797" s="11" t="s">
        <v>1040</v>
      </c>
      <c r="B797" s="11" t="s">
        <v>8</v>
      </c>
      <c r="C797" s="11" t="s">
        <v>72</v>
      </c>
      <c r="D797" s="11" t="s">
        <v>36</v>
      </c>
      <c r="E797" s="11"/>
      <c r="F797" s="11" t="s">
        <v>96</v>
      </c>
      <c r="G797" s="21" t="n">
        <v>16.84</v>
      </c>
      <c r="H797" s="19" t="n">
        <v>36.6</v>
      </c>
      <c r="I797" s="21" t="n">
        <v>10.68</v>
      </c>
      <c r="J797" s="22" t="s">
        <v>80</v>
      </c>
      <c r="K797" s="11" t="n">
        <v>34</v>
      </c>
      <c r="L797" s="23" t="n">
        <v>1.7</v>
      </c>
      <c r="M797" s="24" t="b">
        <f aca="false">FALSE()</f>
        <v>0</v>
      </c>
      <c r="N797" s="11"/>
      <c r="O797" s="11" t="str">
        <f aca="false">IF(K797&lt;=StockP33,"Low",IF(K797&lt;=StockP67,"Moderate","High"))</f>
        <v>High</v>
      </c>
      <c r="P797" s="11" t="str">
        <f aca="false">IF(H797=0,"Low",IF(H797&lt;=MarkdownP75,"Moderate","High"))</f>
        <v>High</v>
      </c>
      <c r="Q797" s="11" t="str">
        <f aca="false">IF(ISBLANK(L797),"Unknown",IF(L797&gt;=4,"Good",IF(L797&lt;=2,"Poor","Neutral")))</f>
        <v>Poor</v>
      </c>
      <c r="R797" s="11" t="str">
        <f aca="false">IF(AND(O797="Low",P797="Low",Q797="Good"),"BUY / PRIORITIZE",IF(AND(O797="High",P797="High",OR(Q797="Poor",M797=TRUE())),"HOLD / REVIEW","MONITOR"))</f>
        <v>HOLD / REVIEW</v>
      </c>
      <c r="S797" s="11" t="n">
        <f aca="false">K797+(ROW()/10000000)</f>
        <v>34.0000797</v>
      </c>
    </row>
    <row r="798" customFormat="false" ht="15" hidden="false" customHeight="false" outlineLevel="0" collapsed="false">
      <c r="A798" s="11" t="s">
        <v>1041</v>
      </c>
      <c r="B798" s="11" t="s">
        <v>28</v>
      </c>
      <c r="C798" s="11" t="s">
        <v>130</v>
      </c>
      <c r="D798" s="11" t="s">
        <v>35</v>
      </c>
      <c r="E798" s="11" t="s">
        <v>91</v>
      </c>
      <c r="F798" s="11" t="s">
        <v>120</v>
      </c>
      <c r="G798" s="21" t="n">
        <v>128.6</v>
      </c>
      <c r="H798" s="19" t="n">
        <v>0</v>
      </c>
      <c r="I798" s="21" t="n">
        <v>128.6</v>
      </c>
      <c r="J798" s="22" t="s">
        <v>80</v>
      </c>
      <c r="K798" s="11" t="n">
        <v>11</v>
      </c>
      <c r="L798" s="23" t="n">
        <v>2.3</v>
      </c>
      <c r="M798" s="24" t="b">
        <f aca="false">FALSE()</f>
        <v>0</v>
      </c>
      <c r="N798" s="11"/>
      <c r="O798" s="11" t="str">
        <f aca="false">IF(K798&lt;=StockP33,"Low",IF(K798&lt;=StockP67,"Moderate","High"))</f>
        <v>Low</v>
      </c>
      <c r="P798" s="11" t="str">
        <f aca="false">IF(H798=0,"Low",IF(H798&lt;=MarkdownP75,"Moderate","High"))</f>
        <v>Low</v>
      </c>
      <c r="Q798" s="11" t="str">
        <f aca="false">IF(ISBLANK(L798),"Unknown",IF(L798&gt;=4,"Good",IF(L798&lt;=2,"Poor","Neutral")))</f>
        <v>Neutral</v>
      </c>
      <c r="R798" s="11" t="str">
        <f aca="false">IF(AND(O798="Low",P798="Low",Q798="Good"),"BUY / PRIORITIZE",IF(AND(O798="High",P798="High",OR(Q798="Poor",M798=TRUE())),"HOLD / REVIEW","MONITOR"))</f>
        <v>MONITOR</v>
      </c>
      <c r="S798" s="11" t="n">
        <f aca="false">K798+(ROW()/10000000)</f>
        <v>11.0000798</v>
      </c>
    </row>
    <row r="799" customFormat="false" ht="15" hidden="false" customHeight="false" outlineLevel="0" collapsed="false">
      <c r="A799" s="11" t="s">
        <v>1042</v>
      </c>
      <c r="B799" s="11" t="s">
        <v>28</v>
      </c>
      <c r="C799" s="11" t="s">
        <v>107</v>
      </c>
      <c r="D799" s="11" t="s">
        <v>34</v>
      </c>
      <c r="E799" s="11" t="s">
        <v>102</v>
      </c>
      <c r="F799" s="11" t="s">
        <v>98</v>
      </c>
      <c r="G799" s="21" t="n">
        <v>131.74</v>
      </c>
      <c r="H799" s="19" t="n">
        <v>0</v>
      </c>
      <c r="I799" s="21" t="n">
        <v>131.74</v>
      </c>
      <c r="J799" s="22" t="s">
        <v>200</v>
      </c>
      <c r="K799" s="11" t="n">
        <v>46</v>
      </c>
      <c r="L799" s="23" t="n">
        <v>4.6</v>
      </c>
      <c r="M799" s="24" t="b">
        <f aca="false">FALSE()</f>
        <v>0</v>
      </c>
      <c r="N799" s="11"/>
      <c r="O799" s="11" t="str">
        <f aca="false">IF(K799&lt;=StockP33,"Low",IF(K799&lt;=StockP67,"Moderate","High"))</f>
        <v>High</v>
      </c>
      <c r="P799" s="11" t="str">
        <f aca="false">IF(H799=0,"Low",IF(H799&lt;=MarkdownP75,"Moderate","High"))</f>
        <v>Low</v>
      </c>
      <c r="Q799" s="11" t="str">
        <f aca="false">IF(ISBLANK(L799),"Unknown",IF(L799&gt;=4,"Good",IF(L799&lt;=2,"Poor","Neutral")))</f>
        <v>Good</v>
      </c>
      <c r="R799" s="11" t="str">
        <f aca="false">IF(AND(O799="Low",P799="Low",Q799="Good"),"BUY / PRIORITIZE",IF(AND(O799="High",P799="High",OR(Q799="Poor",M799=TRUE())),"HOLD / REVIEW","MONITOR"))</f>
        <v>MONITOR</v>
      </c>
      <c r="S799" s="11" t="n">
        <f aca="false">K799+(ROW()/10000000)</f>
        <v>46.0000799</v>
      </c>
    </row>
    <row r="800" customFormat="false" ht="15" hidden="false" customHeight="false" outlineLevel="0" collapsed="false">
      <c r="A800" s="11" t="s">
        <v>1043</v>
      </c>
      <c r="B800" s="11" t="s">
        <v>26</v>
      </c>
      <c r="C800" s="11" t="s">
        <v>130</v>
      </c>
      <c r="D800" s="11" t="s">
        <v>35</v>
      </c>
      <c r="E800" s="11" t="s">
        <v>102</v>
      </c>
      <c r="F800" s="11" t="s">
        <v>88</v>
      </c>
      <c r="G800" s="21" t="n">
        <v>28.15</v>
      </c>
      <c r="H800" s="19" t="n">
        <v>12.7</v>
      </c>
      <c r="I800" s="21" t="n">
        <v>24.57</v>
      </c>
      <c r="J800" s="22" t="s">
        <v>80</v>
      </c>
      <c r="K800" s="11" t="n">
        <v>13</v>
      </c>
      <c r="L800" s="23" t="n">
        <v>3.9</v>
      </c>
      <c r="M800" s="24" t="b">
        <f aca="false">FALSE()</f>
        <v>0</v>
      </c>
      <c r="N800" s="11"/>
      <c r="O800" s="11" t="str">
        <f aca="false">IF(K800&lt;=StockP33,"Low",IF(K800&lt;=StockP67,"Moderate","High"))</f>
        <v>Low</v>
      </c>
      <c r="P800" s="11" t="str">
        <f aca="false">IF(H800=0,"Low",IF(H800&lt;=MarkdownP75,"Moderate","High"))</f>
        <v>Moderate</v>
      </c>
      <c r="Q800" s="11" t="str">
        <f aca="false">IF(ISBLANK(L800),"Unknown",IF(L800&gt;=4,"Good",IF(L800&lt;=2,"Poor","Neutral")))</f>
        <v>Neutral</v>
      </c>
      <c r="R800" s="11" t="str">
        <f aca="false">IF(AND(O800="Low",P800="Low",Q800="Good"),"BUY / PRIORITIZE",IF(AND(O800="High",P800="High",OR(Q800="Poor",M800=TRUE())),"HOLD / REVIEW","MONITOR"))</f>
        <v>MONITOR</v>
      </c>
      <c r="S800" s="11" t="n">
        <f aca="false">K800+(ROW()/10000000)</f>
        <v>13.00008</v>
      </c>
    </row>
    <row r="801" customFormat="false" ht="15" hidden="false" customHeight="false" outlineLevel="0" collapsed="false">
      <c r="A801" s="11" t="s">
        <v>1044</v>
      </c>
      <c r="B801" s="11" t="s">
        <v>28</v>
      </c>
      <c r="C801" s="11" t="s">
        <v>130</v>
      </c>
      <c r="D801" s="11" t="s">
        <v>37</v>
      </c>
      <c r="E801" s="11" t="s">
        <v>73</v>
      </c>
      <c r="F801" s="11" t="s">
        <v>74</v>
      </c>
      <c r="G801" s="21" t="n">
        <v>165.1</v>
      </c>
      <c r="H801" s="19" t="n">
        <v>58.4</v>
      </c>
      <c r="I801" s="21" t="n">
        <v>68.68</v>
      </c>
      <c r="J801" s="22" t="s">
        <v>80</v>
      </c>
      <c r="K801" s="11" t="n">
        <v>29</v>
      </c>
      <c r="L801" s="23" t="n">
        <v>1.2</v>
      </c>
      <c r="M801" s="24" t="b">
        <f aca="false">FALSE()</f>
        <v>0</v>
      </c>
      <c r="N801" s="11"/>
      <c r="O801" s="11" t="str">
        <f aca="false">IF(K801&lt;=StockP33,"Low",IF(K801&lt;=StockP67,"Moderate","High"))</f>
        <v>Moderate</v>
      </c>
      <c r="P801" s="11" t="str">
        <f aca="false">IF(H801=0,"Low",IF(H801&lt;=MarkdownP75,"Moderate","High"))</f>
        <v>High</v>
      </c>
      <c r="Q801" s="11" t="str">
        <f aca="false">IF(ISBLANK(L801),"Unknown",IF(L801&gt;=4,"Good",IF(L801&lt;=2,"Poor","Neutral")))</f>
        <v>Poor</v>
      </c>
      <c r="R801" s="11" t="str">
        <f aca="false">IF(AND(O801="Low",P801="Low",Q801="Good"),"BUY / PRIORITIZE",IF(AND(O801="High",P801="High",OR(Q801="Poor",M801=TRUE())),"HOLD / REVIEW","MONITOR"))</f>
        <v>MONITOR</v>
      </c>
      <c r="S801" s="11" t="n">
        <f aca="false">K801+(ROW()/10000000)</f>
        <v>29.0000801</v>
      </c>
    </row>
    <row r="802" customFormat="false" ht="15" hidden="false" customHeight="false" outlineLevel="0" collapsed="false">
      <c r="A802" s="11" t="s">
        <v>1045</v>
      </c>
      <c r="B802" s="11" t="s">
        <v>30</v>
      </c>
      <c r="C802" s="11" t="s">
        <v>95</v>
      </c>
      <c r="D802" s="11" t="s">
        <v>34</v>
      </c>
      <c r="E802" s="11" t="s">
        <v>73</v>
      </c>
      <c r="F802" s="11" t="s">
        <v>92</v>
      </c>
      <c r="G802" s="21" t="n">
        <v>49.62</v>
      </c>
      <c r="H802" s="19" t="n">
        <v>0.8</v>
      </c>
      <c r="I802" s="21" t="n">
        <v>49.22</v>
      </c>
      <c r="J802" s="22" t="s">
        <v>1046</v>
      </c>
      <c r="K802" s="11" t="n">
        <v>22</v>
      </c>
      <c r="L802" s="23" t="n">
        <v>2.3</v>
      </c>
      <c r="M802" s="24" t="b">
        <f aca="false">FALSE()</f>
        <v>0</v>
      </c>
      <c r="N802" s="11"/>
      <c r="O802" s="11" t="str">
        <f aca="false">IF(K802&lt;=StockP33,"Low",IF(K802&lt;=StockP67,"Moderate","High"))</f>
        <v>Moderate</v>
      </c>
      <c r="P802" s="11" t="str">
        <f aca="false">IF(H802=0,"Low",IF(H802&lt;=MarkdownP75,"Moderate","High"))</f>
        <v>Moderate</v>
      </c>
      <c r="Q802" s="11" t="str">
        <f aca="false">IF(ISBLANK(L802),"Unknown",IF(L802&gt;=4,"Good",IF(L802&lt;=2,"Poor","Neutral")))</f>
        <v>Neutral</v>
      </c>
      <c r="R802" s="11" t="str">
        <f aca="false">IF(AND(O802="Low",P802="Low",Q802="Good"),"BUY / PRIORITIZE",IF(AND(O802="High",P802="High",OR(Q802="Poor",M802=TRUE())),"HOLD / REVIEW","MONITOR"))</f>
        <v>MONITOR</v>
      </c>
      <c r="S802" s="11" t="n">
        <f aca="false">K802+(ROW()/10000000)</f>
        <v>22.0000802</v>
      </c>
    </row>
    <row r="803" customFormat="false" ht="15" hidden="false" customHeight="false" outlineLevel="0" collapsed="false">
      <c r="A803" s="11" t="s">
        <v>1047</v>
      </c>
      <c r="B803" s="11" t="s">
        <v>30</v>
      </c>
      <c r="C803" s="11" t="s">
        <v>86</v>
      </c>
      <c r="D803" s="11" t="s">
        <v>36</v>
      </c>
      <c r="E803" s="11" t="s">
        <v>73</v>
      </c>
      <c r="F803" s="11" t="s">
        <v>82</v>
      </c>
      <c r="G803" s="21" t="n">
        <v>98.52</v>
      </c>
      <c r="H803" s="19" t="n">
        <v>18.9</v>
      </c>
      <c r="I803" s="21" t="n">
        <v>79.9</v>
      </c>
      <c r="J803" s="22" t="s">
        <v>80</v>
      </c>
      <c r="K803" s="11" t="n">
        <v>37</v>
      </c>
      <c r="L803" s="23" t="n">
        <v>4.1</v>
      </c>
      <c r="M803" s="24" t="b">
        <f aca="false">TRUE()</f>
        <v>1</v>
      </c>
      <c r="N803" s="11" t="s">
        <v>191</v>
      </c>
      <c r="O803" s="11" t="str">
        <f aca="false">IF(K803&lt;=StockP33,"Low",IF(K803&lt;=StockP67,"Moderate","High"))</f>
        <v>High</v>
      </c>
      <c r="P803" s="11" t="str">
        <f aca="false">IF(H803=0,"Low",IF(H803&lt;=MarkdownP75,"Moderate","High"))</f>
        <v>Moderate</v>
      </c>
      <c r="Q803" s="11" t="str">
        <f aca="false">IF(ISBLANK(L803),"Unknown",IF(L803&gt;=4,"Good",IF(L803&lt;=2,"Poor","Neutral")))</f>
        <v>Good</v>
      </c>
      <c r="R803" s="11" t="str">
        <f aca="false">IF(AND(O803="Low",P803="Low",Q803="Good"),"BUY / PRIORITIZE",IF(AND(O803="High",P803="High",OR(Q803="Poor",M803=TRUE())),"HOLD / REVIEW","MONITOR"))</f>
        <v>MONITOR</v>
      </c>
      <c r="S803" s="11" t="n">
        <f aca="false">K803+(ROW()/10000000)</f>
        <v>37.0000803</v>
      </c>
    </row>
    <row r="804" customFormat="false" ht="15" hidden="false" customHeight="false" outlineLevel="0" collapsed="false">
      <c r="A804" s="11" t="s">
        <v>1048</v>
      </c>
      <c r="B804" s="11" t="s">
        <v>29</v>
      </c>
      <c r="C804" s="11" t="s">
        <v>95</v>
      </c>
      <c r="D804" s="11" t="s">
        <v>36</v>
      </c>
      <c r="E804" s="11" t="s">
        <v>91</v>
      </c>
      <c r="F804" s="11" t="s">
        <v>98</v>
      </c>
      <c r="G804" s="21" t="n">
        <v>94.19</v>
      </c>
      <c r="H804" s="19" t="n">
        <v>30.8</v>
      </c>
      <c r="I804" s="21" t="n">
        <v>65.18</v>
      </c>
      <c r="J804" s="22" t="s">
        <v>80</v>
      </c>
      <c r="K804" s="11" t="n">
        <v>31</v>
      </c>
      <c r="L804" s="23" t="n">
        <v>1.4</v>
      </c>
      <c r="M804" s="24" t="b">
        <f aca="false">FALSE()</f>
        <v>0</v>
      </c>
      <c r="N804" s="11"/>
      <c r="O804" s="11" t="str">
        <f aca="false">IF(K804&lt;=StockP33,"Low",IF(K804&lt;=StockP67,"Moderate","High"))</f>
        <v>Moderate</v>
      </c>
      <c r="P804" s="11" t="str">
        <f aca="false">IF(H804=0,"Low",IF(H804&lt;=MarkdownP75,"Moderate","High"))</f>
        <v>High</v>
      </c>
      <c r="Q804" s="11" t="str">
        <f aca="false">IF(ISBLANK(L804),"Unknown",IF(L804&gt;=4,"Good",IF(L804&lt;=2,"Poor","Neutral")))</f>
        <v>Poor</v>
      </c>
      <c r="R804" s="11" t="str">
        <f aca="false">IF(AND(O804="Low",P804="Low",Q804="Good"),"BUY / PRIORITIZE",IF(AND(O804="High",P804="High",OR(Q804="Poor",M804=TRUE())),"HOLD / REVIEW","MONITOR"))</f>
        <v>MONITOR</v>
      </c>
      <c r="S804" s="11" t="n">
        <f aca="false">K804+(ROW()/10000000)</f>
        <v>31.0000804</v>
      </c>
    </row>
    <row r="805" customFormat="false" ht="15" hidden="false" customHeight="false" outlineLevel="0" collapsed="false">
      <c r="A805" s="11" t="s">
        <v>1049</v>
      </c>
      <c r="B805" s="11" t="s">
        <v>8</v>
      </c>
      <c r="C805" s="11" t="s">
        <v>130</v>
      </c>
      <c r="D805" s="11" t="s">
        <v>37</v>
      </c>
      <c r="E805" s="11"/>
      <c r="F805" s="11" t="s">
        <v>92</v>
      </c>
      <c r="G805" s="21" t="n">
        <v>23.5</v>
      </c>
      <c r="H805" s="19" t="n">
        <v>0</v>
      </c>
      <c r="I805" s="21" t="n">
        <v>23.5</v>
      </c>
      <c r="J805" s="22" t="s">
        <v>80</v>
      </c>
      <c r="K805" s="11" t="n">
        <v>14</v>
      </c>
      <c r="L805" s="23" t="n">
        <v>3.9</v>
      </c>
      <c r="M805" s="24" t="b">
        <f aca="false">TRUE()</f>
        <v>1</v>
      </c>
      <c r="N805" s="11" t="s">
        <v>140</v>
      </c>
      <c r="O805" s="11" t="str">
        <f aca="false">IF(K805&lt;=StockP33,"Low",IF(K805&lt;=StockP67,"Moderate","High"))</f>
        <v>Low</v>
      </c>
      <c r="P805" s="11" t="str">
        <f aca="false">IF(H805=0,"Low",IF(H805&lt;=MarkdownP75,"Moderate","High"))</f>
        <v>Low</v>
      </c>
      <c r="Q805" s="11" t="str">
        <f aca="false">IF(ISBLANK(L805),"Unknown",IF(L805&gt;=4,"Good",IF(L805&lt;=2,"Poor","Neutral")))</f>
        <v>Neutral</v>
      </c>
      <c r="R805" s="11" t="str">
        <f aca="false">IF(AND(O805="Low",P805="Low",Q805="Good"),"BUY / PRIORITIZE",IF(AND(O805="High",P805="High",OR(Q805="Poor",M805=TRUE())),"HOLD / REVIEW","MONITOR"))</f>
        <v>MONITOR</v>
      </c>
      <c r="S805" s="11" t="n">
        <f aca="false">K805+(ROW()/10000000)</f>
        <v>14.0000805</v>
      </c>
    </row>
    <row r="806" customFormat="false" ht="15" hidden="false" customHeight="false" outlineLevel="0" collapsed="false">
      <c r="A806" s="11" t="s">
        <v>1050</v>
      </c>
      <c r="B806" s="11" t="s">
        <v>26</v>
      </c>
      <c r="C806" s="11" t="s">
        <v>72</v>
      </c>
      <c r="D806" s="11" t="s">
        <v>36</v>
      </c>
      <c r="E806" s="11" t="s">
        <v>91</v>
      </c>
      <c r="F806" s="11" t="s">
        <v>111</v>
      </c>
      <c r="G806" s="21" t="n">
        <v>109.36</v>
      </c>
      <c r="H806" s="19" t="n">
        <v>0</v>
      </c>
      <c r="I806" s="21" t="n">
        <v>109.36</v>
      </c>
      <c r="J806" s="22" t="s">
        <v>80</v>
      </c>
      <c r="K806" s="11" t="n">
        <v>0</v>
      </c>
      <c r="L806" s="23" t="n">
        <v>1.1</v>
      </c>
      <c r="M806" s="24" t="b">
        <f aca="false">FALSE()</f>
        <v>0</v>
      </c>
      <c r="N806" s="11"/>
      <c r="O806" s="11" t="str">
        <f aca="false">IF(K806&lt;=StockP33,"Low",IF(K806&lt;=StockP67,"Moderate","High"))</f>
        <v>Low</v>
      </c>
      <c r="P806" s="11" t="str">
        <f aca="false">IF(H806=0,"Low",IF(H806&lt;=MarkdownP75,"Moderate","High"))</f>
        <v>Low</v>
      </c>
      <c r="Q806" s="11" t="str">
        <f aca="false">IF(ISBLANK(L806),"Unknown",IF(L806&gt;=4,"Good",IF(L806&lt;=2,"Poor","Neutral")))</f>
        <v>Poor</v>
      </c>
      <c r="R806" s="11" t="str">
        <f aca="false">IF(AND(O806="Low",P806="Low",Q806="Good"),"BUY / PRIORITIZE",IF(AND(O806="High",P806="High",OR(Q806="Poor",M806=TRUE())),"HOLD / REVIEW","MONITOR"))</f>
        <v>MONITOR</v>
      </c>
      <c r="S806" s="11" t="n">
        <f aca="false">K806+(ROW()/10000000)</f>
        <v>8.06E-005</v>
      </c>
    </row>
    <row r="807" customFormat="false" ht="15" hidden="false" customHeight="false" outlineLevel="0" collapsed="false">
      <c r="A807" s="11" t="s">
        <v>1051</v>
      </c>
      <c r="B807" s="11" t="s">
        <v>8</v>
      </c>
      <c r="C807" s="11" t="s">
        <v>101</v>
      </c>
      <c r="D807" s="11" t="s">
        <v>36</v>
      </c>
      <c r="E807" s="11"/>
      <c r="F807" s="11" t="s">
        <v>96</v>
      </c>
      <c r="G807" s="21" t="n">
        <v>69.73</v>
      </c>
      <c r="H807" s="19" t="n">
        <v>0</v>
      </c>
      <c r="I807" s="21" t="n">
        <v>69.73</v>
      </c>
      <c r="J807" s="22" t="s">
        <v>80</v>
      </c>
      <c r="K807" s="11" t="n">
        <v>7</v>
      </c>
      <c r="L807" s="23" t="n">
        <v>1.1</v>
      </c>
      <c r="M807" s="24" t="b">
        <f aca="false">TRUE()</f>
        <v>1</v>
      </c>
      <c r="N807" s="11" t="s">
        <v>89</v>
      </c>
      <c r="O807" s="11" t="str">
        <f aca="false">IF(K807&lt;=StockP33,"Low",IF(K807&lt;=StockP67,"Moderate","High"))</f>
        <v>Low</v>
      </c>
      <c r="P807" s="11" t="str">
        <f aca="false">IF(H807=0,"Low",IF(H807&lt;=MarkdownP75,"Moderate","High"))</f>
        <v>Low</v>
      </c>
      <c r="Q807" s="11" t="str">
        <f aca="false">IF(ISBLANK(L807),"Unknown",IF(L807&gt;=4,"Good",IF(L807&lt;=2,"Poor","Neutral")))</f>
        <v>Poor</v>
      </c>
      <c r="R807" s="11" t="str">
        <f aca="false">IF(AND(O807="Low",P807="Low",Q807="Good"),"BUY / PRIORITIZE",IF(AND(O807="High",P807="High",OR(Q807="Poor",M807=TRUE())),"HOLD / REVIEW","MONITOR"))</f>
        <v>MONITOR</v>
      </c>
      <c r="S807" s="11" t="n">
        <f aca="false">K807+(ROW()/10000000)</f>
        <v>7.0000807</v>
      </c>
    </row>
    <row r="808" customFormat="false" ht="15" hidden="false" customHeight="false" outlineLevel="0" collapsed="false">
      <c r="A808" s="11" t="s">
        <v>1052</v>
      </c>
      <c r="B808" s="11" t="s">
        <v>29</v>
      </c>
      <c r="C808" s="11" t="s">
        <v>101</v>
      </c>
      <c r="D808" s="11" t="s">
        <v>35</v>
      </c>
      <c r="E808" s="11" t="s">
        <v>110</v>
      </c>
      <c r="F808" s="11" t="s">
        <v>98</v>
      </c>
      <c r="G808" s="21" t="n">
        <v>199.03</v>
      </c>
      <c r="H808" s="19" t="n">
        <v>57.3</v>
      </c>
      <c r="I808" s="21" t="n">
        <v>84.99</v>
      </c>
      <c r="J808" s="22" t="s">
        <v>80</v>
      </c>
      <c r="K808" s="11" t="n">
        <v>37</v>
      </c>
      <c r="L808" s="23" t="n">
        <v>3.4</v>
      </c>
      <c r="M808" s="24" t="b">
        <f aca="false">FALSE()</f>
        <v>0</v>
      </c>
      <c r="N808" s="11"/>
      <c r="O808" s="11" t="str">
        <f aca="false">IF(K808&lt;=StockP33,"Low",IF(K808&lt;=StockP67,"Moderate","High"))</f>
        <v>High</v>
      </c>
      <c r="P808" s="11" t="str">
        <f aca="false">IF(H808=0,"Low",IF(H808&lt;=MarkdownP75,"Moderate","High"))</f>
        <v>High</v>
      </c>
      <c r="Q808" s="11" t="str">
        <f aca="false">IF(ISBLANK(L808),"Unknown",IF(L808&gt;=4,"Good",IF(L808&lt;=2,"Poor","Neutral")))</f>
        <v>Neutral</v>
      </c>
      <c r="R808" s="11" t="str">
        <f aca="false">IF(AND(O808="Low",P808="Low",Q808="Good"),"BUY / PRIORITIZE",IF(AND(O808="High",P808="High",OR(Q808="Poor",M808=TRUE())),"HOLD / REVIEW","MONITOR"))</f>
        <v>MONITOR</v>
      </c>
      <c r="S808" s="11" t="n">
        <f aca="false">K808+(ROW()/10000000)</f>
        <v>37.0000808</v>
      </c>
    </row>
    <row r="809" customFormat="false" ht="15" hidden="false" customHeight="false" outlineLevel="0" collapsed="false">
      <c r="A809" s="11" t="s">
        <v>1053</v>
      </c>
      <c r="B809" s="11" t="s">
        <v>26</v>
      </c>
      <c r="C809" s="11" t="s">
        <v>116</v>
      </c>
      <c r="D809" s="11" t="s">
        <v>34</v>
      </c>
      <c r="E809" s="11" t="s">
        <v>113</v>
      </c>
      <c r="F809" s="11" t="s">
        <v>88</v>
      </c>
      <c r="G809" s="21" t="n">
        <v>82.32</v>
      </c>
      <c r="H809" s="19" t="n">
        <v>56.7</v>
      </c>
      <c r="I809" s="21" t="n">
        <v>35.64</v>
      </c>
      <c r="J809" s="22" t="s">
        <v>469</v>
      </c>
      <c r="K809" s="11" t="n">
        <v>41</v>
      </c>
      <c r="L809" s="23"/>
      <c r="M809" s="24" t="b">
        <f aca="false">FALSE()</f>
        <v>0</v>
      </c>
      <c r="N809" s="11"/>
      <c r="O809" s="11" t="str">
        <f aca="false">IF(K809&lt;=StockP33,"Low",IF(K809&lt;=StockP67,"Moderate","High"))</f>
        <v>High</v>
      </c>
      <c r="P809" s="11" t="str">
        <f aca="false">IF(H809=0,"Low",IF(H809&lt;=MarkdownP75,"Moderate","High"))</f>
        <v>High</v>
      </c>
      <c r="Q809" s="11" t="str">
        <f aca="false">IF(ISBLANK(L809),"Unknown",IF(L809&gt;=4,"Good",IF(L809&lt;=2,"Poor","Neutral")))</f>
        <v>Unknown</v>
      </c>
      <c r="R809" s="11" t="str">
        <f aca="false">IF(AND(O809="Low",P809="Low",Q809="Good"),"BUY / PRIORITIZE",IF(AND(O809="High",P809="High",OR(Q809="Poor",M809=TRUE())),"HOLD / REVIEW","MONITOR"))</f>
        <v>MONITOR</v>
      </c>
      <c r="S809" s="11" t="n">
        <f aca="false">K809+(ROW()/10000000)</f>
        <v>41.0000809</v>
      </c>
    </row>
    <row r="810" customFormat="false" ht="15" hidden="false" customHeight="false" outlineLevel="0" collapsed="false">
      <c r="A810" s="11" t="s">
        <v>1054</v>
      </c>
      <c r="B810" s="11" t="s">
        <v>26</v>
      </c>
      <c r="C810" s="11" t="s">
        <v>77</v>
      </c>
      <c r="D810" s="11" t="s">
        <v>34</v>
      </c>
      <c r="E810" s="11" t="s">
        <v>113</v>
      </c>
      <c r="F810" s="11" t="s">
        <v>118</v>
      </c>
      <c r="G810" s="21" t="n">
        <v>52.42</v>
      </c>
      <c r="H810" s="19" t="n">
        <v>9.9</v>
      </c>
      <c r="I810" s="21" t="n">
        <v>47.23</v>
      </c>
      <c r="J810" s="22" t="s">
        <v>144</v>
      </c>
      <c r="K810" s="11" t="n">
        <v>42</v>
      </c>
      <c r="L810" s="23" t="n">
        <v>3.5</v>
      </c>
      <c r="M810" s="24" t="b">
        <f aca="false">FALSE()</f>
        <v>0</v>
      </c>
      <c r="N810" s="11"/>
      <c r="O810" s="11" t="str">
        <f aca="false">IF(K810&lt;=StockP33,"Low",IF(K810&lt;=StockP67,"Moderate","High"))</f>
        <v>High</v>
      </c>
      <c r="P810" s="11" t="str">
        <f aca="false">IF(H810=0,"Low",IF(H810&lt;=MarkdownP75,"Moderate","High"))</f>
        <v>Moderate</v>
      </c>
      <c r="Q810" s="11" t="str">
        <f aca="false">IF(ISBLANK(L810),"Unknown",IF(L810&gt;=4,"Good",IF(L810&lt;=2,"Poor","Neutral")))</f>
        <v>Neutral</v>
      </c>
      <c r="R810" s="11" t="str">
        <f aca="false">IF(AND(O810="Low",P810="Low",Q810="Good"),"BUY / PRIORITIZE",IF(AND(O810="High",P810="High",OR(Q810="Poor",M810=TRUE())),"HOLD / REVIEW","MONITOR"))</f>
        <v>MONITOR</v>
      </c>
      <c r="S810" s="11" t="n">
        <f aca="false">K810+(ROW()/10000000)</f>
        <v>42.000081</v>
      </c>
    </row>
    <row r="811" customFormat="false" ht="15" hidden="false" customHeight="false" outlineLevel="0" collapsed="false">
      <c r="A811" s="11" t="s">
        <v>1055</v>
      </c>
      <c r="B811" s="11" t="s">
        <v>28</v>
      </c>
      <c r="C811" s="11" t="s">
        <v>107</v>
      </c>
      <c r="D811" s="11" t="s">
        <v>36</v>
      </c>
      <c r="E811" s="11" t="s">
        <v>91</v>
      </c>
      <c r="F811" s="11" t="s">
        <v>88</v>
      </c>
      <c r="G811" s="21" t="n">
        <v>180.49</v>
      </c>
      <c r="H811" s="19" t="n">
        <v>0</v>
      </c>
      <c r="I811" s="21" t="n">
        <v>180.49</v>
      </c>
      <c r="J811" s="22" t="s">
        <v>80</v>
      </c>
      <c r="K811" s="11" t="n">
        <v>18</v>
      </c>
      <c r="L811" s="23" t="n">
        <v>2.5</v>
      </c>
      <c r="M811" s="24" t="b">
        <f aca="false">TRUE()</f>
        <v>1</v>
      </c>
      <c r="N811" s="11" t="s">
        <v>191</v>
      </c>
      <c r="O811" s="11" t="str">
        <f aca="false">IF(K811&lt;=StockP33,"Low",IF(K811&lt;=StockP67,"Moderate","High"))</f>
        <v>Moderate</v>
      </c>
      <c r="P811" s="11" t="str">
        <f aca="false">IF(H811=0,"Low",IF(H811&lt;=MarkdownP75,"Moderate","High"))</f>
        <v>Low</v>
      </c>
      <c r="Q811" s="11" t="str">
        <f aca="false">IF(ISBLANK(L811),"Unknown",IF(L811&gt;=4,"Good",IF(L811&lt;=2,"Poor","Neutral")))</f>
        <v>Neutral</v>
      </c>
      <c r="R811" s="11" t="str">
        <f aca="false">IF(AND(O811="Low",P811="Low",Q811="Good"),"BUY / PRIORITIZE",IF(AND(O811="High",P811="High",OR(Q811="Poor",M811=TRUE())),"HOLD / REVIEW","MONITOR"))</f>
        <v>MONITOR</v>
      </c>
      <c r="S811" s="11" t="n">
        <f aca="false">K811+(ROW()/10000000)</f>
        <v>18.0000811</v>
      </c>
    </row>
    <row r="812" customFormat="false" ht="15" hidden="false" customHeight="false" outlineLevel="0" collapsed="false">
      <c r="A812" s="11" t="s">
        <v>1056</v>
      </c>
      <c r="B812" s="11" t="s">
        <v>27</v>
      </c>
      <c r="C812" s="11" t="s">
        <v>107</v>
      </c>
      <c r="D812" s="11" t="s">
        <v>36</v>
      </c>
      <c r="E812" s="11" t="s">
        <v>73</v>
      </c>
      <c r="F812" s="11" t="s">
        <v>88</v>
      </c>
      <c r="G812" s="21" t="n">
        <v>63.02</v>
      </c>
      <c r="H812" s="19" t="n">
        <v>0</v>
      </c>
      <c r="I812" s="21" t="n">
        <v>63.02</v>
      </c>
      <c r="J812" s="22" t="s">
        <v>80</v>
      </c>
      <c r="K812" s="11" t="n">
        <v>37</v>
      </c>
      <c r="L812" s="23" t="n">
        <v>2.5</v>
      </c>
      <c r="M812" s="24" t="b">
        <f aca="false">FALSE()</f>
        <v>0</v>
      </c>
      <c r="N812" s="11"/>
      <c r="O812" s="11" t="str">
        <f aca="false">IF(K812&lt;=StockP33,"Low",IF(K812&lt;=StockP67,"Moderate","High"))</f>
        <v>High</v>
      </c>
      <c r="P812" s="11" t="str">
        <f aca="false">IF(H812=0,"Low",IF(H812&lt;=MarkdownP75,"Moderate","High"))</f>
        <v>Low</v>
      </c>
      <c r="Q812" s="11" t="str">
        <f aca="false">IF(ISBLANK(L812),"Unknown",IF(L812&gt;=4,"Good",IF(L812&lt;=2,"Poor","Neutral")))</f>
        <v>Neutral</v>
      </c>
      <c r="R812" s="11" t="str">
        <f aca="false">IF(AND(O812="Low",P812="Low",Q812="Good"),"BUY / PRIORITIZE",IF(AND(O812="High",P812="High",OR(Q812="Poor",M812=TRUE())),"HOLD / REVIEW","MONITOR"))</f>
        <v>MONITOR</v>
      </c>
      <c r="S812" s="11" t="n">
        <f aca="false">K812+(ROW()/10000000)</f>
        <v>37.0000812</v>
      </c>
    </row>
    <row r="813" customFormat="false" ht="15" hidden="false" customHeight="false" outlineLevel="0" collapsed="false">
      <c r="A813" s="11" t="s">
        <v>1057</v>
      </c>
      <c r="B813" s="11" t="s">
        <v>30</v>
      </c>
      <c r="C813" s="11" t="s">
        <v>95</v>
      </c>
      <c r="D813" s="11" t="s">
        <v>34</v>
      </c>
      <c r="E813" s="11" t="s">
        <v>73</v>
      </c>
      <c r="F813" s="11" t="s">
        <v>74</v>
      </c>
      <c r="G813" s="21" t="n">
        <v>97.05</v>
      </c>
      <c r="H813" s="19" t="n">
        <v>0</v>
      </c>
      <c r="I813" s="21" t="n">
        <v>97.05</v>
      </c>
      <c r="J813" s="22" t="s">
        <v>429</v>
      </c>
      <c r="K813" s="11" t="n">
        <v>9</v>
      </c>
      <c r="L813" s="23"/>
      <c r="M813" s="24" t="b">
        <f aca="false">FALSE()</f>
        <v>0</v>
      </c>
      <c r="N813" s="11"/>
      <c r="O813" s="11" t="str">
        <f aca="false">IF(K813&lt;=StockP33,"Low",IF(K813&lt;=StockP67,"Moderate","High"))</f>
        <v>Low</v>
      </c>
      <c r="P813" s="11" t="str">
        <f aca="false">IF(H813=0,"Low",IF(H813&lt;=MarkdownP75,"Moderate","High"))</f>
        <v>Low</v>
      </c>
      <c r="Q813" s="11" t="str">
        <f aca="false">IF(ISBLANK(L813),"Unknown",IF(L813&gt;=4,"Good",IF(L813&lt;=2,"Poor","Neutral")))</f>
        <v>Unknown</v>
      </c>
      <c r="R813" s="11" t="str">
        <f aca="false">IF(AND(O813="Low",P813="Low",Q813="Good"),"BUY / PRIORITIZE",IF(AND(O813="High",P813="High",OR(Q813="Poor",M813=TRUE())),"HOLD / REVIEW","MONITOR"))</f>
        <v>MONITOR</v>
      </c>
      <c r="S813" s="11" t="n">
        <f aca="false">K813+(ROW()/10000000)</f>
        <v>9.0000813</v>
      </c>
    </row>
    <row r="814" customFormat="false" ht="15" hidden="false" customHeight="false" outlineLevel="0" collapsed="false">
      <c r="A814" s="11" t="s">
        <v>1058</v>
      </c>
      <c r="B814" s="11" t="s">
        <v>26</v>
      </c>
      <c r="C814" s="11" t="s">
        <v>72</v>
      </c>
      <c r="D814" s="11" t="s">
        <v>37</v>
      </c>
      <c r="E814" s="11" t="s">
        <v>102</v>
      </c>
      <c r="F814" s="11" t="s">
        <v>79</v>
      </c>
      <c r="G814" s="21" t="n">
        <v>79.62</v>
      </c>
      <c r="H814" s="19" t="n">
        <v>0</v>
      </c>
      <c r="I814" s="21" t="n">
        <v>79.62</v>
      </c>
      <c r="J814" s="22" t="s">
        <v>80</v>
      </c>
      <c r="K814" s="11" t="n">
        <v>37</v>
      </c>
      <c r="L814" s="23" t="n">
        <v>4.1</v>
      </c>
      <c r="M814" s="24" t="b">
        <f aca="false">FALSE()</f>
        <v>0</v>
      </c>
      <c r="N814" s="11"/>
      <c r="O814" s="11" t="str">
        <f aca="false">IF(K814&lt;=StockP33,"Low",IF(K814&lt;=StockP67,"Moderate","High"))</f>
        <v>High</v>
      </c>
      <c r="P814" s="11" t="str">
        <f aca="false">IF(H814=0,"Low",IF(H814&lt;=MarkdownP75,"Moderate","High"))</f>
        <v>Low</v>
      </c>
      <c r="Q814" s="11" t="str">
        <f aca="false">IF(ISBLANK(L814),"Unknown",IF(L814&gt;=4,"Good",IF(L814&lt;=2,"Poor","Neutral")))</f>
        <v>Good</v>
      </c>
      <c r="R814" s="11" t="str">
        <f aca="false">IF(AND(O814="Low",P814="Low",Q814="Good"),"BUY / PRIORITIZE",IF(AND(O814="High",P814="High",OR(Q814="Poor",M814=TRUE())),"HOLD / REVIEW","MONITOR"))</f>
        <v>MONITOR</v>
      </c>
      <c r="S814" s="11" t="n">
        <f aca="false">K814+(ROW()/10000000)</f>
        <v>37.0000814</v>
      </c>
    </row>
    <row r="815" customFormat="false" ht="15" hidden="false" customHeight="false" outlineLevel="0" collapsed="false">
      <c r="A815" s="11" t="s">
        <v>1059</v>
      </c>
      <c r="B815" s="11" t="s">
        <v>27</v>
      </c>
      <c r="C815" s="11" t="s">
        <v>72</v>
      </c>
      <c r="D815" s="11" t="s">
        <v>37</v>
      </c>
      <c r="E815" s="11" t="s">
        <v>113</v>
      </c>
      <c r="F815" s="11" t="s">
        <v>74</v>
      </c>
      <c r="G815" s="21" t="n">
        <v>82.5</v>
      </c>
      <c r="H815" s="19" t="n">
        <v>0</v>
      </c>
      <c r="I815" s="21" t="n">
        <v>82.5</v>
      </c>
      <c r="J815" s="22" t="s">
        <v>80</v>
      </c>
      <c r="K815" s="11" t="n">
        <v>0</v>
      </c>
      <c r="L815" s="23"/>
      <c r="M815" s="24" t="b">
        <f aca="false">FALSE()</f>
        <v>0</v>
      </c>
      <c r="N815" s="11"/>
      <c r="O815" s="11" t="str">
        <f aca="false">IF(K815&lt;=StockP33,"Low",IF(K815&lt;=StockP67,"Moderate","High"))</f>
        <v>Low</v>
      </c>
      <c r="P815" s="11" t="str">
        <f aca="false">IF(H815=0,"Low",IF(H815&lt;=MarkdownP75,"Moderate","High"))</f>
        <v>Low</v>
      </c>
      <c r="Q815" s="11" t="str">
        <f aca="false">IF(ISBLANK(L815),"Unknown",IF(L815&gt;=4,"Good",IF(L815&lt;=2,"Poor","Neutral")))</f>
        <v>Unknown</v>
      </c>
      <c r="R815" s="11" t="str">
        <f aca="false">IF(AND(O815="Low",P815="Low",Q815="Good"),"BUY / PRIORITIZE",IF(AND(O815="High",P815="High",OR(Q815="Poor",M815=TRUE())),"HOLD / REVIEW","MONITOR"))</f>
        <v>MONITOR</v>
      </c>
      <c r="S815" s="11" t="n">
        <f aca="false">K815+(ROW()/10000000)</f>
        <v>8.15E-005</v>
      </c>
    </row>
    <row r="816" customFormat="false" ht="15" hidden="false" customHeight="false" outlineLevel="0" collapsed="false">
      <c r="A816" s="11" t="s">
        <v>1060</v>
      </c>
      <c r="B816" s="11" t="s">
        <v>26</v>
      </c>
      <c r="C816" s="11" t="s">
        <v>107</v>
      </c>
      <c r="D816" s="11" t="s">
        <v>34</v>
      </c>
      <c r="E816" s="11" t="s">
        <v>78</v>
      </c>
      <c r="F816" s="11" t="s">
        <v>120</v>
      </c>
      <c r="G816" s="21" t="n">
        <v>117.18</v>
      </c>
      <c r="H816" s="19" t="n">
        <v>13.7</v>
      </c>
      <c r="I816" s="21" t="n">
        <v>101.13</v>
      </c>
      <c r="J816" s="22" t="s">
        <v>1061</v>
      </c>
      <c r="K816" s="11" t="n">
        <v>5</v>
      </c>
      <c r="L816" s="23" t="n">
        <v>4.8</v>
      </c>
      <c r="M816" s="24" t="b">
        <f aca="false">FALSE()</f>
        <v>0</v>
      </c>
      <c r="N816" s="11"/>
      <c r="O816" s="11" t="str">
        <f aca="false">IF(K816&lt;=StockP33,"Low",IF(K816&lt;=StockP67,"Moderate","High"))</f>
        <v>Low</v>
      </c>
      <c r="P816" s="11" t="str">
        <f aca="false">IF(H816=0,"Low",IF(H816&lt;=MarkdownP75,"Moderate","High"))</f>
        <v>Moderate</v>
      </c>
      <c r="Q816" s="11" t="str">
        <f aca="false">IF(ISBLANK(L816),"Unknown",IF(L816&gt;=4,"Good",IF(L816&lt;=2,"Poor","Neutral")))</f>
        <v>Good</v>
      </c>
      <c r="R816" s="11" t="str">
        <f aca="false">IF(AND(O816="Low",P816="Low",Q816="Good"),"BUY / PRIORITIZE",IF(AND(O816="High",P816="High",OR(Q816="Poor",M816=TRUE())),"HOLD / REVIEW","MONITOR"))</f>
        <v>MONITOR</v>
      </c>
      <c r="S816" s="11" t="n">
        <f aca="false">K816+(ROW()/10000000)</f>
        <v>5.0000816</v>
      </c>
    </row>
    <row r="817" customFormat="false" ht="15" hidden="false" customHeight="false" outlineLevel="0" collapsed="false">
      <c r="A817" s="11" t="s">
        <v>1062</v>
      </c>
      <c r="B817" s="11" t="s">
        <v>28</v>
      </c>
      <c r="C817" s="11" t="s">
        <v>107</v>
      </c>
      <c r="D817" s="11" t="s">
        <v>34</v>
      </c>
      <c r="E817" s="11" t="s">
        <v>110</v>
      </c>
      <c r="F817" s="11" t="s">
        <v>124</v>
      </c>
      <c r="G817" s="21" t="n">
        <v>174.05</v>
      </c>
      <c r="H817" s="19" t="n">
        <v>0</v>
      </c>
      <c r="I817" s="21" t="n">
        <v>174.05</v>
      </c>
      <c r="J817" s="22" t="s">
        <v>1063</v>
      </c>
      <c r="K817" s="11" t="n">
        <v>9</v>
      </c>
      <c r="L817" s="23"/>
      <c r="M817" s="24" t="b">
        <f aca="false">FALSE()</f>
        <v>0</v>
      </c>
      <c r="N817" s="11"/>
      <c r="O817" s="11" t="str">
        <f aca="false">IF(K817&lt;=StockP33,"Low",IF(K817&lt;=StockP67,"Moderate","High"))</f>
        <v>Low</v>
      </c>
      <c r="P817" s="11" t="str">
        <f aca="false">IF(H817=0,"Low",IF(H817&lt;=MarkdownP75,"Moderate","High"))</f>
        <v>Low</v>
      </c>
      <c r="Q817" s="11" t="str">
        <f aca="false">IF(ISBLANK(L817),"Unknown",IF(L817&gt;=4,"Good",IF(L817&lt;=2,"Poor","Neutral")))</f>
        <v>Unknown</v>
      </c>
      <c r="R817" s="11" t="str">
        <f aca="false">IF(AND(O817="Low",P817="Low",Q817="Good"),"BUY / PRIORITIZE",IF(AND(O817="High",P817="High",OR(Q817="Poor",M817=TRUE())),"HOLD / REVIEW","MONITOR"))</f>
        <v>MONITOR</v>
      </c>
      <c r="S817" s="11" t="n">
        <f aca="false">K817+(ROW()/10000000)</f>
        <v>9.0000817</v>
      </c>
    </row>
    <row r="818" customFormat="false" ht="15" hidden="false" customHeight="false" outlineLevel="0" collapsed="false">
      <c r="A818" s="11" t="s">
        <v>1064</v>
      </c>
      <c r="B818" s="11" t="s">
        <v>26</v>
      </c>
      <c r="C818" s="11" t="s">
        <v>130</v>
      </c>
      <c r="D818" s="11" t="s">
        <v>34</v>
      </c>
      <c r="E818" s="11" t="s">
        <v>110</v>
      </c>
      <c r="F818" s="11" t="s">
        <v>124</v>
      </c>
      <c r="G818" s="21" t="n">
        <v>58.29</v>
      </c>
      <c r="H818" s="19" t="n">
        <v>0</v>
      </c>
      <c r="I818" s="21" t="n">
        <v>58.29</v>
      </c>
      <c r="J818" s="22" t="s">
        <v>1065</v>
      </c>
      <c r="K818" s="11" t="n">
        <v>22</v>
      </c>
      <c r="L818" s="23" t="n">
        <v>2.3</v>
      </c>
      <c r="M818" s="24" t="b">
        <f aca="false">FALSE()</f>
        <v>0</v>
      </c>
      <c r="N818" s="11"/>
      <c r="O818" s="11" t="str">
        <f aca="false">IF(K818&lt;=StockP33,"Low",IF(K818&lt;=StockP67,"Moderate","High"))</f>
        <v>Moderate</v>
      </c>
      <c r="P818" s="11" t="str">
        <f aca="false">IF(H818=0,"Low",IF(H818&lt;=MarkdownP75,"Moderate","High"))</f>
        <v>Low</v>
      </c>
      <c r="Q818" s="11" t="str">
        <f aca="false">IF(ISBLANK(L818),"Unknown",IF(L818&gt;=4,"Good",IF(L818&lt;=2,"Poor","Neutral")))</f>
        <v>Neutral</v>
      </c>
      <c r="R818" s="11" t="str">
        <f aca="false">IF(AND(O818="Low",P818="Low",Q818="Good"),"BUY / PRIORITIZE",IF(AND(O818="High",P818="High",OR(Q818="Poor",M818=TRUE())),"HOLD / REVIEW","MONITOR"))</f>
        <v>MONITOR</v>
      </c>
      <c r="S818" s="11" t="n">
        <f aca="false">K818+(ROW()/10000000)</f>
        <v>22.0000818</v>
      </c>
    </row>
    <row r="819" customFormat="false" ht="15" hidden="false" customHeight="false" outlineLevel="0" collapsed="false">
      <c r="A819" s="11" t="s">
        <v>1066</v>
      </c>
      <c r="B819" s="11" t="s">
        <v>26</v>
      </c>
      <c r="C819" s="11" t="s">
        <v>101</v>
      </c>
      <c r="D819" s="11" t="s">
        <v>35</v>
      </c>
      <c r="E819" s="11" t="s">
        <v>113</v>
      </c>
      <c r="F819" s="11" t="s">
        <v>88</v>
      </c>
      <c r="G819" s="21" t="n">
        <v>61.42</v>
      </c>
      <c r="H819" s="19" t="n">
        <v>57.5</v>
      </c>
      <c r="I819" s="21" t="n">
        <v>26.1</v>
      </c>
      <c r="J819" s="22" t="s">
        <v>80</v>
      </c>
      <c r="K819" s="11" t="n">
        <v>3</v>
      </c>
      <c r="L819" s="23" t="n">
        <v>4.8</v>
      </c>
      <c r="M819" s="24" t="b">
        <f aca="false">FALSE()</f>
        <v>0</v>
      </c>
      <c r="N819" s="11"/>
      <c r="O819" s="11" t="str">
        <f aca="false">IF(K819&lt;=StockP33,"Low",IF(K819&lt;=StockP67,"Moderate","High"))</f>
        <v>Low</v>
      </c>
      <c r="P819" s="11" t="str">
        <f aca="false">IF(H819=0,"Low",IF(H819&lt;=MarkdownP75,"Moderate","High"))</f>
        <v>High</v>
      </c>
      <c r="Q819" s="11" t="str">
        <f aca="false">IF(ISBLANK(L819),"Unknown",IF(L819&gt;=4,"Good",IF(L819&lt;=2,"Poor","Neutral")))</f>
        <v>Good</v>
      </c>
      <c r="R819" s="11" t="str">
        <f aca="false">IF(AND(O819="Low",P819="Low",Q819="Good"),"BUY / PRIORITIZE",IF(AND(O819="High",P819="High",OR(Q819="Poor",M819=TRUE())),"HOLD / REVIEW","MONITOR"))</f>
        <v>MONITOR</v>
      </c>
      <c r="S819" s="11" t="n">
        <f aca="false">K819+(ROW()/10000000)</f>
        <v>3.0000819</v>
      </c>
    </row>
    <row r="820" customFormat="false" ht="15" hidden="false" customHeight="false" outlineLevel="0" collapsed="false">
      <c r="A820" s="11" t="s">
        <v>1067</v>
      </c>
      <c r="B820" s="11" t="s">
        <v>8</v>
      </c>
      <c r="C820" s="11" t="s">
        <v>72</v>
      </c>
      <c r="D820" s="11" t="s">
        <v>37</v>
      </c>
      <c r="E820" s="11"/>
      <c r="F820" s="11" t="s">
        <v>79</v>
      </c>
      <c r="G820" s="21" t="n">
        <v>20.24</v>
      </c>
      <c r="H820" s="19" t="n">
        <v>0</v>
      </c>
      <c r="I820" s="21" t="n">
        <v>20.24</v>
      </c>
      <c r="J820" s="22" t="s">
        <v>80</v>
      </c>
      <c r="K820" s="11" t="n">
        <v>20</v>
      </c>
      <c r="L820" s="23" t="n">
        <v>4.1</v>
      </c>
      <c r="M820" s="24" t="b">
        <f aca="false">FALSE()</f>
        <v>0</v>
      </c>
      <c r="N820" s="11"/>
      <c r="O820" s="11" t="str">
        <f aca="false">IF(K820&lt;=StockP33,"Low",IF(K820&lt;=StockP67,"Moderate","High"))</f>
        <v>Moderate</v>
      </c>
      <c r="P820" s="11" t="str">
        <f aca="false">IF(H820=0,"Low",IF(H820&lt;=MarkdownP75,"Moderate","High"))</f>
        <v>Low</v>
      </c>
      <c r="Q820" s="11" t="str">
        <f aca="false">IF(ISBLANK(L820),"Unknown",IF(L820&gt;=4,"Good",IF(L820&lt;=2,"Poor","Neutral")))</f>
        <v>Good</v>
      </c>
      <c r="R820" s="11" t="str">
        <f aca="false">IF(AND(O820="Low",P820="Low",Q820="Good"),"BUY / PRIORITIZE",IF(AND(O820="High",P820="High",OR(Q820="Poor",M820=TRUE())),"HOLD / REVIEW","MONITOR"))</f>
        <v>MONITOR</v>
      </c>
      <c r="S820" s="11" t="n">
        <f aca="false">K820+(ROW()/10000000)</f>
        <v>20.000082</v>
      </c>
    </row>
    <row r="821" customFormat="false" ht="15" hidden="false" customHeight="false" outlineLevel="0" collapsed="false">
      <c r="A821" s="11" t="s">
        <v>1068</v>
      </c>
      <c r="B821" s="11" t="s">
        <v>26</v>
      </c>
      <c r="C821" s="11" t="s">
        <v>72</v>
      </c>
      <c r="D821" s="11" t="s">
        <v>36</v>
      </c>
      <c r="E821" s="11" t="s">
        <v>78</v>
      </c>
      <c r="F821" s="11" t="s">
        <v>74</v>
      </c>
      <c r="G821" s="21" t="n">
        <v>88.58</v>
      </c>
      <c r="H821" s="19" t="n">
        <v>0</v>
      </c>
      <c r="I821" s="21" t="n">
        <v>88.58</v>
      </c>
      <c r="J821" s="22" t="s">
        <v>80</v>
      </c>
      <c r="K821" s="11" t="n">
        <v>50</v>
      </c>
      <c r="L821" s="23"/>
      <c r="M821" s="24" t="b">
        <f aca="false">FALSE()</f>
        <v>0</v>
      </c>
      <c r="N821" s="11"/>
      <c r="O821" s="11" t="str">
        <f aca="false">IF(K821&lt;=StockP33,"Low",IF(K821&lt;=StockP67,"Moderate","High"))</f>
        <v>High</v>
      </c>
      <c r="P821" s="11" t="str">
        <f aca="false">IF(H821=0,"Low",IF(H821&lt;=MarkdownP75,"Moderate","High"))</f>
        <v>Low</v>
      </c>
      <c r="Q821" s="11" t="str">
        <f aca="false">IF(ISBLANK(L821),"Unknown",IF(L821&gt;=4,"Good",IF(L821&lt;=2,"Poor","Neutral")))</f>
        <v>Unknown</v>
      </c>
      <c r="R821" s="11" t="str">
        <f aca="false">IF(AND(O821="Low",P821="Low",Q821="Good"),"BUY / PRIORITIZE",IF(AND(O821="High",P821="High",OR(Q821="Poor",M821=TRUE())),"HOLD / REVIEW","MONITOR"))</f>
        <v>MONITOR</v>
      </c>
      <c r="S821" s="11" t="n">
        <f aca="false">K821+(ROW()/10000000)</f>
        <v>50.0000821</v>
      </c>
    </row>
    <row r="822" customFormat="false" ht="15" hidden="false" customHeight="false" outlineLevel="0" collapsed="false">
      <c r="A822" s="11" t="s">
        <v>1069</v>
      </c>
      <c r="B822" s="11" t="s">
        <v>26</v>
      </c>
      <c r="C822" s="11" t="s">
        <v>107</v>
      </c>
      <c r="D822" s="11" t="s">
        <v>37</v>
      </c>
      <c r="E822" s="11" t="s">
        <v>102</v>
      </c>
      <c r="F822" s="11" t="s">
        <v>120</v>
      </c>
      <c r="G822" s="21" t="n">
        <v>67.92</v>
      </c>
      <c r="H822" s="19" t="n">
        <v>0</v>
      </c>
      <c r="I822" s="21" t="n">
        <v>67.92</v>
      </c>
      <c r="J822" s="22" t="s">
        <v>80</v>
      </c>
      <c r="K822" s="11" t="n">
        <v>23</v>
      </c>
      <c r="L822" s="23" t="n">
        <v>1.8</v>
      </c>
      <c r="M822" s="24" t="b">
        <f aca="false">TRUE()</f>
        <v>1</v>
      </c>
      <c r="N822" s="11" t="s">
        <v>128</v>
      </c>
      <c r="O822" s="11" t="str">
        <f aca="false">IF(K822&lt;=StockP33,"Low",IF(K822&lt;=StockP67,"Moderate","High"))</f>
        <v>Moderate</v>
      </c>
      <c r="P822" s="11" t="str">
        <f aca="false">IF(H822=0,"Low",IF(H822&lt;=MarkdownP75,"Moderate","High"))</f>
        <v>Low</v>
      </c>
      <c r="Q822" s="11" t="str">
        <f aca="false">IF(ISBLANK(L822),"Unknown",IF(L822&gt;=4,"Good",IF(L822&lt;=2,"Poor","Neutral")))</f>
        <v>Poor</v>
      </c>
      <c r="R822" s="11" t="str">
        <f aca="false">IF(AND(O822="Low",P822="Low",Q822="Good"),"BUY / PRIORITIZE",IF(AND(O822="High",P822="High",OR(Q822="Poor",M822=TRUE())),"HOLD / REVIEW","MONITOR"))</f>
        <v>MONITOR</v>
      </c>
      <c r="S822" s="11" t="n">
        <f aca="false">K822+(ROW()/10000000)</f>
        <v>23.0000822</v>
      </c>
    </row>
    <row r="823" customFormat="false" ht="15" hidden="false" customHeight="false" outlineLevel="0" collapsed="false">
      <c r="A823" s="11" t="s">
        <v>1070</v>
      </c>
      <c r="B823" s="11" t="s">
        <v>8</v>
      </c>
      <c r="C823" s="11" t="s">
        <v>107</v>
      </c>
      <c r="D823" s="11" t="s">
        <v>36</v>
      </c>
      <c r="E823" s="11"/>
      <c r="F823" s="11" t="s">
        <v>88</v>
      </c>
      <c r="G823" s="21" t="n">
        <v>25.39</v>
      </c>
      <c r="H823" s="19" t="n">
        <v>0</v>
      </c>
      <c r="I823" s="21" t="n">
        <v>25.39</v>
      </c>
      <c r="J823" s="22" t="s">
        <v>80</v>
      </c>
      <c r="K823" s="11" t="n">
        <v>42</v>
      </c>
      <c r="L823" s="23" t="n">
        <v>1.8</v>
      </c>
      <c r="M823" s="24" t="b">
        <f aca="false">FALSE()</f>
        <v>0</v>
      </c>
      <c r="N823" s="11"/>
      <c r="O823" s="11" t="str">
        <f aca="false">IF(K823&lt;=StockP33,"Low",IF(K823&lt;=StockP67,"Moderate","High"))</f>
        <v>High</v>
      </c>
      <c r="P823" s="11" t="str">
        <f aca="false">IF(H823=0,"Low",IF(H823&lt;=MarkdownP75,"Moderate","High"))</f>
        <v>Low</v>
      </c>
      <c r="Q823" s="11" t="str">
        <f aca="false">IF(ISBLANK(L823),"Unknown",IF(L823&gt;=4,"Good",IF(L823&lt;=2,"Poor","Neutral")))</f>
        <v>Poor</v>
      </c>
      <c r="R823" s="11" t="str">
        <f aca="false">IF(AND(O823="Low",P823="Low",Q823="Good"),"BUY / PRIORITIZE",IF(AND(O823="High",P823="High",OR(Q823="Poor",M823=TRUE())),"HOLD / REVIEW","MONITOR"))</f>
        <v>MONITOR</v>
      </c>
      <c r="S823" s="11" t="n">
        <f aca="false">K823+(ROW()/10000000)</f>
        <v>42.0000823</v>
      </c>
    </row>
    <row r="824" customFormat="false" ht="15" hidden="false" customHeight="false" outlineLevel="0" collapsed="false">
      <c r="A824" s="11" t="s">
        <v>1071</v>
      </c>
      <c r="B824" s="11" t="s">
        <v>27</v>
      </c>
      <c r="C824" s="11" t="s">
        <v>130</v>
      </c>
      <c r="D824" s="11" t="s">
        <v>37</v>
      </c>
      <c r="E824" s="11" t="s">
        <v>91</v>
      </c>
      <c r="F824" s="11" t="s">
        <v>82</v>
      </c>
      <c r="G824" s="21" t="n">
        <v>115.89</v>
      </c>
      <c r="H824" s="19" t="n">
        <v>39.4</v>
      </c>
      <c r="I824" s="21" t="n">
        <v>70.23</v>
      </c>
      <c r="J824" s="22" t="s">
        <v>80</v>
      </c>
      <c r="K824" s="11" t="n">
        <v>14</v>
      </c>
      <c r="L824" s="23" t="n">
        <v>3.8</v>
      </c>
      <c r="M824" s="24" t="b">
        <f aca="false">TRUE()</f>
        <v>1</v>
      </c>
      <c r="N824" s="11" t="s">
        <v>134</v>
      </c>
      <c r="O824" s="11" t="str">
        <f aca="false">IF(K824&lt;=StockP33,"Low",IF(K824&lt;=StockP67,"Moderate","High"))</f>
        <v>Low</v>
      </c>
      <c r="P824" s="11" t="str">
        <f aca="false">IF(H824=0,"Low",IF(H824&lt;=MarkdownP75,"Moderate","High"))</f>
        <v>High</v>
      </c>
      <c r="Q824" s="11" t="str">
        <f aca="false">IF(ISBLANK(L824),"Unknown",IF(L824&gt;=4,"Good",IF(L824&lt;=2,"Poor","Neutral")))</f>
        <v>Neutral</v>
      </c>
      <c r="R824" s="11" t="str">
        <f aca="false">IF(AND(O824="Low",P824="Low",Q824="Good"),"BUY / PRIORITIZE",IF(AND(O824="High",P824="High",OR(Q824="Poor",M824=TRUE())),"HOLD / REVIEW","MONITOR"))</f>
        <v>MONITOR</v>
      </c>
      <c r="S824" s="11" t="n">
        <f aca="false">K824+(ROW()/10000000)</f>
        <v>14.0000824</v>
      </c>
    </row>
    <row r="825" customFormat="false" ht="15" hidden="false" customHeight="false" outlineLevel="0" collapsed="false">
      <c r="A825" s="11" t="s">
        <v>1072</v>
      </c>
      <c r="B825" s="11" t="s">
        <v>26</v>
      </c>
      <c r="C825" s="11" t="s">
        <v>130</v>
      </c>
      <c r="D825" s="11" t="s">
        <v>35</v>
      </c>
      <c r="E825" s="11" t="s">
        <v>73</v>
      </c>
      <c r="F825" s="11" t="s">
        <v>96</v>
      </c>
      <c r="G825" s="21" t="n">
        <v>103.94</v>
      </c>
      <c r="H825" s="19" t="n">
        <v>16.1</v>
      </c>
      <c r="I825" s="21" t="n">
        <v>87.21</v>
      </c>
      <c r="J825" s="22" t="s">
        <v>80</v>
      </c>
      <c r="K825" s="11" t="n">
        <v>6</v>
      </c>
      <c r="L825" s="23" t="n">
        <v>4.9</v>
      </c>
      <c r="M825" s="24" t="b">
        <f aca="false">TRUE()</f>
        <v>1</v>
      </c>
      <c r="N825" s="11" t="s">
        <v>178</v>
      </c>
      <c r="O825" s="11" t="str">
        <f aca="false">IF(K825&lt;=StockP33,"Low",IF(K825&lt;=StockP67,"Moderate","High"))</f>
        <v>Low</v>
      </c>
      <c r="P825" s="11" t="str">
        <f aca="false">IF(H825=0,"Low",IF(H825&lt;=MarkdownP75,"Moderate","High"))</f>
        <v>Moderate</v>
      </c>
      <c r="Q825" s="11" t="str">
        <f aca="false">IF(ISBLANK(L825),"Unknown",IF(L825&gt;=4,"Good",IF(L825&lt;=2,"Poor","Neutral")))</f>
        <v>Good</v>
      </c>
      <c r="R825" s="11" t="str">
        <f aca="false">IF(AND(O825="Low",P825="Low",Q825="Good"),"BUY / PRIORITIZE",IF(AND(O825="High",P825="High",OR(Q825="Poor",M825=TRUE())),"HOLD / REVIEW","MONITOR"))</f>
        <v>MONITOR</v>
      </c>
      <c r="S825" s="11" t="n">
        <f aca="false">K825+(ROW()/10000000)</f>
        <v>6.0000825</v>
      </c>
    </row>
    <row r="826" customFormat="false" ht="15" hidden="false" customHeight="false" outlineLevel="0" collapsed="false">
      <c r="A826" s="11" t="s">
        <v>1073</v>
      </c>
      <c r="B826" s="11" t="s">
        <v>29</v>
      </c>
      <c r="C826" s="11" t="s">
        <v>116</v>
      </c>
      <c r="D826" s="11" t="s">
        <v>37</v>
      </c>
      <c r="E826" s="11" t="s">
        <v>78</v>
      </c>
      <c r="F826" s="11" t="s">
        <v>74</v>
      </c>
      <c r="G826" s="21" t="n">
        <v>94.72</v>
      </c>
      <c r="H826" s="19" t="n">
        <v>20.5</v>
      </c>
      <c r="I826" s="21" t="n">
        <v>75.3</v>
      </c>
      <c r="J826" s="22" t="s">
        <v>80</v>
      </c>
      <c r="K826" s="11" t="n">
        <v>24</v>
      </c>
      <c r="L826" s="23" t="n">
        <v>3.6</v>
      </c>
      <c r="M826" s="24" t="b">
        <f aca="false">FALSE()</f>
        <v>0</v>
      </c>
      <c r="N826" s="11"/>
      <c r="O826" s="11" t="str">
        <f aca="false">IF(K826&lt;=StockP33,"Low",IF(K826&lt;=StockP67,"Moderate","High"))</f>
        <v>Moderate</v>
      </c>
      <c r="P826" s="11" t="str">
        <f aca="false">IF(H826=0,"Low",IF(H826&lt;=MarkdownP75,"Moderate","High"))</f>
        <v>Moderate</v>
      </c>
      <c r="Q826" s="11" t="str">
        <f aca="false">IF(ISBLANK(L826),"Unknown",IF(L826&gt;=4,"Good",IF(L826&lt;=2,"Poor","Neutral")))</f>
        <v>Neutral</v>
      </c>
      <c r="R826" s="11" t="str">
        <f aca="false">IF(AND(O826="Low",P826="Low",Q826="Good"),"BUY / PRIORITIZE",IF(AND(O826="High",P826="High",OR(Q826="Poor",M826=TRUE())),"HOLD / REVIEW","MONITOR"))</f>
        <v>MONITOR</v>
      </c>
      <c r="S826" s="11" t="n">
        <f aca="false">K826+(ROW()/10000000)</f>
        <v>24.0000826</v>
      </c>
    </row>
    <row r="827" customFormat="false" ht="15" hidden="false" customHeight="false" outlineLevel="0" collapsed="false">
      <c r="A827" s="11" t="s">
        <v>1074</v>
      </c>
      <c r="B827" s="11" t="s">
        <v>8</v>
      </c>
      <c r="C827" s="11" t="s">
        <v>107</v>
      </c>
      <c r="D827" s="11" t="s">
        <v>36</v>
      </c>
      <c r="E827" s="11"/>
      <c r="F827" s="11" t="s">
        <v>79</v>
      </c>
      <c r="G827" s="21" t="n">
        <v>23.28</v>
      </c>
      <c r="H827" s="19" t="n">
        <v>0</v>
      </c>
      <c r="I827" s="21" t="n">
        <v>23.28</v>
      </c>
      <c r="J827" s="22" t="s">
        <v>80</v>
      </c>
      <c r="K827" s="11" t="n">
        <v>44</v>
      </c>
      <c r="L827" s="23" t="n">
        <v>3.1</v>
      </c>
      <c r="M827" s="24" t="b">
        <f aca="false">TRUE()</f>
        <v>1</v>
      </c>
      <c r="N827" s="11" t="s">
        <v>140</v>
      </c>
      <c r="O827" s="11" t="str">
        <f aca="false">IF(K827&lt;=StockP33,"Low",IF(K827&lt;=StockP67,"Moderate","High"))</f>
        <v>High</v>
      </c>
      <c r="P827" s="11" t="str">
        <f aca="false">IF(H827=0,"Low",IF(H827&lt;=MarkdownP75,"Moderate","High"))</f>
        <v>Low</v>
      </c>
      <c r="Q827" s="11" t="str">
        <f aca="false">IF(ISBLANK(L827),"Unknown",IF(L827&gt;=4,"Good",IF(L827&lt;=2,"Poor","Neutral")))</f>
        <v>Neutral</v>
      </c>
      <c r="R827" s="11" t="str">
        <f aca="false">IF(AND(O827="Low",P827="Low",Q827="Good"),"BUY / PRIORITIZE",IF(AND(O827="High",P827="High",OR(Q827="Poor",M827=TRUE())),"HOLD / REVIEW","MONITOR"))</f>
        <v>MONITOR</v>
      </c>
      <c r="S827" s="11" t="n">
        <f aca="false">K827+(ROW()/10000000)</f>
        <v>44.0000827</v>
      </c>
    </row>
    <row r="828" customFormat="false" ht="15" hidden="false" customHeight="false" outlineLevel="0" collapsed="false">
      <c r="A828" s="11" t="s">
        <v>1075</v>
      </c>
      <c r="B828" s="11" t="s">
        <v>30</v>
      </c>
      <c r="C828" s="11" t="s">
        <v>116</v>
      </c>
      <c r="D828" s="11" t="s">
        <v>35</v>
      </c>
      <c r="E828" s="11" t="s">
        <v>91</v>
      </c>
      <c r="F828" s="11" t="s">
        <v>79</v>
      </c>
      <c r="G828" s="21" t="n">
        <v>90.73</v>
      </c>
      <c r="H828" s="19" t="n">
        <v>0</v>
      </c>
      <c r="I828" s="21" t="n">
        <v>90.73</v>
      </c>
      <c r="J828" s="22" t="s">
        <v>80</v>
      </c>
      <c r="K828" s="11" t="n">
        <v>14</v>
      </c>
      <c r="L828" s="23" t="n">
        <v>1.1</v>
      </c>
      <c r="M828" s="24" t="b">
        <f aca="false">FALSE()</f>
        <v>0</v>
      </c>
      <c r="N828" s="11"/>
      <c r="O828" s="11" t="str">
        <f aca="false">IF(K828&lt;=StockP33,"Low",IF(K828&lt;=StockP67,"Moderate","High"))</f>
        <v>Low</v>
      </c>
      <c r="P828" s="11" t="str">
        <f aca="false">IF(H828=0,"Low",IF(H828&lt;=MarkdownP75,"Moderate","High"))</f>
        <v>Low</v>
      </c>
      <c r="Q828" s="11" t="str">
        <f aca="false">IF(ISBLANK(L828),"Unknown",IF(L828&gt;=4,"Good",IF(L828&lt;=2,"Poor","Neutral")))</f>
        <v>Poor</v>
      </c>
      <c r="R828" s="11" t="str">
        <f aca="false">IF(AND(O828="Low",P828="Low",Q828="Good"),"BUY / PRIORITIZE",IF(AND(O828="High",P828="High",OR(Q828="Poor",M828=TRUE())),"HOLD / REVIEW","MONITOR"))</f>
        <v>MONITOR</v>
      </c>
      <c r="S828" s="11" t="n">
        <f aca="false">K828+(ROW()/10000000)</f>
        <v>14.0000828</v>
      </c>
    </row>
    <row r="829" customFormat="false" ht="15" hidden="false" customHeight="false" outlineLevel="0" collapsed="false">
      <c r="A829" s="11" t="s">
        <v>1076</v>
      </c>
      <c r="B829" s="11" t="s">
        <v>26</v>
      </c>
      <c r="C829" s="11" t="s">
        <v>101</v>
      </c>
      <c r="D829" s="11" t="s">
        <v>36</v>
      </c>
      <c r="E829" s="11" t="s">
        <v>102</v>
      </c>
      <c r="F829" s="11" t="s">
        <v>98</v>
      </c>
      <c r="G829" s="21" t="n">
        <v>25.74</v>
      </c>
      <c r="H829" s="19" t="n">
        <v>0</v>
      </c>
      <c r="I829" s="21" t="n">
        <v>25.74</v>
      </c>
      <c r="J829" s="22" t="s">
        <v>80</v>
      </c>
      <c r="K829" s="11" t="n">
        <v>33</v>
      </c>
      <c r="L829" s="23" t="n">
        <v>1.1</v>
      </c>
      <c r="M829" s="24" t="b">
        <f aca="false">TRUE()</f>
        <v>1</v>
      </c>
      <c r="N829" s="11" t="s">
        <v>89</v>
      </c>
      <c r="O829" s="11" t="str">
        <f aca="false">IF(K829&lt;=StockP33,"Low",IF(K829&lt;=StockP67,"Moderate","High"))</f>
        <v>Moderate</v>
      </c>
      <c r="P829" s="11" t="str">
        <f aca="false">IF(H829=0,"Low",IF(H829&lt;=MarkdownP75,"Moderate","High"))</f>
        <v>Low</v>
      </c>
      <c r="Q829" s="11" t="str">
        <f aca="false">IF(ISBLANK(L829),"Unknown",IF(L829&gt;=4,"Good",IF(L829&lt;=2,"Poor","Neutral")))</f>
        <v>Poor</v>
      </c>
      <c r="R829" s="11" t="str">
        <f aca="false">IF(AND(O829="Low",P829="Low",Q829="Good"),"BUY / PRIORITIZE",IF(AND(O829="High",P829="High",OR(Q829="Poor",M829=TRUE())),"HOLD / REVIEW","MONITOR"))</f>
        <v>MONITOR</v>
      </c>
      <c r="S829" s="11" t="n">
        <f aca="false">K829+(ROW()/10000000)</f>
        <v>33.0000829</v>
      </c>
    </row>
    <row r="830" customFormat="false" ht="15" hidden="false" customHeight="false" outlineLevel="0" collapsed="false">
      <c r="A830" s="11" t="s">
        <v>1077</v>
      </c>
      <c r="B830" s="11" t="s">
        <v>29</v>
      </c>
      <c r="C830" s="11" t="s">
        <v>107</v>
      </c>
      <c r="D830" s="11" t="s">
        <v>34</v>
      </c>
      <c r="E830" s="11" t="s">
        <v>73</v>
      </c>
      <c r="F830" s="11" t="s">
        <v>92</v>
      </c>
      <c r="G830" s="21" t="n">
        <v>162.97</v>
      </c>
      <c r="H830" s="19" t="n">
        <v>0</v>
      </c>
      <c r="I830" s="21" t="n">
        <v>162.97</v>
      </c>
      <c r="J830" s="22" t="s">
        <v>1078</v>
      </c>
      <c r="K830" s="11" t="n">
        <v>47</v>
      </c>
      <c r="L830" s="23" t="n">
        <v>2.2</v>
      </c>
      <c r="M830" s="24" t="b">
        <f aca="false">TRUE()</f>
        <v>1</v>
      </c>
      <c r="N830" s="11" t="s">
        <v>191</v>
      </c>
      <c r="O830" s="11" t="str">
        <f aca="false">IF(K830&lt;=StockP33,"Low",IF(K830&lt;=StockP67,"Moderate","High"))</f>
        <v>High</v>
      </c>
      <c r="P830" s="11" t="str">
        <f aca="false">IF(H830=0,"Low",IF(H830&lt;=MarkdownP75,"Moderate","High"))</f>
        <v>Low</v>
      </c>
      <c r="Q830" s="11" t="str">
        <f aca="false">IF(ISBLANK(L830),"Unknown",IF(L830&gt;=4,"Good",IF(L830&lt;=2,"Poor","Neutral")))</f>
        <v>Neutral</v>
      </c>
      <c r="R830" s="11" t="str">
        <f aca="false">IF(AND(O830="Low",P830="Low",Q830="Good"),"BUY / PRIORITIZE",IF(AND(O830="High",P830="High",OR(Q830="Poor",M830=TRUE())),"HOLD / REVIEW","MONITOR"))</f>
        <v>MONITOR</v>
      </c>
      <c r="S830" s="11" t="n">
        <f aca="false">K830+(ROW()/10000000)</f>
        <v>47.000083</v>
      </c>
    </row>
    <row r="831" customFormat="false" ht="15" hidden="false" customHeight="false" outlineLevel="0" collapsed="false">
      <c r="A831" s="11" t="s">
        <v>1079</v>
      </c>
      <c r="B831" s="11" t="s">
        <v>8</v>
      </c>
      <c r="C831" s="11" t="s">
        <v>101</v>
      </c>
      <c r="D831" s="11" t="s">
        <v>37</v>
      </c>
      <c r="E831" s="11"/>
      <c r="F831" s="11" t="s">
        <v>82</v>
      </c>
      <c r="G831" s="21" t="n">
        <v>50.33</v>
      </c>
      <c r="H831" s="19" t="n">
        <v>8.7</v>
      </c>
      <c r="I831" s="21" t="n">
        <v>45.95</v>
      </c>
      <c r="J831" s="22" t="s">
        <v>80</v>
      </c>
      <c r="K831" s="11" t="n">
        <v>14</v>
      </c>
      <c r="L831" s="23" t="n">
        <v>1.3</v>
      </c>
      <c r="M831" s="24" t="b">
        <f aca="false">FALSE()</f>
        <v>0</v>
      </c>
      <c r="N831" s="11"/>
      <c r="O831" s="11" t="str">
        <f aca="false">IF(K831&lt;=StockP33,"Low",IF(K831&lt;=StockP67,"Moderate","High"))</f>
        <v>Low</v>
      </c>
      <c r="P831" s="11" t="str">
        <f aca="false">IF(H831=0,"Low",IF(H831&lt;=MarkdownP75,"Moderate","High"))</f>
        <v>Moderate</v>
      </c>
      <c r="Q831" s="11" t="str">
        <f aca="false">IF(ISBLANK(L831),"Unknown",IF(L831&gt;=4,"Good",IF(L831&lt;=2,"Poor","Neutral")))</f>
        <v>Poor</v>
      </c>
      <c r="R831" s="11" t="str">
        <f aca="false">IF(AND(O831="Low",P831="Low",Q831="Good"),"BUY / PRIORITIZE",IF(AND(O831="High",P831="High",OR(Q831="Poor",M831=TRUE())),"HOLD / REVIEW","MONITOR"))</f>
        <v>MONITOR</v>
      </c>
      <c r="S831" s="11" t="n">
        <f aca="false">K831+(ROW()/10000000)</f>
        <v>14.0000831</v>
      </c>
    </row>
    <row r="832" customFormat="false" ht="15" hidden="false" customHeight="false" outlineLevel="0" collapsed="false">
      <c r="A832" s="11" t="s">
        <v>1080</v>
      </c>
      <c r="B832" s="11" t="s">
        <v>29</v>
      </c>
      <c r="C832" s="11" t="s">
        <v>77</v>
      </c>
      <c r="D832" s="11" t="s">
        <v>34</v>
      </c>
      <c r="E832" s="11"/>
      <c r="F832" s="11" t="s">
        <v>79</v>
      </c>
      <c r="G832" s="21" t="n">
        <v>60.38</v>
      </c>
      <c r="H832" s="19" t="n">
        <v>0</v>
      </c>
      <c r="I832" s="21" t="n">
        <v>60.38</v>
      </c>
      <c r="J832" s="22" t="s">
        <v>366</v>
      </c>
      <c r="K832" s="11" t="n">
        <v>0</v>
      </c>
      <c r="L832" s="23"/>
      <c r="M832" s="24" t="b">
        <f aca="false">FALSE()</f>
        <v>0</v>
      </c>
      <c r="N832" s="11"/>
      <c r="O832" s="11" t="str">
        <f aca="false">IF(K832&lt;=StockP33,"Low",IF(K832&lt;=StockP67,"Moderate","High"))</f>
        <v>Low</v>
      </c>
      <c r="P832" s="11" t="str">
        <f aca="false">IF(H832=0,"Low",IF(H832&lt;=MarkdownP75,"Moderate","High"))</f>
        <v>Low</v>
      </c>
      <c r="Q832" s="11" t="str">
        <f aca="false">IF(ISBLANK(L832),"Unknown",IF(L832&gt;=4,"Good",IF(L832&lt;=2,"Poor","Neutral")))</f>
        <v>Unknown</v>
      </c>
      <c r="R832" s="11" t="str">
        <f aca="false">IF(AND(O832="Low",P832="Low",Q832="Good"),"BUY / PRIORITIZE",IF(AND(O832="High",P832="High",OR(Q832="Poor",M832=TRUE())),"HOLD / REVIEW","MONITOR"))</f>
        <v>MONITOR</v>
      </c>
      <c r="S832" s="11" t="n">
        <f aca="false">K832+(ROW()/10000000)</f>
        <v>8.32E-005</v>
      </c>
    </row>
    <row r="833" customFormat="false" ht="15" hidden="false" customHeight="false" outlineLevel="0" collapsed="false">
      <c r="A833" s="11" t="s">
        <v>1081</v>
      </c>
      <c r="B833" s="11" t="s">
        <v>30</v>
      </c>
      <c r="C833" s="11" t="s">
        <v>77</v>
      </c>
      <c r="D833" s="11" t="s">
        <v>35</v>
      </c>
      <c r="E833" s="11" t="s">
        <v>102</v>
      </c>
      <c r="F833" s="11" t="s">
        <v>82</v>
      </c>
      <c r="G833" s="21" t="n">
        <v>103.65</v>
      </c>
      <c r="H833" s="19" t="n">
        <v>0</v>
      </c>
      <c r="I833" s="21" t="n">
        <v>103.65</v>
      </c>
      <c r="J833" s="22" t="s">
        <v>80</v>
      </c>
      <c r="K833" s="11" t="n">
        <v>29</v>
      </c>
      <c r="L833" s="23" t="n">
        <v>3.7</v>
      </c>
      <c r="M833" s="24" t="b">
        <f aca="false">FALSE()</f>
        <v>0</v>
      </c>
      <c r="N833" s="11"/>
      <c r="O833" s="11" t="str">
        <f aca="false">IF(K833&lt;=StockP33,"Low",IF(K833&lt;=StockP67,"Moderate","High"))</f>
        <v>Moderate</v>
      </c>
      <c r="P833" s="11" t="str">
        <f aca="false">IF(H833=0,"Low",IF(H833&lt;=MarkdownP75,"Moderate","High"))</f>
        <v>Low</v>
      </c>
      <c r="Q833" s="11" t="str">
        <f aca="false">IF(ISBLANK(L833),"Unknown",IF(L833&gt;=4,"Good",IF(L833&lt;=2,"Poor","Neutral")))</f>
        <v>Neutral</v>
      </c>
      <c r="R833" s="11" t="str">
        <f aca="false">IF(AND(O833="Low",P833="Low",Q833="Good"),"BUY / PRIORITIZE",IF(AND(O833="High",P833="High",OR(Q833="Poor",M833=TRUE())),"HOLD / REVIEW","MONITOR"))</f>
        <v>MONITOR</v>
      </c>
      <c r="S833" s="11" t="n">
        <f aca="false">K833+(ROW()/10000000)</f>
        <v>29.0000833</v>
      </c>
    </row>
    <row r="834" customFormat="false" ht="15" hidden="false" customHeight="false" outlineLevel="0" collapsed="false">
      <c r="A834" s="11" t="s">
        <v>1082</v>
      </c>
      <c r="B834" s="11" t="s">
        <v>26</v>
      </c>
      <c r="C834" s="11" t="s">
        <v>116</v>
      </c>
      <c r="D834" s="11" t="s">
        <v>34</v>
      </c>
      <c r="E834" s="11" t="s">
        <v>78</v>
      </c>
      <c r="F834" s="11" t="s">
        <v>111</v>
      </c>
      <c r="G834" s="21" t="n">
        <v>75.14</v>
      </c>
      <c r="H834" s="19" t="n">
        <v>0</v>
      </c>
      <c r="I834" s="21" t="n">
        <v>75.14</v>
      </c>
      <c r="J834" s="22" t="s">
        <v>1083</v>
      </c>
      <c r="K834" s="11" t="n">
        <v>41</v>
      </c>
      <c r="L834" s="23"/>
      <c r="M834" s="24" t="b">
        <f aca="false">TRUE()</f>
        <v>1</v>
      </c>
      <c r="N834" s="11" t="s">
        <v>178</v>
      </c>
      <c r="O834" s="11" t="str">
        <f aca="false">IF(K834&lt;=StockP33,"Low",IF(K834&lt;=StockP67,"Moderate","High"))</f>
        <v>High</v>
      </c>
      <c r="P834" s="11" t="str">
        <f aca="false">IF(H834=0,"Low",IF(H834&lt;=MarkdownP75,"Moderate","High"))</f>
        <v>Low</v>
      </c>
      <c r="Q834" s="11" t="str">
        <f aca="false">IF(ISBLANK(L834),"Unknown",IF(L834&gt;=4,"Good",IF(L834&lt;=2,"Poor","Neutral")))</f>
        <v>Unknown</v>
      </c>
      <c r="R834" s="11" t="str">
        <f aca="false">IF(AND(O834="Low",P834="Low",Q834="Good"),"BUY / PRIORITIZE",IF(AND(O834="High",P834="High",OR(Q834="Poor",M834=TRUE())),"HOLD / REVIEW","MONITOR"))</f>
        <v>MONITOR</v>
      </c>
      <c r="S834" s="11" t="n">
        <f aca="false">K834+(ROW()/10000000)</f>
        <v>41.0000834</v>
      </c>
    </row>
    <row r="835" customFormat="false" ht="15" hidden="false" customHeight="false" outlineLevel="0" collapsed="false">
      <c r="A835" s="11" t="s">
        <v>1084</v>
      </c>
      <c r="B835" s="11" t="s">
        <v>29</v>
      </c>
      <c r="C835" s="11" t="s">
        <v>101</v>
      </c>
      <c r="D835" s="11" t="s">
        <v>37</v>
      </c>
      <c r="E835" s="11" t="s">
        <v>91</v>
      </c>
      <c r="F835" s="11" t="s">
        <v>79</v>
      </c>
      <c r="G835" s="21" t="n">
        <v>88</v>
      </c>
      <c r="H835" s="19" t="n">
        <v>0</v>
      </c>
      <c r="I835" s="21" t="n">
        <v>88</v>
      </c>
      <c r="J835" s="22" t="s">
        <v>80</v>
      </c>
      <c r="K835" s="11" t="n">
        <v>2</v>
      </c>
      <c r="L835" s="23" t="n">
        <v>1.9</v>
      </c>
      <c r="M835" s="24" t="b">
        <f aca="false">FALSE()</f>
        <v>0</v>
      </c>
      <c r="N835" s="11"/>
      <c r="O835" s="11" t="str">
        <f aca="false">IF(K835&lt;=StockP33,"Low",IF(K835&lt;=StockP67,"Moderate","High"))</f>
        <v>Low</v>
      </c>
      <c r="P835" s="11" t="str">
        <f aca="false">IF(H835=0,"Low",IF(H835&lt;=MarkdownP75,"Moderate","High"))</f>
        <v>Low</v>
      </c>
      <c r="Q835" s="11" t="str">
        <f aca="false">IF(ISBLANK(L835),"Unknown",IF(L835&gt;=4,"Good",IF(L835&lt;=2,"Poor","Neutral")))</f>
        <v>Poor</v>
      </c>
      <c r="R835" s="11" t="str">
        <f aca="false">IF(AND(O835="Low",P835="Low",Q835="Good"),"BUY / PRIORITIZE",IF(AND(O835="High",P835="High",OR(Q835="Poor",M835=TRUE())),"HOLD / REVIEW","MONITOR"))</f>
        <v>MONITOR</v>
      </c>
      <c r="S835" s="11" t="n">
        <f aca="false">K835+(ROW()/10000000)</f>
        <v>2.0000835</v>
      </c>
    </row>
    <row r="836" customFormat="false" ht="15" hidden="false" customHeight="false" outlineLevel="0" collapsed="false">
      <c r="A836" s="11" t="s">
        <v>1085</v>
      </c>
      <c r="B836" s="11" t="s">
        <v>27</v>
      </c>
      <c r="C836" s="11" t="s">
        <v>107</v>
      </c>
      <c r="D836" s="11" t="s">
        <v>37</v>
      </c>
      <c r="E836" s="11" t="s">
        <v>110</v>
      </c>
      <c r="F836" s="11" t="s">
        <v>74</v>
      </c>
      <c r="G836" s="21" t="n">
        <v>69.54</v>
      </c>
      <c r="H836" s="19" t="n">
        <v>0</v>
      </c>
      <c r="I836" s="21" t="n">
        <v>69.54</v>
      </c>
      <c r="J836" s="22" t="s">
        <v>80</v>
      </c>
      <c r="K836" s="11" t="n">
        <v>21</v>
      </c>
      <c r="L836" s="23"/>
      <c r="M836" s="24" t="b">
        <f aca="false">FALSE()</f>
        <v>0</v>
      </c>
      <c r="N836" s="11"/>
      <c r="O836" s="11" t="str">
        <f aca="false">IF(K836&lt;=StockP33,"Low",IF(K836&lt;=StockP67,"Moderate","High"))</f>
        <v>Moderate</v>
      </c>
      <c r="P836" s="11" t="str">
        <f aca="false">IF(H836=0,"Low",IF(H836&lt;=MarkdownP75,"Moderate","High"))</f>
        <v>Low</v>
      </c>
      <c r="Q836" s="11" t="str">
        <f aca="false">IF(ISBLANK(L836),"Unknown",IF(L836&gt;=4,"Good",IF(L836&lt;=2,"Poor","Neutral")))</f>
        <v>Unknown</v>
      </c>
      <c r="R836" s="11" t="str">
        <f aca="false">IF(AND(O836="Low",P836="Low",Q836="Good"),"BUY / PRIORITIZE",IF(AND(O836="High",P836="High",OR(Q836="Poor",M836=TRUE())),"HOLD / REVIEW","MONITOR"))</f>
        <v>MONITOR</v>
      </c>
      <c r="S836" s="11" t="n">
        <f aca="false">K836+(ROW()/10000000)</f>
        <v>21.0000836</v>
      </c>
    </row>
    <row r="837" customFormat="false" ht="15" hidden="false" customHeight="false" outlineLevel="0" collapsed="false">
      <c r="A837" s="11" t="s">
        <v>1086</v>
      </c>
      <c r="B837" s="11" t="s">
        <v>28</v>
      </c>
      <c r="C837" s="11" t="s">
        <v>95</v>
      </c>
      <c r="D837" s="11" t="s">
        <v>37</v>
      </c>
      <c r="E837" s="11" t="s">
        <v>110</v>
      </c>
      <c r="F837" s="11" t="s">
        <v>79</v>
      </c>
      <c r="G837" s="21" t="n">
        <v>209.52</v>
      </c>
      <c r="H837" s="19" t="n">
        <v>0</v>
      </c>
      <c r="I837" s="21" t="n">
        <v>209.52</v>
      </c>
      <c r="J837" s="22" t="s">
        <v>80</v>
      </c>
      <c r="K837" s="11" t="n">
        <v>48</v>
      </c>
      <c r="L837" s="23" t="n">
        <v>2.6</v>
      </c>
      <c r="M837" s="24" t="b">
        <f aca="false">FALSE()</f>
        <v>0</v>
      </c>
      <c r="N837" s="11"/>
      <c r="O837" s="11" t="str">
        <f aca="false">IF(K837&lt;=StockP33,"Low",IF(K837&lt;=StockP67,"Moderate","High"))</f>
        <v>High</v>
      </c>
      <c r="P837" s="11" t="str">
        <f aca="false">IF(H837=0,"Low",IF(H837&lt;=MarkdownP75,"Moderate","High"))</f>
        <v>Low</v>
      </c>
      <c r="Q837" s="11" t="str">
        <f aca="false">IF(ISBLANK(L837),"Unknown",IF(L837&gt;=4,"Good",IF(L837&lt;=2,"Poor","Neutral")))</f>
        <v>Neutral</v>
      </c>
      <c r="R837" s="11" t="str">
        <f aca="false">IF(AND(O837="Low",P837="Low",Q837="Good"),"BUY / PRIORITIZE",IF(AND(O837="High",P837="High",OR(Q837="Poor",M837=TRUE())),"HOLD / REVIEW","MONITOR"))</f>
        <v>MONITOR</v>
      </c>
      <c r="S837" s="11" t="n">
        <f aca="false">K837+(ROW()/10000000)</f>
        <v>48.0000837</v>
      </c>
    </row>
    <row r="838" customFormat="false" ht="15" hidden="false" customHeight="false" outlineLevel="0" collapsed="false">
      <c r="A838" s="11" t="s">
        <v>1087</v>
      </c>
      <c r="B838" s="11" t="s">
        <v>29</v>
      </c>
      <c r="C838" s="11" t="s">
        <v>101</v>
      </c>
      <c r="D838" s="11" t="s">
        <v>36</v>
      </c>
      <c r="E838" s="11" t="s">
        <v>102</v>
      </c>
      <c r="F838" s="11" t="s">
        <v>111</v>
      </c>
      <c r="G838" s="21" t="n">
        <v>97.42</v>
      </c>
      <c r="H838" s="19" t="n">
        <v>0</v>
      </c>
      <c r="I838" s="21" t="n">
        <v>97.42</v>
      </c>
      <c r="J838" s="22" t="s">
        <v>80</v>
      </c>
      <c r="K838" s="11" t="n">
        <v>35</v>
      </c>
      <c r="L838" s="23" t="n">
        <v>2</v>
      </c>
      <c r="M838" s="24" t="b">
        <f aca="false">FALSE()</f>
        <v>0</v>
      </c>
      <c r="N838" s="11"/>
      <c r="O838" s="11" t="str">
        <f aca="false">IF(K838&lt;=StockP33,"Low",IF(K838&lt;=StockP67,"Moderate","High"))</f>
        <v>High</v>
      </c>
      <c r="P838" s="11" t="str">
        <f aca="false">IF(H838=0,"Low",IF(H838&lt;=MarkdownP75,"Moderate","High"))</f>
        <v>Low</v>
      </c>
      <c r="Q838" s="11" t="str">
        <f aca="false">IF(ISBLANK(L838),"Unknown",IF(L838&gt;=4,"Good",IF(L838&lt;=2,"Poor","Neutral")))</f>
        <v>Poor</v>
      </c>
      <c r="R838" s="11" t="str">
        <f aca="false">IF(AND(O838="Low",P838="Low",Q838="Good"),"BUY / PRIORITIZE",IF(AND(O838="High",P838="High",OR(Q838="Poor",M838=TRUE())),"HOLD / REVIEW","MONITOR"))</f>
        <v>MONITOR</v>
      </c>
      <c r="S838" s="11" t="n">
        <f aca="false">K838+(ROW()/10000000)</f>
        <v>35.0000838</v>
      </c>
    </row>
    <row r="839" customFormat="false" ht="15" hidden="false" customHeight="false" outlineLevel="0" collapsed="false">
      <c r="A839" s="11" t="s">
        <v>1088</v>
      </c>
      <c r="B839" s="11" t="s">
        <v>27</v>
      </c>
      <c r="C839" s="11" t="s">
        <v>77</v>
      </c>
      <c r="D839" s="11" t="s">
        <v>37</v>
      </c>
      <c r="E839" s="11" t="s">
        <v>110</v>
      </c>
      <c r="F839" s="11" t="s">
        <v>88</v>
      </c>
      <c r="G839" s="21" t="n">
        <v>154.6</v>
      </c>
      <c r="H839" s="19" t="n">
        <v>0</v>
      </c>
      <c r="I839" s="21" t="n">
        <v>154.6</v>
      </c>
      <c r="J839" s="22" t="s">
        <v>80</v>
      </c>
      <c r="K839" s="11" t="n">
        <v>38</v>
      </c>
      <c r="L839" s="23" t="n">
        <v>4.5</v>
      </c>
      <c r="M839" s="24" t="b">
        <f aca="false">TRUE()</f>
        <v>1</v>
      </c>
      <c r="N839" s="11" t="s">
        <v>178</v>
      </c>
      <c r="O839" s="11" t="str">
        <f aca="false">IF(K839&lt;=StockP33,"Low",IF(K839&lt;=StockP67,"Moderate","High"))</f>
        <v>High</v>
      </c>
      <c r="P839" s="11" t="str">
        <f aca="false">IF(H839=0,"Low",IF(H839&lt;=MarkdownP75,"Moderate","High"))</f>
        <v>Low</v>
      </c>
      <c r="Q839" s="11" t="str">
        <f aca="false">IF(ISBLANK(L839),"Unknown",IF(L839&gt;=4,"Good",IF(L839&lt;=2,"Poor","Neutral")))</f>
        <v>Good</v>
      </c>
      <c r="R839" s="11" t="str">
        <f aca="false">IF(AND(O839="Low",P839="Low",Q839="Good"),"BUY / PRIORITIZE",IF(AND(O839="High",P839="High",OR(Q839="Poor",M839=TRUE())),"HOLD / REVIEW","MONITOR"))</f>
        <v>MONITOR</v>
      </c>
      <c r="S839" s="11" t="n">
        <f aca="false">K839+(ROW()/10000000)</f>
        <v>38.0000839</v>
      </c>
    </row>
    <row r="840" customFormat="false" ht="15" hidden="false" customHeight="false" outlineLevel="0" collapsed="false">
      <c r="A840" s="11" t="s">
        <v>1089</v>
      </c>
      <c r="B840" s="11" t="s">
        <v>26</v>
      </c>
      <c r="C840" s="11" t="s">
        <v>72</v>
      </c>
      <c r="D840" s="11" t="s">
        <v>35</v>
      </c>
      <c r="E840" s="11" t="s">
        <v>73</v>
      </c>
      <c r="F840" s="11" t="s">
        <v>88</v>
      </c>
      <c r="G840" s="21" t="n">
        <v>81.59</v>
      </c>
      <c r="H840" s="19" t="n">
        <v>38</v>
      </c>
      <c r="I840" s="21" t="n">
        <v>50.59</v>
      </c>
      <c r="J840" s="22" t="s">
        <v>80</v>
      </c>
      <c r="K840" s="11" t="n">
        <v>31</v>
      </c>
      <c r="L840" s="23" t="n">
        <v>1.2</v>
      </c>
      <c r="M840" s="24" t="b">
        <f aca="false">FALSE()</f>
        <v>0</v>
      </c>
      <c r="N840" s="11"/>
      <c r="O840" s="11" t="str">
        <f aca="false">IF(K840&lt;=StockP33,"Low",IF(K840&lt;=StockP67,"Moderate","High"))</f>
        <v>Moderate</v>
      </c>
      <c r="P840" s="11" t="str">
        <f aca="false">IF(H840=0,"Low",IF(H840&lt;=MarkdownP75,"Moderate","High"))</f>
        <v>High</v>
      </c>
      <c r="Q840" s="11" t="str">
        <f aca="false">IF(ISBLANK(L840),"Unknown",IF(L840&gt;=4,"Good",IF(L840&lt;=2,"Poor","Neutral")))</f>
        <v>Poor</v>
      </c>
      <c r="R840" s="11" t="str">
        <f aca="false">IF(AND(O840="Low",P840="Low",Q840="Good"),"BUY / PRIORITIZE",IF(AND(O840="High",P840="High",OR(Q840="Poor",M840=TRUE())),"HOLD / REVIEW","MONITOR"))</f>
        <v>MONITOR</v>
      </c>
      <c r="S840" s="11" t="n">
        <f aca="false">K840+(ROW()/10000000)</f>
        <v>31.000084</v>
      </c>
    </row>
    <row r="841" customFormat="false" ht="15" hidden="false" customHeight="false" outlineLevel="0" collapsed="false">
      <c r="A841" s="11" t="s">
        <v>1090</v>
      </c>
      <c r="B841" s="11" t="s">
        <v>8</v>
      </c>
      <c r="C841" s="11" t="s">
        <v>95</v>
      </c>
      <c r="D841" s="11" t="s">
        <v>37</v>
      </c>
      <c r="E841" s="11"/>
      <c r="F841" s="11" t="s">
        <v>124</v>
      </c>
      <c r="G841" s="21" t="n">
        <v>48.04</v>
      </c>
      <c r="H841" s="19" t="n">
        <v>0</v>
      </c>
      <c r="I841" s="21" t="n">
        <v>48.04</v>
      </c>
      <c r="J841" s="22" t="s">
        <v>80</v>
      </c>
      <c r="K841" s="11" t="n">
        <v>46</v>
      </c>
      <c r="L841" s="23" t="n">
        <v>4.8</v>
      </c>
      <c r="M841" s="24" t="b">
        <f aca="false">FALSE()</f>
        <v>0</v>
      </c>
      <c r="N841" s="11"/>
      <c r="O841" s="11" t="str">
        <f aca="false">IF(K841&lt;=StockP33,"Low",IF(K841&lt;=StockP67,"Moderate","High"))</f>
        <v>High</v>
      </c>
      <c r="P841" s="11" t="str">
        <f aca="false">IF(H841=0,"Low",IF(H841&lt;=MarkdownP75,"Moderate","High"))</f>
        <v>Low</v>
      </c>
      <c r="Q841" s="11" t="str">
        <f aca="false">IF(ISBLANK(L841),"Unknown",IF(L841&gt;=4,"Good",IF(L841&lt;=2,"Poor","Neutral")))</f>
        <v>Good</v>
      </c>
      <c r="R841" s="11" t="str">
        <f aca="false">IF(AND(O841="Low",P841="Low",Q841="Good"),"BUY / PRIORITIZE",IF(AND(O841="High",P841="High",OR(Q841="Poor",M841=TRUE())),"HOLD / REVIEW","MONITOR"))</f>
        <v>MONITOR</v>
      </c>
      <c r="S841" s="11" t="n">
        <f aca="false">K841+(ROW()/10000000)</f>
        <v>46.0000841</v>
      </c>
    </row>
    <row r="842" customFormat="false" ht="15" hidden="false" customHeight="false" outlineLevel="0" collapsed="false">
      <c r="A842" s="11" t="s">
        <v>1091</v>
      </c>
      <c r="B842" s="11" t="s">
        <v>30</v>
      </c>
      <c r="C842" s="11" t="s">
        <v>86</v>
      </c>
      <c r="D842" s="11" t="s">
        <v>36</v>
      </c>
      <c r="E842" s="11" t="s">
        <v>91</v>
      </c>
      <c r="F842" s="11" t="s">
        <v>98</v>
      </c>
      <c r="G842" s="21" t="n">
        <v>70.77</v>
      </c>
      <c r="H842" s="19" t="n">
        <v>0</v>
      </c>
      <c r="I842" s="21" t="n">
        <v>70.77</v>
      </c>
      <c r="J842" s="22" t="s">
        <v>80</v>
      </c>
      <c r="K842" s="11" t="n">
        <v>5</v>
      </c>
      <c r="L842" s="23" t="n">
        <v>3.7</v>
      </c>
      <c r="M842" s="24" t="b">
        <f aca="false">FALSE()</f>
        <v>0</v>
      </c>
      <c r="N842" s="11"/>
      <c r="O842" s="11" t="str">
        <f aca="false">IF(K842&lt;=StockP33,"Low",IF(K842&lt;=StockP67,"Moderate","High"))</f>
        <v>Low</v>
      </c>
      <c r="P842" s="11" t="str">
        <f aca="false">IF(H842=0,"Low",IF(H842&lt;=MarkdownP75,"Moderate","High"))</f>
        <v>Low</v>
      </c>
      <c r="Q842" s="11" t="str">
        <f aca="false">IF(ISBLANK(L842),"Unknown",IF(L842&gt;=4,"Good",IF(L842&lt;=2,"Poor","Neutral")))</f>
        <v>Neutral</v>
      </c>
      <c r="R842" s="11" t="str">
        <f aca="false">IF(AND(O842="Low",P842="Low",Q842="Good"),"BUY / PRIORITIZE",IF(AND(O842="High",P842="High",OR(Q842="Poor",M842=TRUE())),"HOLD / REVIEW","MONITOR"))</f>
        <v>MONITOR</v>
      </c>
      <c r="S842" s="11" t="n">
        <f aca="false">K842+(ROW()/10000000)</f>
        <v>5.0000842</v>
      </c>
    </row>
    <row r="843" customFormat="false" ht="15" hidden="false" customHeight="false" outlineLevel="0" collapsed="false">
      <c r="A843" s="11" t="s">
        <v>1092</v>
      </c>
      <c r="B843" s="11" t="s">
        <v>28</v>
      </c>
      <c r="C843" s="11" t="s">
        <v>130</v>
      </c>
      <c r="D843" s="11" t="s">
        <v>36</v>
      </c>
      <c r="E843" s="11" t="s">
        <v>91</v>
      </c>
      <c r="F843" s="11" t="s">
        <v>92</v>
      </c>
      <c r="G843" s="21" t="n">
        <v>103.49</v>
      </c>
      <c r="H843" s="19" t="n">
        <v>0</v>
      </c>
      <c r="I843" s="21" t="n">
        <v>103.49</v>
      </c>
      <c r="J843" s="22" t="s">
        <v>80</v>
      </c>
      <c r="K843" s="11" t="n">
        <v>12</v>
      </c>
      <c r="L843" s="23" t="n">
        <v>1.8</v>
      </c>
      <c r="M843" s="24" t="b">
        <f aca="false">FALSE()</f>
        <v>0</v>
      </c>
      <c r="N843" s="11"/>
      <c r="O843" s="11" t="str">
        <f aca="false">IF(K843&lt;=StockP33,"Low",IF(K843&lt;=StockP67,"Moderate","High"))</f>
        <v>Low</v>
      </c>
      <c r="P843" s="11" t="str">
        <f aca="false">IF(H843=0,"Low",IF(H843&lt;=MarkdownP75,"Moderate","High"))</f>
        <v>Low</v>
      </c>
      <c r="Q843" s="11" t="str">
        <f aca="false">IF(ISBLANK(L843),"Unknown",IF(L843&gt;=4,"Good",IF(L843&lt;=2,"Poor","Neutral")))</f>
        <v>Poor</v>
      </c>
      <c r="R843" s="11" t="str">
        <f aca="false">IF(AND(O843="Low",P843="Low",Q843="Good"),"BUY / PRIORITIZE",IF(AND(O843="High",P843="High",OR(Q843="Poor",M843=TRUE())),"HOLD / REVIEW","MONITOR"))</f>
        <v>MONITOR</v>
      </c>
      <c r="S843" s="11" t="n">
        <f aca="false">K843+(ROW()/10000000)</f>
        <v>12.0000843</v>
      </c>
    </row>
    <row r="844" customFormat="false" ht="15" hidden="false" customHeight="false" outlineLevel="0" collapsed="false">
      <c r="A844" s="11" t="s">
        <v>1093</v>
      </c>
      <c r="B844" s="11" t="s">
        <v>28</v>
      </c>
      <c r="C844" s="11" t="s">
        <v>77</v>
      </c>
      <c r="D844" s="11" t="s">
        <v>34</v>
      </c>
      <c r="E844" s="11" t="s">
        <v>78</v>
      </c>
      <c r="F844" s="11" t="s">
        <v>120</v>
      </c>
      <c r="G844" s="21" t="n">
        <v>138.89</v>
      </c>
      <c r="H844" s="19" t="n">
        <v>0</v>
      </c>
      <c r="I844" s="21" t="n">
        <v>138.89</v>
      </c>
      <c r="J844" s="22" t="s">
        <v>383</v>
      </c>
      <c r="K844" s="11" t="n">
        <v>10</v>
      </c>
      <c r="L844" s="23"/>
      <c r="M844" s="24" t="b">
        <f aca="false">FALSE()</f>
        <v>0</v>
      </c>
      <c r="N844" s="11"/>
      <c r="O844" s="11" t="str">
        <f aca="false">IF(K844&lt;=StockP33,"Low",IF(K844&lt;=StockP67,"Moderate","High"))</f>
        <v>Low</v>
      </c>
      <c r="P844" s="11" t="str">
        <f aca="false">IF(H844=0,"Low",IF(H844&lt;=MarkdownP75,"Moderate","High"))</f>
        <v>Low</v>
      </c>
      <c r="Q844" s="11" t="str">
        <f aca="false">IF(ISBLANK(L844),"Unknown",IF(L844&gt;=4,"Good",IF(L844&lt;=2,"Poor","Neutral")))</f>
        <v>Unknown</v>
      </c>
      <c r="R844" s="11" t="str">
        <f aca="false">IF(AND(O844="Low",P844="Low",Q844="Good"),"BUY / PRIORITIZE",IF(AND(O844="High",P844="High",OR(Q844="Poor",M844=TRUE())),"HOLD / REVIEW","MONITOR"))</f>
        <v>MONITOR</v>
      </c>
      <c r="S844" s="11" t="n">
        <f aca="false">K844+(ROW()/10000000)</f>
        <v>10.0000844</v>
      </c>
    </row>
    <row r="845" customFormat="false" ht="15" hidden="false" customHeight="false" outlineLevel="0" collapsed="false">
      <c r="A845" s="11" t="s">
        <v>1094</v>
      </c>
      <c r="B845" s="11" t="s">
        <v>8</v>
      </c>
      <c r="C845" s="11" t="s">
        <v>101</v>
      </c>
      <c r="D845" s="11" t="s">
        <v>37</v>
      </c>
      <c r="E845" s="11"/>
      <c r="F845" s="11" t="s">
        <v>98</v>
      </c>
      <c r="G845" s="21" t="n">
        <v>73.51</v>
      </c>
      <c r="H845" s="19" t="n">
        <v>32.2</v>
      </c>
      <c r="I845" s="21" t="n">
        <v>49.84</v>
      </c>
      <c r="J845" s="22" t="s">
        <v>80</v>
      </c>
      <c r="K845" s="11" t="n">
        <v>17</v>
      </c>
      <c r="L845" s="23"/>
      <c r="M845" s="24" t="b">
        <f aca="false">TRUE()</f>
        <v>1</v>
      </c>
      <c r="N845" s="11" t="s">
        <v>191</v>
      </c>
      <c r="O845" s="11" t="str">
        <f aca="false">IF(K845&lt;=StockP33,"Low",IF(K845&lt;=StockP67,"Moderate","High"))</f>
        <v>Low</v>
      </c>
      <c r="P845" s="11" t="str">
        <f aca="false">IF(H845=0,"Low",IF(H845&lt;=MarkdownP75,"Moderate","High"))</f>
        <v>High</v>
      </c>
      <c r="Q845" s="11" t="str">
        <f aca="false">IF(ISBLANK(L845),"Unknown",IF(L845&gt;=4,"Good",IF(L845&lt;=2,"Poor","Neutral")))</f>
        <v>Unknown</v>
      </c>
      <c r="R845" s="11" t="str">
        <f aca="false">IF(AND(O845="Low",P845="Low",Q845="Good"),"BUY / PRIORITIZE",IF(AND(O845="High",P845="High",OR(Q845="Poor",M845=TRUE())),"HOLD / REVIEW","MONITOR"))</f>
        <v>MONITOR</v>
      </c>
      <c r="S845" s="11" t="n">
        <f aca="false">K845+(ROW()/10000000)</f>
        <v>17.0000845</v>
      </c>
    </row>
    <row r="846" customFormat="false" ht="15" hidden="false" customHeight="false" outlineLevel="0" collapsed="false">
      <c r="A846" s="11" t="s">
        <v>1095</v>
      </c>
      <c r="B846" s="11" t="s">
        <v>26</v>
      </c>
      <c r="C846" s="11" t="s">
        <v>72</v>
      </c>
      <c r="D846" s="11" t="s">
        <v>34</v>
      </c>
      <c r="E846" s="11" t="s">
        <v>113</v>
      </c>
      <c r="F846" s="11" t="s">
        <v>120</v>
      </c>
      <c r="G846" s="21" t="n">
        <v>82.37</v>
      </c>
      <c r="H846" s="19" t="n">
        <v>0</v>
      </c>
      <c r="I846" s="21" t="n">
        <v>82.37</v>
      </c>
      <c r="J846" s="22" t="s">
        <v>1096</v>
      </c>
      <c r="K846" s="11" t="n">
        <v>49</v>
      </c>
      <c r="L846" s="23" t="n">
        <v>3.3</v>
      </c>
      <c r="M846" s="24" t="b">
        <f aca="false">FALSE()</f>
        <v>0</v>
      </c>
      <c r="N846" s="11"/>
      <c r="O846" s="11" t="str">
        <f aca="false">IF(K846&lt;=StockP33,"Low",IF(K846&lt;=StockP67,"Moderate","High"))</f>
        <v>High</v>
      </c>
      <c r="P846" s="11" t="str">
        <f aca="false">IF(H846=0,"Low",IF(H846&lt;=MarkdownP75,"Moderate","High"))</f>
        <v>Low</v>
      </c>
      <c r="Q846" s="11" t="str">
        <f aca="false">IF(ISBLANK(L846),"Unknown",IF(L846&gt;=4,"Good",IF(L846&lt;=2,"Poor","Neutral")))</f>
        <v>Neutral</v>
      </c>
      <c r="R846" s="11" t="str">
        <f aca="false">IF(AND(O846="Low",P846="Low",Q846="Good"),"BUY / PRIORITIZE",IF(AND(O846="High",P846="High",OR(Q846="Poor",M846=TRUE())),"HOLD / REVIEW","MONITOR"))</f>
        <v>MONITOR</v>
      </c>
      <c r="S846" s="11" t="n">
        <f aca="false">K846+(ROW()/10000000)</f>
        <v>49.0000846</v>
      </c>
    </row>
    <row r="847" customFormat="false" ht="15" hidden="false" customHeight="false" outlineLevel="0" collapsed="false">
      <c r="A847" s="11" t="s">
        <v>1097</v>
      </c>
      <c r="B847" s="11" t="s">
        <v>27</v>
      </c>
      <c r="C847" s="11" t="s">
        <v>107</v>
      </c>
      <c r="D847" s="11" t="s">
        <v>35</v>
      </c>
      <c r="E847" s="11" t="s">
        <v>110</v>
      </c>
      <c r="F847" s="11" t="s">
        <v>118</v>
      </c>
      <c r="G847" s="21" t="n">
        <v>81.71</v>
      </c>
      <c r="H847" s="19" t="n">
        <v>18</v>
      </c>
      <c r="I847" s="21" t="n">
        <v>67</v>
      </c>
      <c r="J847" s="22" t="s">
        <v>80</v>
      </c>
      <c r="K847" s="11" t="n">
        <v>28</v>
      </c>
      <c r="L847" s="23" t="n">
        <v>4.7</v>
      </c>
      <c r="M847" s="24" t="b">
        <f aca="false">FALSE()</f>
        <v>0</v>
      </c>
      <c r="N847" s="11"/>
      <c r="O847" s="11" t="str">
        <f aca="false">IF(K847&lt;=StockP33,"Low",IF(K847&lt;=StockP67,"Moderate","High"))</f>
        <v>Moderate</v>
      </c>
      <c r="P847" s="11" t="str">
        <f aca="false">IF(H847=0,"Low",IF(H847&lt;=MarkdownP75,"Moderate","High"))</f>
        <v>Moderate</v>
      </c>
      <c r="Q847" s="11" t="str">
        <f aca="false">IF(ISBLANK(L847),"Unknown",IF(L847&gt;=4,"Good",IF(L847&lt;=2,"Poor","Neutral")))</f>
        <v>Good</v>
      </c>
      <c r="R847" s="11" t="str">
        <f aca="false">IF(AND(O847="Low",P847="Low",Q847="Good"),"BUY / PRIORITIZE",IF(AND(O847="High",P847="High",OR(Q847="Poor",M847=TRUE())),"HOLD / REVIEW","MONITOR"))</f>
        <v>MONITOR</v>
      </c>
      <c r="S847" s="11" t="n">
        <f aca="false">K847+(ROW()/10000000)</f>
        <v>28.0000847</v>
      </c>
    </row>
    <row r="848" customFormat="false" ht="15" hidden="false" customHeight="false" outlineLevel="0" collapsed="false">
      <c r="A848" s="11" t="s">
        <v>1098</v>
      </c>
      <c r="B848" s="11" t="s">
        <v>27</v>
      </c>
      <c r="C848" s="11" t="s">
        <v>86</v>
      </c>
      <c r="D848" s="11" t="s">
        <v>37</v>
      </c>
      <c r="E848" s="11" t="s">
        <v>102</v>
      </c>
      <c r="F848" s="11" t="s">
        <v>118</v>
      </c>
      <c r="G848" s="21" t="n">
        <v>107.02</v>
      </c>
      <c r="H848" s="19" t="n">
        <v>10.6</v>
      </c>
      <c r="I848" s="21" t="n">
        <v>95.68</v>
      </c>
      <c r="J848" s="22" t="s">
        <v>80</v>
      </c>
      <c r="K848" s="11" t="n">
        <v>6</v>
      </c>
      <c r="L848" s="23"/>
      <c r="M848" s="24" t="b">
        <f aca="false">FALSE()</f>
        <v>0</v>
      </c>
      <c r="N848" s="11"/>
      <c r="O848" s="11" t="str">
        <f aca="false">IF(K848&lt;=StockP33,"Low",IF(K848&lt;=StockP67,"Moderate","High"))</f>
        <v>Low</v>
      </c>
      <c r="P848" s="11" t="str">
        <f aca="false">IF(H848=0,"Low",IF(H848&lt;=MarkdownP75,"Moderate","High"))</f>
        <v>Moderate</v>
      </c>
      <c r="Q848" s="11" t="str">
        <f aca="false">IF(ISBLANK(L848),"Unknown",IF(L848&gt;=4,"Good",IF(L848&lt;=2,"Poor","Neutral")))</f>
        <v>Unknown</v>
      </c>
      <c r="R848" s="11" t="str">
        <f aca="false">IF(AND(O848="Low",P848="Low",Q848="Good"),"BUY / PRIORITIZE",IF(AND(O848="High",P848="High",OR(Q848="Poor",M848=TRUE())),"HOLD / REVIEW","MONITOR"))</f>
        <v>MONITOR</v>
      </c>
      <c r="S848" s="11" t="n">
        <f aca="false">K848+(ROW()/10000000)</f>
        <v>6.0000848</v>
      </c>
    </row>
    <row r="849" customFormat="false" ht="15" hidden="false" customHeight="false" outlineLevel="0" collapsed="false">
      <c r="A849" s="11" t="s">
        <v>1099</v>
      </c>
      <c r="B849" s="11" t="s">
        <v>26</v>
      </c>
      <c r="C849" s="11" t="s">
        <v>101</v>
      </c>
      <c r="D849" s="11" t="s">
        <v>35</v>
      </c>
      <c r="E849" s="11" t="s">
        <v>73</v>
      </c>
      <c r="F849" s="11" t="s">
        <v>79</v>
      </c>
      <c r="G849" s="21" t="n">
        <v>103.23</v>
      </c>
      <c r="H849" s="19" t="n">
        <v>18.7</v>
      </c>
      <c r="I849" s="21" t="n">
        <v>83.93</v>
      </c>
      <c r="J849" s="22" t="s">
        <v>80</v>
      </c>
      <c r="K849" s="11" t="n">
        <v>6</v>
      </c>
      <c r="L849" s="23" t="n">
        <v>4</v>
      </c>
      <c r="M849" s="24" t="b">
        <f aca="false">FALSE()</f>
        <v>0</v>
      </c>
      <c r="N849" s="11"/>
      <c r="O849" s="11" t="str">
        <f aca="false">IF(K849&lt;=StockP33,"Low",IF(K849&lt;=StockP67,"Moderate","High"))</f>
        <v>Low</v>
      </c>
      <c r="P849" s="11" t="str">
        <f aca="false">IF(H849=0,"Low",IF(H849&lt;=MarkdownP75,"Moderate","High"))</f>
        <v>Moderate</v>
      </c>
      <c r="Q849" s="11" t="str">
        <f aca="false">IF(ISBLANK(L849),"Unknown",IF(L849&gt;=4,"Good",IF(L849&lt;=2,"Poor","Neutral")))</f>
        <v>Good</v>
      </c>
      <c r="R849" s="11" t="str">
        <f aca="false">IF(AND(O849="Low",P849="Low",Q849="Good"),"BUY / PRIORITIZE",IF(AND(O849="High",P849="High",OR(Q849="Poor",M849=TRUE())),"HOLD / REVIEW","MONITOR"))</f>
        <v>MONITOR</v>
      </c>
      <c r="S849" s="11" t="n">
        <f aca="false">K849+(ROW()/10000000)</f>
        <v>6.0000849</v>
      </c>
    </row>
    <row r="850" customFormat="false" ht="15" hidden="false" customHeight="false" outlineLevel="0" collapsed="false">
      <c r="A850" s="11" t="s">
        <v>1100</v>
      </c>
      <c r="B850" s="11" t="s">
        <v>30</v>
      </c>
      <c r="C850" s="11" t="s">
        <v>116</v>
      </c>
      <c r="D850" s="11" t="s">
        <v>36</v>
      </c>
      <c r="E850" s="11" t="s">
        <v>78</v>
      </c>
      <c r="F850" s="11" t="s">
        <v>96</v>
      </c>
      <c r="G850" s="21" t="n">
        <v>100.48</v>
      </c>
      <c r="H850" s="19" t="n">
        <v>17.6</v>
      </c>
      <c r="I850" s="21" t="n">
        <v>82.8</v>
      </c>
      <c r="J850" s="22" t="s">
        <v>80</v>
      </c>
      <c r="K850" s="11" t="n">
        <v>19</v>
      </c>
      <c r="L850" s="23"/>
      <c r="M850" s="24" t="b">
        <f aca="false">FALSE()</f>
        <v>0</v>
      </c>
      <c r="N850" s="11"/>
      <c r="O850" s="11" t="str">
        <f aca="false">IF(K850&lt;=StockP33,"Low",IF(K850&lt;=StockP67,"Moderate","High"))</f>
        <v>Moderate</v>
      </c>
      <c r="P850" s="11" t="str">
        <f aca="false">IF(H850=0,"Low",IF(H850&lt;=MarkdownP75,"Moderate","High"))</f>
        <v>Moderate</v>
      </c>
      <c r="Q850" s="11" t="str">
        <f aca="false">IF(ISBLANK(L850),"Unknown",IF(L850&gt;=4,"Good",IF(L850&lt;=2,"Poor","Neutral")))</f>
        <v>Unknown</v>
      </c>
      <c r="R850" s="11" t="str">
        <f aca="false">IF(AND(O850="Low",P850="Low",Q850="Good"),"BUY / PRIORITIZE",IF(AND(O850="High",P850="High",OR(Q850="Poor",M850=TRUE())),"HOLD / REVIEW","MONITOR"))</f>
        <v>MONITOR</v>
      </c>
      <c r="S850" s="11" t="n">
        <f aca="false">K850+(ROW()/10000000)</f>
        <v>19.000085</v>
      </c>
    </row>
    <row r="851" customFormat="false" ht="15" hidden="false" customHeight="false" outlineLevel="0" collapsed="false">
      <c r="A851" s="11" t="s">
        <v>1101</v>
      </c>
      <c r="B851" s="11" t="s">
        <v>29</v>
      </c>
      <c r="C851" s="11" t="s">
        <v>107</v>
      </c>
      <c r="D851" s="11" t="s">
        <v>37</v>
      </c>
      <c r="E851" s="11" t="s">
        <v>73</v>
      </c>
      <c r="F851" s="11" t="s">
        <v>88</v>
      </c>
      <c r="G851" s="21" t="n">
        <v>160.87</v>
      </c>
      <c r="H851" s="19" t="n">
        <v>53.7</v>
      </c>
      <c r="I851" s="21" t="n">
        <v>74.48</v>
      </c>
      <c r="J851" s="22" t="s">
        <v>80</v>
      </c>
      <c r="K851" s="11" t="n">
        <v>18</v>
      </c>
      <c r="L851" s="23"/>
      <c r="M851" s="24" t="b">
        <f aca="false">FALSE()</f>
        <v>0</v>
      </c>
      <c r="N851" s="11"/>
      <c r="O851" s="11" t="str">
        <f aca="false">IF(K851&lt;=StockP33,"Low",IF(K851&lt;=StockP67,"Moderate","High"))</f>
        <v>Moderate</v>
      </c>
      <c r="P851" s="11" t="str">
        <f aca="false">IF(H851=0,"Low",IF(H851&lt;=MarkdownP75,"Moderate","High"))</f>
        <v>High</v>
      </c>
      <c r="Q851" s="11" t="str">
        <f aca="false">IF(ISBLANK(L851),"Unknown",IF(L851&gt;=4,"Good",IF(L851&lt;=2,"Poor","Neutral")))</f>
        <v>Unknown</v>
      </c>
      <c r="R851" s="11" t="str">
        <f aca="false">IF(AND(O851="Low",P851="Low",Q851="Good"),"BUY / PRIORITIZE",IF(AND(O851="High",P851="High",OR(Q851="Poor",M851=TRUE())),"HOLD / REVIEW","MONITOR"))</f>
        <v>MONITOR</v>
      </c>
      <c r="S851" s="11" t="n">
        <f aca="false">K851+(ROW()/10000000)</f>
        <v>18.0000851</v>
      </c>
    </row>
    <row r="852" customFormat="false" ht="15" hidden="false" customHeight="false" outlineLevel="0" collapsed="false">
      <c r="A852" s="11" t="s">
        <v>1102</v>
      </c>
      <c r="B852" s="11" t="s">
        <v>8</v>
      </c>
      <c r="C852" s="11" t="s">
        <v>95</v>
      </c>
      <c r="D852" s="11" t="s">
        <v>36</v>
      </c>
      <c r="E852" s="11"/>
      <c r="F852" s="11" t="s">
        <v>88</v>
      </c>
      <c r="G852" s="21" t="n">
        <v>78.39</v>
      </c>
      <c r="H852" s="19" t="n">
        <v>0</v>
      </c>
      <c r="I852" s="21" t="n">
        <v>78.39</v>
      </c>
      <c r="J852" s="22" t="s">
        <v>80</v>
      </c>
      <c r="K852" s="11" t="n">
        <v>7</v>
      </c>
      <c r="L852" s="23" t="n">
        <v>4.2</v>
      </c>
      <c r="M852" s="24" t="b">
        <f aca="false">FALSE()</f>
        <v>0</v>
      </c>
      <c r="N852" s="11"/>
      <c r="O852" s="11" t="str">
        <f aca="false">IF(K852&lt;=StockP33,"Low",IF(K852&lt;=StockP67,"Moderate","High"))</f>
        <v>Low</v>
      </c>
      <c r="P852" s="11" t="str">
        <f aca="false">IF(H852=0,"Low",IF(H852&lt;=MarkdownP75,"Moderate","High"))</f>
        <v>Low</v>
      </c>
      <c r="Q852" s="11" t="str">
        <f aca="false">IF(ISBLANK(L852),"Unknown",IF(L852&gt;=4,"Good",IF(L852&lt;=2,"Poor","Neutral")))</f>
        <v>Good</v>
      </c>
      <c r="R852" s="11" t="str">
        <f aca="false">IF(AND(O852="Low",P852="Low",Q852="Good"),"BUY / PRIORITIZE",IF(AND(O852="High",P852="High",OR(Q852="Poor",M852=TRUE())),"HOLD / REVIEW","MONITOR"))</f>
        <v>BUY / PRIORITIZE</v>
      </c>
      <c r="S852" s="11" t="n">
        <f aca="false">K852+(ROW()/10000000)</f>
        <v>7.0000852</v>
      </c>
    </row>
    <row r="853" customFormat="false" ht="15" hidden="false" customHeight="false" outlineLevel="0" collapsed="false">
      <c r="A853" s="11" t="s">
        <v>1103</v>
      </c>
      <c r="B853" s="11" t="s">
        <v>28</v>
      </c>
      <c r="C853" s="11" t="s">
        <v>72</v>
      </c>
      <c r="D853" s="11" t="s">
        <v>34</v>
      </c>
      <c r="E853" s="11" t="s">
        <v>91</v>
      </c>
      <c r="F853" s="11" t="s">
        <v>111</v>
      </c>
      <c r="G853" s="21" t="n">
        <v>168.38</v>
      </c>
      <c r="H853" s="19" t="n">
        <v>23.1</v>
      </c>
      <c r="I853" s="21" t="n">
        <v>129.48</v>
      </c>
      <c r="J853" s="22" t="s">
        <v>1096</v>
      </c>
      <c r="K853" s="11" t="n">
        <v>3</v>
      </c>
      <c r="L853" s="23" t="n">
        <v>2</v>
      </c>
      <c r="M853" s="24" t="b">
        <f aca="false">FALSE()</f>
        <v>0</v>
      </c>
      <c r="N853" s="11"/>
      <c r="O853" s="11" t="str">
        <f aca="false">IF(K853&lt;=StockP33,"Low",IF(K853&lt;=StockP67,"Moderate","High"))</f>
        <v>Low</v>
      </c>
      <c r="P853" s="11" t="str">
        <f aca="false">IF(H853=0,"Low",IF(H853&lt;=MarkdownP75,"Moderate","High"))</f>
        <v>High</v>
      </c>
      <c r="Q853" s="11" t="str">
        <f aca="false">IF(ISBLANK(L853),"Unknown",IF(L853&gt;=4,"Good",IF(L853&lt;=2,"Poor","Neutral")))</f>
        <v>Poor</v>
      </c>
      <c r="R853" s="11" t="str">
        <f aca="false">IF(AND(O853="Low",P853="Low",Q853="Good"),"BUY / PRIORITIZE",IF(AND(O853="High",P853="High",OR(Q853="Poor",M853=TRUE())),"HOLD / REVIEW","MONITOR"))</f>
        <v>MONITOR</v>
      </c>
      <c r="S853" s="11" t="n">
        <f aca="false">K853+(ROW()/10000000)</f>
        <v>3.0000853</v>
      </c>
    </row>
    <row r="854" customFormat="false" ht="15" hidden="false" customHeight="false" outlineLevel="0" collapsed="false">
      <c r="A854" s="11" t="s">
        <v>1104</v>
      </c>
      <c r="B854" s="11" t="s">
        <v>29</v>
      </c>
      <c r="C854" s="11" t="s">
        <v>86</v>
      </c>
      <c r="D854" s="11" t="s">
        <v>37</v>
      </c>
      <c r="E854" s="11" t="s">
        <v>91</v>
      </c>
      <c r="F854" s="11" t="s">
        <v>118</v>
      </c>
      <c r="G854" s="21" t="n">
        <v>128.35</v>
      </c>
      <c r="H854" s="19" t="n">
        <v>0</v>
      </c>
      <c r="I854" s="21" t="n">
        <v>128.35</v>
      </c>
      <c r="J854" s="22" t="s">
        <v>80</v>
      </c>
      <c r="K854" s="11" t="n">
        <v>20</v>
      </c>
      <c r="L854" s="23" t="n">
        <v>2.5</v>
      </c>
      <c r="M854" s="24" t="b">
        <f aca="false">FALSE()</f>
        <v>0</v>
      </c>
      <c r="N854" s="11"/>
      <c r="O854" s="11" t="str">
        <f aca="false">IF(K854&lt;=StockP33,"Low",IF(K854&lt;=StockP67,"Moderate","High"))</f>
        <v>Moderate</v>
      </c>
      <c r="P854" s="11" t="str">
        <f aca="false">IF(H854=0,"Low",IF(H854&lt;=MarkdownP75,"Moderate","High"))</f>
        <v>Low</v>
      </c>
      <c r="Q854" s="11" t="str">
        <f aca="false">IF(ISBLANK(L854),"Unknown",IF(L854&gt;=4,"Good",IF(L854&lt;=2,"Poor","Neutral")))</f>
        <v>Neutral</v>
      </c>
      <c r="R854" s="11" t="str">
        <f aca="false">IF(AND(O854="Low",P854="Low",Q854="Good"),"BUY / PRIORITIZE",IF(AND(O854="High",P854="High",OR(Q854="Poor",M854=TRUE())),"HOLD / REVIEW","MONITOR"))</f>
        <v>MONITOR</v>
      </c>
      <c r="S854" s="11" t="n">
        <f aca="false">K854+(ROW()/10000000)</f>
        <v>20.0000854</v>
      </c>
    </row>
    <row r="855" customFormat="false" ht="15" hidden="false" customHeight="false" outlineLevel="0" collapsed="false">
      <c r="A855" s="11" t="s">
        <v>1105</v>
      </c>
      <c r="B855" s="11" t="s">
        <v>27</v>
      </c>
      <c r="C855" s="11" t="s">
        <v>77</v>
      </c>
      <c r="D855" s="11" t="s">
        <v>34</v>
      </c>
      <c r="E855" s="11" t="s">
        <v>73</v>
      </c>
      <c r="F855" s="11" t="s">
        <v>92</v>
      </c>
      <c r="G855" s="21" t="n">
        <v>138.17</v>
      </c>
      <c r="H855" s="19" t="n">
        <v>3</v>
      </c>
      <c r="I855" s="21" t="n">
        <v>134.02</v>
      </c>
      <c r="J855" s="22" t="s">
        <v>876</v>
      </c>
      <c r="K855" s="11" t="n">
        <v>34</v>
      </c>
      <c r="L855" s="23" t="n">
        <v>4.1</v>
      </c>
      <c r="M855" s="24" t="b">
        <f aca="false">FALSE()</f>
        <v>0</v>
      </c>
      <c r="N855" s="11"/>
      <c r="O855" s="11" t="str">
        <f aca="false">IF(K855&lt;=StockP33,"Low",IF(K855&lt;=StockP67,"Moderate","High"))</f>
        <v>High</v>
      </c>
      <c r="P855" s="11" t="str">
        <f aca="false">IF(H855=0,"Low",IF(H855&lt;=MarkdownP75,"Moderate","High"))</f>
        <v>Moderate</v>
      </c>
      <c r="Q855" s="11" t="str">
        <f aca="false">IF(ISBLANK(L855),"Unknown",IF(L855&gt;=4,"Good",IF(L855&lt;=2,"Poor","Neutral")))</f>
        <v>Good</v>
      </c>
      <c r="R855" s="11" t="str">
        <f aca="false">IF(AND(O855="Low",P855="Low",Q855="Good"),"BUY / PRIORITIZE",IF(AND(O855="High",P855="High",OR(Q855="Poor",M855=TRUE())),"HOLD / REVIEW","MONITOR"))</f>
        <v>MONITOR</v>
      </c>
      <c r="S855" s="11" t="n">
        <f aca="false">K855+(ROW()/10000000)</f>
        <v>34.0000855</v>
      </c>
    </row>
    <row r="856" customFormat="false" ht="15" hidden="false" customHeight="false" outlineLevel="0" collapsed="false">
      <c r="A856" s="11" t="s">
        <v>1106</v>
      </c>
      <c r="B856" s="11" t="s">
        <v>27</v>
      </c>
      <c r="C856" s="11" t="s">
        <v>77</v>
      </c>
      <c r="D856" s="11" t="s">
        <v>36</v>
      </c>
      <c r="E856" s="11" t="s">
        <v>113</v>
      </c>
      <c r="F856" s="11" t="s">
        <v>118</v>
      </c>
      <c r="G856" s="21" t="n">
        <v>52.45</v>
      </c>
      <c r="H856" s="19" t="n">
        <v>0</v>
      </c>
      <c r="I856" s="21" t="n">
        <v>52.45</v>
      </c>
      <c r="J856" s="22" t="s">
        <v>80</v>
      </c>
      <c r="K856" s="11" t="n">
        <v>16</v>
      </c>
      <c r="L856" s="23" t="n">
        <v>1.7</v>
      </c>
      <c r="M856" s="24" t="b">
        <f aca="false">FALSE()</f>
        <v>0</v>
      </c>
      <c r="N856" s="11"/>
      <c r="O856" s="11" t="str">
        <f aca="false">IF(K856&lt;=StockP33,"Low",IF(K856&lt;=StockP67,"Moderate","High"))</f>
        <v>Low</v>
      </c>
      <c r="P856" s="11" t="str">
        <f aca="false">IF(H856=0,"Low",IF(H856&lt;=MarkdownP75,"Moderate","High"))</f>
        <v>Low</v>
      </c>
      <c r="Q856" s="11" t="str">
        <f aca="false">IF(ISBLANK(L856),"Unknown",IF(L856&gt;=4,"Good",IF(L856&lt;=2,"Poor","Neutral")))</f>
        <v>Poor</v>
      </c>
      <c r="R856" s="11" t="str">
        <f aca="false">IF(AND(O856="Low",P856="Low",Q856="Good"),"BUY / PRIORITIZE",IF(AND(O856="High",P856="High",OR(Q856="Poor",M856=TRUE())),"HOLD / REVIEW","MONITOR"))</f>
        <v>MONITOR</v>
      </c>
      <c r="S856" s="11" t="n">
        <f aca="false">K856+(ROW()/10000000)</f>
        <v>16.0000856</v>
      </c>
    </row>
    <row r="857" customFormat="false" ht="15" hidden="false" customHeight="false" outlineLevel="0" collapsed="false">
      <c r="A857" s="11" t="s">
        <v>1107</v>
      </c>
      <c r="B857" s="11" t="s">
        <v>29</v>
      </c>
      <c r="C857" s="11" t="s">
        <v>101</v>
      </c>
      <c r="D857" s="11" t="s">
        <v>37</v>
      </c>
      <c r="E857" s="11" t="s">
        <v>110</v>
      </c>
      <c r="F857" s="11" t="s">
        <v>88</v>
      </c>
      <c r="G857" s="21" t="n">
        <v>171.53</v>
      </c>
      <c r="H857" s="19" t="n">
        <v>0</v>
      </c>
      <c r="I857" s="21" t="n">
        <v>171.53</v>
      </c>
      <c r="J857" s="22" t="s">
        <v>80</v>
      </c>
      <c r="K857" s="11" t="n">
        <v>12</v>
      </c>
      <c r="L857" s="23" t="n">
        <v>4.8</v>
      </c>
      <c r="M857" s="24" t="b">
        <f aca="false">FALSE()</f>
        <v>0</v>
      </c>
      <c r="N857" s="11"/>
      <c r="O857" s="11" t="str">
        <f aca="false">IF(K857&lt;=StockP33,"Low",IF(K857&lt;=StockP67,"Moderate","High"))</f>
        <v>Low</v>
      </c>
      <c r="P857" s="11" t="str">
        <f aca="false">IF(H857=0,"Low",IF(H857&lt;=MarkdownP75,"Moderate","High"))</f>
        <v>Low</v>
      </c>
      <c r="Q857" s="11" t="str">
        <f aca="false">IF(ISBLANK(L857),"Unknown",IF(L857&gt;=4,"Good",IF(L857&lt;=2,"Poor","Neutral")))</f>
        <v>Good</v>
      </c>
      <c r="R857" s="11" t="str">
        <f aca="false">IF(AND(O857="Low",P857="Low",Q857="Good"),"BUY / PRIORITIZE",IF(AND(O857="High",P857="High",OR(Q857="Poor",M857=TRUE())),"HOLD / REVIEW","MONITOR"))</f>
        <v>BUY / PRIORITIZE</v>
      </c>
      <c r="S857" s="11" t="n">
        <f aca="false">K857+(ROW()/10000000)</f>
        <v>12.0000857</v>
      </c>
    </row>
    <row r="858" customFormat="false" ht="15" hidden="false" customHeight="false" outlineLevel="0" collapsed="false">
      <c r="A858" s="11" t="s">
        <v>1108</v>
      </c>
      <c r="B858" s="11" t="s">
        <v>30</v>
      </c>
      <c r="C858" s="11" t="s">
        <v>95</v>
      </c>
      <c r="D858" s="11" t="s">
        <v>36</v>
      </c>
      <c r="E858" s="11" t="s">
        <v>102</v>
      </c>
      <c r="F858" s="11" t="s">
        <v>124</v>
      </c>
      <c r="G858" s="21" t="n">
        <v>81.23</v>
      </c>
      <c r="H858" s="19" t="n">
        <v>1.2</v>
      </c>
      <c r="I858" s="21" t="n">
        <v>80.26</v>
      </c>
      <c r="J858" s="22" t="s">
        <v>80</v>
      </c>
      <c r="K858" s="11" t="n">
        <v>10</v>
      </c>
      <c r="L858" s="23" t="n">
        <v>4.9</v>
      </c>
      <c r="M858" s="24" t="b">
        <f aca="false">FALSE()</f>
        <v>0</v>
      </c>
      <c r="N858" s="11"/>
      <c r="O858" s="11" t="str">
        <f aca="false">IF(K858&lt;=StockP33,"Low",IF(K858&lt;=StockP67,"Moderate","High"))</f>
        <v>Low</v>
      </c>
      <c r="P858" s="11" t="str">
        <f aca="false">IF(H858=0,"Low",IF(H858&lt;=MarkdownP75,"Moderate","High"))</f>
        <v>Moderate</v>
      </c>
      <c r="Q858" s="11" t="str">
        <f aca="false">IF(ISBLANK(L858),"Unknown",IF(L858&gt;=4,"Good",IF(L858&lt;=2,"Poor","Neutral")))</f>
        <v>Good</v>
      </c>
      <c r="R858" s="11" t="str">
        <f aca="false">IF(AND(O858="Low",P858="Low",Q858="Good"),"BUY / PRIORITIZE",IF(AND(O858="High",P858="High",OR(Q858="Poor",M858=TRUE())),"HOLD / REVIEW","MONITOR"))</f>
        <v>MONITOR</v>
      </c>
      <c r="S858" s="11" t="n">
        <f aca="false">K858+(ROW()/10000000)</f>
        <v>10.0000858</v>
      </c>
    </row>
    <row r="859" customFormat="false" ht="15" hidden="false" customHeight="false" outlineLevel="0" collapsed="false">
      <c r="A859" s="11" t="s">
        <v>1109</v>
      </c>
      <c r="B859" s="11" t="s">
        <v>8</v>
      </c>
      <c r="C859" s="11" t="s">
        <v>86</v>
      </c>
      <c r="D859" s="11" t="s">
        <v>34</v>
      </c>
      <c r="E859" s="11"/>
      <c r="F859" s="11" t="s">
        <v>96</v>
      </c>
      <c r="G859" s="21" t="n">
        <v>31.37</v>
      </c>
      <c r="H859" s="19" t="n">
        <v>44.1</v>
      </c>
      <c r="I859" s="21" t="n">
        <v>17.54</v>
      </c>
      <c r="J859" s="22" t="s">
        <v>200</v>
      </c>
      <c r="K859" s="11" t="n">
        <v>11</v>
      </c>
      <c r="L859" s="23" t="n">
        <v>3.4</v>
      </c>
      <c r="M859" s="24" t="b">
        <f aca="false">FALSE()</f>
        <v>0</v>
      </c>
      <c r="N859" s="11"/>
      <c r="O859" s="11" t="str">
        <f aca="false">IF(K859&lt;=StockP33,"Low",IF(K859&lt;=StockP67,"Moderate","High"))</f>
        <v>Low</v>
      </c>
      <c r="P859" s="11" t="str">
        <f aca="false">IF(H859=0,"Low",IF(H859&lt;=MarkdownP75,"Moderate","High"))</f>
        <v>High</v>
      </c>
      <c r="Q859" s="11" t="str">
        <f aca="false">IF(ISBLANK(L859),"Unknown",IF(L859&gt;=4,"Good",IF(L859&lt;=2,"Poor","Neutral")))</f>
        <v>Neutral</v>
      </c>
      <c r="R859" s="11" t="str">
        <f aca="false">IF(AND(O859="Low",P859="Low",Q859="Good"),"BUY / PRIORITIZE",IF(AND(O859="High",P859="High",OR(Q859="Poor",M859=TRUE())),"HOLD / REVIEW","MONITOR"))</f>
        <v>MONITOR</v>
      </c>
      <c r="S859" s="11" t="n">
        <f aca="false">K859+(ROW()/10000000)</f>
        <v>11.0000859</v>
      </c>
    </row>
    <row r="860" customFormat="false" ht="15" hidden="false" customHeight="false" outlineLevel="0" collapsed="false">
      <c r="A860" s="11" t="s">
        <v>1110</v>
      </c>
      <c r="B860" s="11" t="s">
        <v>26</v>
      </c>
      <c r="C860" s="11" t="s">
        <v>116</v>
      </c>
      <c r="D860" s="11" t="s">
        <v>34</v>
      </c>
      <c r="E860" s="11" t="s">
        <v>91</v>
      </c>
      <c r="F860" s="11" t="s">
        <v>74</v>
      </c>
      <c r="G860" s="21" t="n">
        <v>93.89</v>
      </c>
      <c r="H860" s="19" t="n">
        <v>0</v>
      </c>
      <c r="I860" s="21" t="n">
        <v>93.89</v>
      </c>
      <c r="J860" s="22" t="s">
        <v>948</v>
      </c>
      <c r="K860" s="11" t="n">
        <v>3</v>
      </c>
      <c r="L860" s="23" t="n">
        <v>1.8</v>
      </c>
      <c r="M860" s="24" t="b">
        <f aca="false">FALSE()</f>
        <v>0</v>
      </c>
      <c r="N860" s="11"/>
      <c r="O860" s="11" t="str">
        <f aca="false">IF(K860&lt;=StockP33,"Low",IF(K860&lt;=StockP67,"Moderate","High"))</f>
        <v>Low</v>
      </c>
      <c r="P860" s="11" t="str">
        <f aca="false">IF(H860=0,"Low",IF(H860&lt;=MarkdownP75,"Moderate","High"))</f>
        <v>Low</v>
      </c>
      <c r="Q860" s="11" t="str">
        <f aca="false">IF(ISBLANK(L860),"Unknown",IF(L860&gt;=4,"Good",IF(L860&lt;=2,"Poor","Neutral")))</f>
        <v>Poor</v>
      </c>
      <c r="R860" s="11" t="str">
        <f aca="false">IF(AND(O860="Low",P860="Low",Q860="Good"),"BUY / PRIORITIZE",IF(AND(O860="High",P860="High",OR(Q860="Poor",M860=TRUE())),"HOLD / REVIEW","MONITOR"))</f>
        <v>MONITOR</v>
      </c>
      <c r="S860" s="11" t="n">
        <f aca="false">K860+(ROW()/10000000)</f>
        <v>3.000086</v>
      </c>
    </row>
    <row r="861" customFormat="false" ht="15" hidden="false" customHeight="false" outlineLevel="0" collapsed="false">
      <c r="A861" s="11" t="s">
        <v>1111</v>
      </c>
      <c r="B861" s="11" t="s">
        <v>26</v>
      </c>
      <c r="C861" s="11" t="s">
        <v>77</v>
      </c>
      <c r="D861" s="11" t="s">
        <v>34</v>
      </c>
      <c r="E861" s="11" t="s">
        <v>73</v>
      </c>
      <c r="F861" s="11" t="s">
        <v>92</v>
      </c>
      <c r="G861" s="21" t="n">
        <v>54.84</v>
      </c>
      <c r="H861" s="19" t="n">
        <v>0</v>
      </c>
      <c r="I861" s="21" t="n">
        <v>54.84</v>
      </c>
      <c r="J861" s="22" t="s">
        <v>1112</v>
      </c>
      <c r="K861" s="11" t="n">
        <v>12</v>
      </c>
      <c r="L861" s="23" t="n">
        <v>3.2</v>
      </c>
      <c r="M861" s="24" t="b">
        <f aca="false">FALSE()</f>
        <v>0</v>
      </c>
      <c r="N861" s="11"/>
      <c r="O861" s="11" t="str">
        <f aca="false">IF(K861&lt;=StockP33,"Low",IF(K861&lt;=StockP67,"Moderate","High"))</f>
        <v>Low</v>
      </c>
      <c r="P861" s="11" t="str">
        <f aca="false">IF(H861=0,"Low",IF(H861&lt;=MarkdownP75,"Moderate","High"))</f>
        <v>Low</v>
      </c>
      <c r="Q861" s="11" t="str">
        <f aca="false">IF(ISBLANK(L861),"Unknown",IF(L861&gt;=4,"Good",IF(L861&lt;=2,"Poor","Neutral")))</f>
        <v>Neutral</v>
      </c>
      <c r="R861" s="11" t="str">
        <f aca="false">IF(AND(O861="Low",P861="Low",Q861="Good"),"BUY / PRIORITIZE",IF(AND(O861="High",P861="High",OR(Q861="Poor",M861=TRUE())),"HOLD / REVIEW","MONITOR"))</f>
        <v>MONITOR</v>
      </c>
      <c r="S861" s="11" t="n">
        <f aca="false">K861+(ROW()/10000000)</f>
        <v>12.0000861</v>
      </c>
    </row>
    <row r="862" customFormat="false" ht="15" hidden="false" customHeight="false" outlineLevel="0" collapsed="false">
      <c r="A862" s="11" t="s">
        <v>1113</v>
      </c>
      <c r="B862" s="11" t="s">
        <v>27</v>
      </c>
      <c r="C862" s="11" t="s">
        <v>72</v>
      </c>
      <c r="D862" s="11" t="s">
        <v>37</v>
      </c>
      <c r="E862" s="11" t="s">
        <v>78</v>
      </c>
      <c r="F862" s="11" t="s">
        <v>74</v>
      </c>
      <c r="G862" s="21" t="n">
        <v>140.34</v>
      </c>
      <c r="H862" s="19" t="n">
        <v>0</v>
      </c>
      <c r="I862" s="21" t="n">
        <v>140.34</v>
      </c>
      <c r="J862" s="22" t="s">
        <v>80</v>
      </c>
      <c r="K862" s="11" t="n">
        <v>23</v>
      </c>
      <c r="L862" s="23" t="n">
        <v>2.8</v>
      </c>
      <c r="M862" s="24" t="b">
        <f aca="false">TRUE()</f>
        <v>1</v>
      </c>
      <c r="N862" s="11" t="s">
        <v>178</v>
      </c>
      <c r="O862" s="11" t="str">
        <f aca="false">IF(K862&lt;=StockP33,"Low",IF(K862&lt;=StockP67,"Moderate","High"))</f>
        <v>Moderate</v>
      </c>
      <c r="P862" s="11" t="str">
        <f aca="false">IF(H862=0,"Low",IF(H862&lt;=MarkdownP75,"Moderate","High"))</f>
        <v>Low</v>
      </c>
      <c r="Q862" s="11" t="str">
        <f aca="false">IF(ISBLANK(L862),"Unknown",IF(L862&gt;=4,"Good",IF(L862&lt;=2,"Poor","Neutral")))</f>
        <v>Neutral</v>
      </c>
      <c r="R862" s="11" t="str">
        <f aca="false">IF(AND(O862="Low",P862="Low",Q862="Good"),"BUY / PRIORITIZE",IF(AND(O862="High",P862="High",OR(Q862="Poor",M862=TRUE())),"HOLD / REVIEW","MONITOR"))</f>
        <v>MONITOR</v>
      </c>
      <c r="S862" s="11" t="n">
        <f aca="false">K862+(ROW()/10000000)</f>
        <v>23.0000862</v>
      </c>
    </row>
    <row r="863" customFormat="false" ht="15" hidden="false" customHeight="false" outlineLevel="0" collapsed="false">
      <c r="A863" s="11" t="s">
        <v>1114</v>
      </c>
      <c r="B863" s="11" t="s">
        <v>30</v>
      </c>
      <c r="C863" s="11" t="s">
        <v>86</v>
      </c>
      <c r="D863" s="11" t="s">
        <v>36</v>
      </c>
      <c r="E863" s="11" t="s">
        <v>113</v>
      </c>
      <c r="F863" s="11" t="s">
        <v>74</v>
      </c>
      <c r="G863" s="21" t="n">
        <v>51.88</v>
      </c>
      <c r="H863" s="19" t="n">
        <v>16.8</v>
      </c>
      <c r="I863" s="21" t="n">
        <v>43.16</v>
      </c>
      <c r="J863" s="22" t="s">
        <v>80</v>
      </c>
      <c r="K863" s="11" t="n">
        <v>30</v>
      </c>
      <c r="L863" s="23" t="n">
        <v>1.5</v>
      </c>
      <c r="M863" s="24" t="b">
        <f aca="false">FALSE()</f>
        <v>0</v>
      </c>
      <c r="N863" s="11"/>
      <c r="O863" s="11" t="str">
        <f aca="false">IF(K863&lt;=StockP33,"Low",IF(K863&lt;=StockP67,"Moderate","High"))</f>
        <v>Moderate</v>
      </c>
      <c r="P863" s="11" t="str">
        <f aca="false">IF(H863=0,"Low",IF(H863&lt;=MarkdownP75,"Moderate","High"))</f>
        <v>Moderate</v>
      </c>
      <c r="Q863" s="11" t="str">
        <f aca="false">IF(ISBLANK(L863),"Unknown",IF(L863&gt;=4,"Good",IF(L863&lt;=2,"Poor","Neutral")))</f>
        <v>Poor</v>
      </c>
      <c r="R863" s="11" t="str">
        <f aca="false">IF(AND(O863="Low",P863="Low",Q863="Good"),"BUY / PRIORITIZE",IF(AND(O863="High",P863="High",OR(Q863="Poor",M863=TRUE())),"HOLD / REVIEW","MONITOR"))</f>
        <v>MONITOR</v>
      </c>
      <c r="S863" s="11" t="n">
        <f aca="false">K863+(ROW()/10000000)</f>
        <v>30.0000863</v>
      </c>
    </row>
    <row r="864" customFormat="false" ht="15" hidden="false" customHeight="false" outlineLevel="0" collapsed="false">
      <c r="A864" s="11" t="s">
        <v>1115</v>
      </c>
      <c r="B864" s="11" t="s">
        <v>27</v>
      </c>
      <c r="C864" s="11" t="s">
        <v>95</v>
      </c>
      <c r="D864" s="11" t="s">
        <v>34</v>
      </c>
      <c r="E864" s="11" t="s">
        <v>91</v>
      </c>
      <c r="F864" s="11" t="s">
        <v>120</v>
      </c>
      <c r="G864" s="21" t="n">
        <v>136.2</v>
      </c>
      <c r="H864" s="19" t="n">
        <v>44.3</v>
      </c>
      <c r="I864" s="21" t="n">
        <v>75.86</v>
      </c>
      <c r="J864" s="22" t="s">
        <v>500</v>
      </c>
      <c r="K864" s="11" t="n">
        <v>49</v>
      </c>
      <c r="L864" s="23"/>
      <c r="M864" s="24" t="b">
        <f aca="false">FALSE()</f>
        <v>0</v>
      </c>
      <c r="N864" s="11"/>
      <c r="O864" s="11" t="str">
        <f aca="false">IF(K864&lt;=StockP33,"Low",IF(K864&lt;=StockP67,"Moderate","High"))</f>
        <v>High</v>
      </c>
      <c r="P864" s="11" t="str">
        <f aca="false">IF(H864=0,"Low",IF(H864&lt;=MarkdownP75,"Moderate","High"))</f>
        <v>High</v>
      </c>
      <c r="Q864" s="11" t="str">
        <f aca="false">IF(ISBLANK(L864),"Unknown",IF(L864&gt;=4,"Good",IF(L864&lt;=2,"Poor","Neutral")))</f>
        <v>Unknown</v>
      </c>
      <c r="R864" s="11" t="str">
        <f aca="false">IF(AND(O864="Low",P864="Low",Q864="Good"),"BUY / PRIORITIZE",IF(AND(O864="High",P864="High",OR(Q864="Poor",M864=TRUE())),"HOLD / REVIEW","MONITOR"))</f>
        <v>MONITOR</v>
      </c>
      <c r="S864" s="11" t="n">
        <f aca="false">K864+(ROW()/10000000)</f>
        <v>49.0000864</v>
      </c>
    </row>
    <row r="865" customFormat="false" ht="15" hidden="false" customHeight="false" outlineLevel="0" collapsed="false">
      <c r="A865" s="11" t="s">
        <v>1116</v>
      </c>
      <c r="B865" s="11" t="s">
        <v>8</v>
      </c>
      <c r="C865" s="11" t="s">
        <v>101</v>
      </c>
      <c r="D865" s="11" t="s">
        <v>35</v>
      </c>
      <c r="E865" s="11"/>
      <c r="F865" s="11" t="s">
        <v>124</v>
      </c>
      <c r="G865" s="21" t="n">
        <v>71.19</v>
      </c>
      <c r="H865" s="19" t="n">
        <v>0</v>
      </c>
      <c r="I865" s="21" t="n">
        <v>71.19</v>
      </c>
      <c r="J865" s="22" t="s">
        <v>80</v>
      </c>
      <c r="K865" s="11" t="n">
        <v>14</v>
      </c>
      <c r="L865" s="23" t="n">
        <v>2.8</v>
      </c>
      <c r="M865" s="24" t="b">
        <f aca="false">FALSE()</f>
        <v>0</v>
      </c>
      <c r="N865" s="11"/>
      <c r="O865" s="11" t="str">
        <f aca="false">IF(K865&lt;=StockP33,"Low",IF(K865&lt;=StockP67,"Moderate","High"))</f>
        <v>Low</v>
      </c>
      <c r="P865" s="11" t="str">
        <f aca="false">IF(H865=0,"Low",IF(H865&lt;=MarkdownP75,"Moderate","High"))</f>
        <v>Low</v>
      </c>
      <c r="Q865" s="11" t="str">
        <f aca="false">IF(ISBLANK(L865),"Unknown",IF(L865&gt;=4,"Good",IF(L865&lt;=2,"Poor","Neutral")))</f>
        <v>Neutral</v>
      </c>
      <c r="R865" s="11" t="str">
        <f aca="false">IF(AND(O865="Low",P865="Low",Q865="Good"),"BUY / PRIORITIZE",IF(AND(O865="High",P865="High",OR(Q865="Poor",M865=TRUE())),"HOLD / REVIEW","MONITOR"))</f>
        <v>MONITOR</v>
      </c>
      <c r="S865" s="11" t="n">
        <f aca="false">K865+(ROW()/10000000)</f>
        <v>14.0000865</v>
      </c>
    </row>
    <row r="866" customFormat="false" ht="15" hidden="false" customHeight="false" outlineLevel="0" collapsed="false">
      <c r="A866" s="11" t="s">
        <v>1117</v>
      </c>
      <c r="B866" s="11" t="s">
        <v>28</v>
      </c>
      <c r="C866" s="11" t="s">
        <v>130</v>
      </c>
      <c r="D866" s="11" t="s">
        <v>34</v>
      </c>
      <c r="E866" s="11" t="s">
        <v>91</v>
      </c>
      <c r="F866" s="11" t="s">
        <v>118</v>
      </c>
      <c r="G866" s="21" t="n">
        <v>241.37</v>
      </c>
      <c r="H866" s="19" t="n">
        <v>44.9</v>
      </c>
      <c r="I866" s="21" t="n">
        <v>132.99</v>
      </c>
      <c r="J866" s="22" t="s">
        <v>1118</v>
      </c>
      <c r="K866" s="11" t="n">
        <v>23</v>
      </c>
      <c r="L866" s="23" t="n">
        <v>2.1</v>
      </c>
      <c r="M866" s="24" t="b">
        <f aca="false">FALSE()</f>
        <v>0</v>
      </c>
      <c r="N866" s="11"/>
      <c r="O866" s="11" t="str">
        <f aca="false">IF(K866&lt;=StockP33,"Low",IF(K866&lt;=StockP67,"Moderate","High"))</f>
        <v>Moderate</v>
      </c>
      <c r="P866" s="11" t="str">
        <f aca="false">IF(H866=0,"Low",IF(H866&lt;=MarkdownP75,"Moderate","High"))</f>
        <v>High</v>
      </c>
      <c r="Q866" s="11" t="str">
        <f aca="false">IF(ISBLANK(L866),"Unknown",IF(L866&gt;=4,"Good",IF(L866&lt;=2,"Poor","Neutral")))</f>
        <v>Neutral</v>
      </c>
      <c r="R866" s="11" t="str">
        <f aca="false">IF(AND(O866="Low",P866="Low",Q866="Good"),"BUY / PRIORITIZE",IF(AND(O866="High",P866="High",OR(Q866="Poor",M866=TRUE())),"HOLD / REVIEW","MONITOR"))</f>
        <v>MONITOR</v>
      </c>
      <c r="S866" s="11" t="n">
        <f aca="false">K866+(ROW()/10000000)</f>
        <v>23.0000866</v>
      </c>
    </row>
    <row r="867" customFormat="false" ht="15" hidden="false" customHeight="false" outlineLevel="0" collapsed="false">
      <c r="A867" s="11" t="s">
        <v>1119</v>
      </c>
      <c r="B867" s="11" t="s">
        <v>28</v>
      </c>
      <c r="C867" s="11" t="s">
        <v>116</v>
      </c>
      <c r="D867" s="11" t="s">
        <v>36</v>
      </c>
      <c r="E867" s="11" t="s">
        <v>102</v>
      </c>
      <c r="F867" s="11" t="s">
        <v>96</v>
      </c>
      <c r="G867" s="21" t="n">
        <v>198.26</v>
      </c>
      <c r="H867" s="19" t="n">
        <v>51.3</v>
      </c>
      <c r="I867" s="21" t="n">
        <v>96.55</v>
      </c>
      <c r="J867" s="22" t="s">
        <v>80</v>
      </c>
      <c r="K867" s="11" t="n">
        <v>38</v>
      </c>
      <c r="L867" s="23"/>
      <c r="M867" s="24" t="b">
        <f aca="false">FALSE()</f>
        <v>0</v>
      </c>
      <c r="N867" s="11"/>
      <c r="O867" s="11" t="str">
        <f aca="false">IF(K867&lt;=StockP33,"Low",IF(K867&lt;=StockP67,"Moderate","High"))</f>
        <v>High</v>
      </c>
      <c r="P867" s="11" t="str">
        <f aca="false">IF(H867=0,"Low",IF(H867&lt;=MarkdownP75,"Moderate","High"))</f>
        <v>High</v>
      </c>
      <c r="Q867" s="11" t="str">
        <f aca="false">IF(ISBLANK(L867),"Unknown",IF(L867&gt;=4,"Good",IF(L867&lt;=2,"Poor","Neutral")))</f>
        <v>Unknown</v>
      </c>
      <c r="R867" s="11" t="str">
        <f aca="false">IF(AND(O867="Low",P867="Low",Q867="Good"),"BUY / PRIORITIZE",IF(AND(O867="High",P867="High",OR(Q867="Poor",M867=TRUE())),"HOLD / REVIEW","MONITOR"))</f>
        <v>MONITOR</v>
      </c>
      <c r="S867" s="11" t="n">
        <f aca="false">K867+(ROW()/10000000)</f>
        <v>38.0000867</v>
      </c>
    </row>
    <row r="868" customFormat="false" ht="15" hidden="false" customHeight="false" outlineLevel="0" collapsed="false">
      <c r="A868" s="11" t="s">
        <v>1120</v>
      </c>
      <c r="B868" s="11" t="s">
        <v>26</v>
      </c>
      <c r="C868" s="11" t="s">
        <v>107</v>
      </c>
      <c r="D868" s="11" t="s">
        <v>37</v>
      </c>
      <c r="E868" s="11" t="s">
        <v>102</v>
      </c>
      <c r="F868" s="11" t="s">
        <v>111</v>
      </c>
      <c r="G868" s="21" t="n">
        <v>64.07</v>
      </c>
      <c r="H868" s="19" t="n">
        <v>0</v>
      </c>
      <c r="I868" s="21" t="n">
        <v>64.07</v>
      </c>
      <c r="J868" s="22" t="s">
        <v>80</v>
      </c>
      <c r="K868" s="11" t="n">
        <v>34</v>
      </c>
      <c r="L868" s="23"/>
      <c r="M868" s="24" t="b">
        <f aca="false">FALSE()</f>
        <v>0</v>
      </c>
      <c r="N868" s="11"/>
      <c r="O868" s="11" t="str">
        <f aca="false">IF(K868&lt;=StockP33,"Low",IF(K868&lt;=StockP67,"Moderate","High"))</f>
        <v>High</v>
      </c>
      <c r="P868" s="11" t="str">
        <f aca="false">IF(H868=0,"Low",IF(H868&lt;=MarkdownP75,"Moderate","High"))</f>
        <v>Low</v>
      </c>
      <c r="Q868" s="11" t="str">
        <f aca="false">IF(ISBLANK(L868),"Unknown",IF(L868&gt;=4,"Good",IF(L868&lt;=2,"Poor","Neutral")))</f>
        <v>Unknown</v>
      </c>
      <c r="R868" s="11" t="str">
        <f aca="false">IF(AND(O868="Low",P868="Low",Q868="Good"),"BUY / PRIORITIZE",IF(AND(O868="High",P868="High",OR(Q868="Poor",M868=TRUE())),"HOLD / REVIEW","MONITOR"))</f>
        <v>MONITOR</v>
      </c>
      <c r="S868" s="11" t="n">
        <f aca="false">K868+(ROW()/10000000)</f>
        <v>34.0000868</v>
      </c>
    </row>
    <row r="869" customFormat="false" ht="15" hidden="false" customHeight="false" outlineLevel="0" collapsed="false">
      <c r="A869" s="11" t="s">
        <v>1121</v>
      </c>
      <c r="B869" s="11" t="s">
        <v>26</v>
      </c>
      <c r="C869" s="11" t="s">
        <v>72</v>
      </c>
      <c r="D869" s="11" t="s">
        <v>36</v>
      </c>
      <c r="E869" s="11" t="s">
        <v>73</v>
      </c>
      <c r="F869" s="11" t="s">
        <v>92</v>
      </c>
      <c r="G869" s="21" t="n">
        <v>110.15</v>
      </c>
      <c r="H869" s="19" t="n">
        <v>10.4</v>
      </c>
      <c r="I869" s="21" t="n">
        <v>98.69</v>
      </c>
      <c r="J869" s="22" t="s">
        <v>80</v>
      </c>
      <c r="K869" s="11" t="n">
        <v>36</v>
      </c>
      <c r="L869" s="23" t="n">
        <v>1.6</v>
      </c>
      <c r="M869" s="24" t="b">
        <f aca="false">FALSE()</f>
        <v>0</v>
      </c>
      <c r="N869" s="11"/>
      <c r="O869" s="11" t="str">
        <f aca="false">IF(K869&lt;=StockP33,"Low",IF(K869&lt;=StockP67,"Moderate","High"))</f>
        <v>High</v>
      </c>
      <c r="P869" s="11" t="str">
        <f aca="false">IF(H869=0,"Low",IF(H869&lt;=MarkdownP75,"Moderate","High"))</f>
        <v>Moderate</v>
      </c>
      <c r="Q869" s="11" t="str">
        <f aca="false">IF(ISBLANK(L869),"Unknown",IF(L869&gt;=4,"Good",IF(L869&lt;=2,"Poor","Neutral")))</f>
        <v>Poor</v>
      </c>
      <c r="R869" s="11" t="str">
        <f aca="false">IF(AND(O869="Low",P869="Low",Q869="Good"),"BUY / PRIORITIZE",IF(AND(O869="High",P869="High",OR(Q869="Poor",M869=TRUE())),"HOLD / REVIEW","MONITOR"))</f>
        <v>MONITOR</v>
      </c>
      <c r="S869" s="11" t="n">
        <f aca="false">K869+(ROW()/10000000)</f>
        <v>36.0000869</v>
      </c>
    </row>
    <row r="870" customFormat="false" ht="15" hidden="false" customHeight="false" outlineLevel="0" collapsed="false">
      <c r="A870" s="11" t="s">
        <v>1122</v>
      </c>
      <c r="B870" s="11" t="s">
        <v>28</v>
      </c>
      <c r="C870" s="11" t="s">
        <v>130</v>
      </c>
      <c r="D870" s="11" t="s">
        <v>34</v>
      </c>
      <c r="E870" s="11" t="s">
        <v>110</v>
      </c>
      <c r="F870" s="11" t="s">
        <v>96</v>
      </c>
      <c r="G870" s="21" t="n">
        <v>120.68</v>
      </c>
      <c r="H870" s="19" t="n">
        <v>0</v>
      </c>
      <c r="I870" s="21" t="n">
        <v>120.68</v>
      </c>
      <c r="J870" s="22" t="s">
        <v>1123</v>
      </c>
      <c r="K870" s="11" t="n">
        <v>6</v>
      </c>
      <c r="L870" s="23" t="n">
        <v>1.9</v>
      </c>
      <c r="M870" s="24" t="b">
        <f aca="false">FALSE()</f>
        <v>0</v>
      </c>
      <c r="N870" s="11"/>
      <c r="O870" s="11" t="str">
        <f aca="false">IF(K870&lt;=StockP33,"Low",IF(K870&lt;=StockP67,"Moderate","High"))</f>
        <v>Low</v>
      </c>
      <c r="P870" s="11" t="str">
        <f aca="false">IF(H870=0,"Low",IF(H870&lt;=MarkdownP75,"Moderate","High"))</f>
        <v>Low</v>
      </c>
      <c r="Q870" s="11" t="str">
        <f aca="false">IF(ISBLANK(L870),"Unknown",IF(L870&gt;=4,"Good",IF(L870&lt;=2,"Poor","Neutral")))</f>
        <v>Poor</v>
      </c>
      <c r="R870" s="11" t="str">
        <f aca="false">IF(AND(O870="Low",P870="Low",Q870="Good"),"BUY / PRIORITIZE",IF(AND(O870="High",P870="High",OR(Q870="Poor",M870=TRUE())),"HOLD / REVIEW","MONITOR"))</f>
        <v>MONITOR</v>
      </c>
      <c r="S870" s="11" t="n">
        <f aca="false">K870+(ROW()/10000000)</f>
        <v>6.000087</v>
      </c>
    </row>
    <row r="871" customFormat="false" ht="15" hidden="false" customHeight="false" outlineLevel="0" collapsed="false">
      <c r="A871" s="11" t="s">
        <v>1124</v>
      </c>
      <c r="B871" s="11" t="s">
        <v>8</v>
      </c>
      <c r="C871" s="11" t="s">
        <v>72</v>
      </c>
      <c r="D871" s="11" t="s">
        <v>36</v>
      </c>
      <c r="E871" s="11"/>
      <c r="F871" s="11" t="s">
        <v>82</v>
      </c>
      <c r="G871" s="21" t="n">
        <v>69.18</v>
      </c>
      <c r="H871" s="19" t="n">
        <v>31</v>
      </c>
      <c r="I871" s="21" t="n">
        <v>47.73</v>
      </c>
      <c r="J871" s="22" t="s">
        <v>80</v>
      </c>
      <c r="K871" s="11" t="n">
        <v>9</v>
      </c>
      <c r="L871" s="23" t="n">
        <v>2.7</v>
      </c>
      <c r="M871" s="24" t="b">
        <f aca="false">TRUE()</f>
        <v>1</v>
      </c>
      <c r="N871" s="11" t="s">
        <v>128</v>
      </c>
      <c r="O871" s="11" t="str">
        <f aca="false">IF(K871&lt;=StockP33,"Low",IF(K871&lt;=StockP67,"Moderate","High"))</f>
        <v>Low</v>
      </c>
      <c r="P871" s="11" t="str">
        <f aca="false">IF(H871=0,"Low",IF(H871&lt;=MarkdownP75,"Moderate","High"))</f>
        <v>High</v>
      </c>
      <c r="Q871" s="11" t="str">
        <f aca="false">IF(ISBLANK(L871),"Unknown",IF(L871&gt;=4,"Good",IF(L871&lt;=2,"Poor","Neutral")))</f>
        <v>Neutral</v>
      </c>
      <c r="R871" s="11" t="str">
        <f aca="false">IF(AND(O871="Low",P871="Low",Q871="Good"),"BUY / PRIORITIZE",IF(AND(O871="High",P871="High",OR(Q871="Poor",M871=TRUE())),"HOLD / REVIEW","MONITOR"))</f>
        <v>MONITOR</v>
      </c>
      <c r="S871" s="11" t="n">
        <f aca="false">K871+(ROW()/10000000)</f>
        <v>9.0000871</v>
      </c>
    </row>
    <row r="872" customFormat="false" ht="15" hidden="false" customHeight="false" outlineLevel="0" collapsed="false">
      <c r="A872" s="11" t="s">
        <v>1125</v>
      </c>
      <c r="B872" s="11" t="s">
        <v>27</v>
      </c>
      <c r="C872" s="11" t="s">
        <v>107</v>
      </c>
      <c r="D872" s="11" t="s">
        <v>36</v>
      </c>
      <c r="E872" s="11" t="s">
        <v>78</v>
      </c>
      <c r="F872" s="11" t="s">
        <v>74</v>
      </c>
      <c r="G872" s="21" t="n">
        <v>134.77</v>
      </c>
      <c r="H872" s="19" t="n">
        <v>0</v>
      </c>
      <c r="I872" s="21" t="n">
        <v>134.77</v>
      </c>
      <c r="J872" s="22" t="s">
        <v>80</v>
      </c>
      <c r="K872" s="11" t="n">
        <v>36</v>
      </c>
      <c r="L872" s="23" t="n">
        <v>4.8</v>
      </c>
      <c r="M872" s="24" t="b">
        <f aca="false">FALSE()</f>
        <v>0</v>
      </c>
      <c r="N872" s="11"/>
      <c r="O872" s="11" t="str">
        <f aca="false">IF(K872&lt;=StockP33,"Low",IF(K872&lt;=StockP67,"Moderate","High"))</f>
        <v>High</v>
      </c>
      <c r="P872" s="11" t="str">
        <f aca="false">IF(H872=0,"Low",IF(H872&lt;=MarkdownP75,"Moderate","High"))</f>
        <v>Low</v>
      </c>
      <c r="Q872" s="11" t="str">
        <f aca="false">IF(ISBLANK(L872),"Unknown",IF(L872&gt;=4,"Good",IF(L872&lt;=2,"Poor","Neutral")))</f>
        <v>Good</v>
      </c>
      <c r="R872" s="11" t="str">
        <f aca="false">IF(AND(O872="Low",P872="Low",Q872="Good"),"BUY / PRIORITIZE",IF(AND(O872="High",P872="High",OR(Q872="Poor",M872=TRUE())),"HOLD / REVIEW","MONITOR"))</f>
        <v>MONITOR</v>
      </c>
      <c r="S872" s="11" t="n">
        <f aca="false">K872+(ROW()/10000000)</f>
        <v>36.0000872</v>
      </c>
    </row>
    <row r="873" customFormat="false" ht="15" hidden="false" customHeight="false" outlineLevel="0" collapsed="false">
      <c r="A873" s="11" t="s">
        <v>1126</v>
      </c>
      <c r="B873" s="11" t="s">
        <v>30</v>
      </c>
      <c r="C873" s="11" t="s">
        <v>77</v>
      </c>
      <c r="D873" s="11" t="s">
        <v>34</v>
      </c>
      <c r="E873" s="11" t="s">
        <v>91</v>
      </c>
      <c r="F873" s="11" t="s">
        <v>82</v>
      </c>
      <c r="G873" s="21" t="n">
        <v>29.93</v>
      </c>
      <c r="H873" s="19" t="n">
        <v>0</v>
      </c>
      <c r="I873" s="21" t="n">
        <v>29.93</v>
      </c>
      <c r="J873" s="22" t="s">
        <v>394</v>
      </c>
      <c r="K873" s="11" t="n">
        <v>13</v>
      </c>
      <c r="L873" s="23"/>
      <c r="M873" s="24" t="b">
        <f aca="false">FALSE()</f>
        <v>0</v>
      </c>
      <c r="N873" s="11"/>
      <c r="O873" s="11" t="str">
        <f aca="false">IF(K873&lt;=StockP33,"Low",IF(K873&lt;=StockP67,"Moderate","High"))</f>
        <v>Low</v>
      </c>
      <c r="P873" s="11" t="str">
        <f aca="false">IF(H873=0,"Low",IF(H873&lt;=MarkdownP75,"Moderate","High"))</f>
        <v>Low</v>
      </c>
      <c r="Q873" s="11" t="str">
        <f aca="false">IF(ISBLANK(L873),"Unknown",IF(L873&gt;=4,"Good",IF(L873&lt;=2,"Poor","Neutral")))</f>
        <v>Unknown</v>
      </c>
      <c r="R873" s="11" t="str">
        <f aca="false">IF(AND(O873="Low",P873="Low",Q873="Good"),"BUY / PRIORITIZE",IF(AND(O873="High",P873="High",OR(Q873="Poor",M873=TRUE())),"HOLD / REVIEW","MONITOR"))</f>
        <v>MONITOR</v>
      </c>
      <c r="S873" s="11" t="n">
        <f aca="false">K873+(ROW()/10000000)</f>
        <v>13.0000873</v>
      </c>
    </row>
    <row r="874" customFormat="false" ht="15" hidden="false" customHeight="false" outlineLevel="0" collapsed="false">
      <c r="A874" s="11" t="s">
        <v>1127</v>
      </c>
      <c r="B874" s="11" t="s">
        <v>8</v>
      </c>
      <c r="C874" s="11" t="s">
        <v>116</v>
      </c>
      <c r="D874" s="11" t="s">
        <v>37</v>
      </c>
      <c r="E874" s="11"/>
      <c r="F874" s="11" t="s">
        <v>88</v>
      </c>
      <c r="G874" s="21" t="n">
        <v>56.09</v>
      </c>
      <c r="H874" s="19" t="n">
        <v>0</v>
      </c>
      <c r="I874" s="21" t="n">
        <v>56.09</v>
      </c>
      <c r="J874" s="22" t="s">
        <v>80</v>
      </c>
      <c r="K874" s="11" t="n">
        <v>21</v>
      </c>
      <c r="L874" s="23" t="n">
        <v>4.9</v>
      </c>
      <c r="M874" s="24" t="b">
        <f aca="false">FALSE()</f>
        <v>0</v>
      </c>
      <c r="N874" s="11"/>
      <c r="O874" s="11" t="str">
        <f aca="false">IF(K874&lt;=StockP33,"Low",IF(K874&lt;=StockP67,"Moderate","High"))</f>
        <v>Moderate</v>
      </c>
      <c r="P874" s="11" t="str">
        <f aca="false">IF(H874=0,"Low",IF(H874&lt;=MarkdownP75,"Moderate","High"))</f>
        <v>Low</v>
      </c>
      <c r="Q874" s="11" t="str">
        <f aca="false">IF(ISBLANK(L874),"Unknown",IF(L874&gt;=4,"Good",IF(L874&lt;=2,"Poor","Neutral")))</f>
        <v>Good</v>
      </c>
      <c r="R874" s="11" t="str">
        <f aca="false">IF(AND(O874="Low",P874="Low",Q874="Good"),"BUY / PRIORITIZE",IF(AND(O874="High",P874="High",OR(Q874="Poor",M874=TRUE())),"HOLD / REVIEW","MONITOR"))</f>
        <v>MONITOR</v>
      </c>
      <c r="S874" s="11" t="n">
        <f aca="false">K874+(ROW()/10000000)</f>
        <v>21.0000874</v>
      </c>
    </row>
    <row r="875" customFormat="false" ht="15" hidden="false" customHeight="false" outlineLevel="0" collapsed="false">
      <c r="A875" s="11" t="s">
        <v>1128</v>
      </c>
      <c r="B875" s="11" t="s">
        <v>29</v>
      </c>
      <c r="C875" s="11" t="s">
        <v>116</v>
      </c>
      <c r="D875" s="11" t="s">
        <v>36</v>
      </c>
      <c r="E875" s="11" t="s">
        <v>110</v>
      </c>
      <c r="F875" s="11" t="s">
        <v>98</v>
      </c>
      <c r="G875" s="21" t="n">
        <v>124.81</v>
      </c>
      <c r="H875" s="19" t="n">
        <v>33.1</v>
      </c>
      <c r="I875" s="21" t="n">
        <v>83.5</v>
      </c>
      <c r="J875" s="22" t="s">
        <v>80</v>
      </c>
      <c r="K875" s="11" t="n">
        <v>45</v>
      </c>
      <c r="L875" s="23" t="n">
        <v>2.4</v>
      </c>
      <c r="M875" s="24" t="b">
        <f aca="false">FALSE()</f>
        <v>0</v>
      </c>
      <c r="N875" s="11"/>
      <c r="O875" s="11" t="str">
        <f aca="false">IF(K875&lt;=StockP33,"Low",IF(K875&lt;=StockP67,"Moderate","High"))</f>
        <v>High</v>
      </c>
      <c r="P875" s="11" t="str">
        <f aca="false">IF(H875=0,"Low",IF(H875&lt;=MarkdownP75,"Moderate","High"))</f>
        <v>High</v>
      </c>
      <c r="Q875" s="11" t="str">
        <f aca="false">IF(ISBLANK(L875),"Unknown",IF(L875&gt;=4,"Good",IF(L875&lt;=2,"Poor","Neutral")))</f>
        <v>Neutral</v>
      </c>
      <c r="R875" s="11" t="str">
        <f aca="false">IF(AND(O875="Low",P875="Low",Q875="Good"),"BUY / PRIORITIZE",IF(AND(O875="High",P875="High",OR(Q875="Poor",M875=TRUE())),"HOLD / REVIEW","MONITOR"))</f>
        <v>MONITOR</v>
      </c>
      <c r="S875" s="11" t="n">
        <f aca="false">K875+(ROW()/10000000)</f>
        <v>45.0000875</v>
      </c>
    </row>
    <row r="876" customFormat="false" ht="15" hidden="false" customHeight="false" outlineLevel="0" collapsed="false">
      <c r="A876" s="11" t="s">
        <v>1129</v>
      </c>
      <c r="B876" s="11" t="s">
        <v>27</v>
      </c>
      <c r="C876" s="11" t="s">
        <v>72</v>
      </c>
      <c r="D876" s="11" t="s">
        <v>34</v>
      </c>
      <c r="E876" s="11" t="s">
        <v>113</v>
      </c>
      <c r="F876" s="11" t="s">
        <v>88</v>
      </c>
      <c r="G876" s="21" t="n">
        <v>94.03</v>
      </c>
      <c r="H876" s="19" t="n">
        <v>56.1</v>
      </c>
      <c r="I876" s="21" t="n">
        <v>41.28</v>
      </c>
      <c r="J876" s="22" t="s">
        <v>1130</v>
      </c>
      <c r="K876" s="11" t="n">
        <v>16</v>
      </c>
      <c r="L876" s="23" t="n">
        <v>1.2</v>
      </c>
      <c r="M876" s="24" t="b">
        <f aca="false">FALSE()</f>
        <v>0</v>
      </c>
      <c r="N876" s="11"/>
      <c r="O876" s="11" t="str">
        <f aca="false">IF(K876&lt;=StockP33,"Low",IF(K876&lt;=StockP67,"Moderate","High"))</f>
        <v>Low</v>
      </c>
      <c r="P876" s="11" t="str">
        <f aca="false">IF(H876=0,"Low",IF(H876&lt;=MarkdownP75,"Moderate","High"))</f>
        <v>High</v>
      </c>
      <c r="Q876" s="11" t="str">
        <f aca="false">IF(ISBLANK(L876),"Unknown",IF(L876&gt;=4,"Good",IF(L876&lt;=2,"Poor","Neutral")))</f>
        <v>Poor</v>
      </c>
      <c r="R876" s="11" t="str">
        <f aca="false">IF(AND(O876="Low",P876="Low",Q876="Good"),"BUY / PRIORITIZE",IF(AND(O876="High",P876="High",OR(Q876="Poor",M876=TRUE())),"HOLD / REVIEW","MONITOR"))</f>
        <v>MONITOR</v>
      </c>
      <c r="S876" s="11" t="n">
        <f aca="false">K876+(ROW()/10000000)</f>
        <v>16.0000876</v>
      </c>
    </row>
    <row r="877" customFormat="false" ht="15" hidden="false" customHeight="false" outlineLevel="0" collapsed="false">
      <c r="A877" s="11" t="s">
        <v>1131</v>
      </c>
      <c r="B877" s="11" t="s">
        <v>29</v>
      </c>
      <c r="C877" s="11" t="s">
        <v>72</v>
      </c>
      <c r="D877" s="11" t="s">
        <v>36</v>
      </c>
      <c r="E877" s="11" t="s">
        <v>110</v>
      </c>
      <c r="F877" s="11" t="s">
        <v>74</v>
      </c>
      <c r="G877" s="21" t="n">
        <v>109.51</v>
      </c>
      <c r="H877" s="19" t="n">
        <v>8.2</v>
      </c>
      <c r="I877" s="21" t="n">
        <v>100.53</v>
      </c>
      <c r="J877" s="22" t="s">
        <v>80</v>
      </c>
      <c r="K877" s="11" t="n">
        <v>12</v>
      </c>
      <c r="L877" s="23"/>
      <c r="M877" s="24" t="b">
        <f aca="false">FALSE()</f>
        <v>0</v>
      </c>
      <c r="N877" s="11"/>
      <c r="O877" s="11" t="str">
        <f aca="false">IF(K877&lt;=StockP33,"Low",IF(K877&lt;=StockP67,"Moderate","High"))</f>
        <v>Low</v>
      </c>
      <c r="P877" s="11" t="str">
        <f aca="false">IF(H877=0,"Low",IF(H877&lt;=MarkdownP75,"Moderate","High"))</f>
        <v>Moderate</v>
      </c>
      <c r="Q877" s="11" t="str">
        <f aca="false">IF(ISBLANK(L877),"Unknown",IF(L877&gt;=4,"Good",IF(L877&lt;=2,"Poor","Neutral")))</f>
        <v>Unknown</v>
      </c>
      <c r="R877" s="11" t="str">
        <f aca="false">IF(AND(O877="Low",P877="Low",Q877="Good"),"BUY / PRIORITIZE",IF(AND(O877="High",P877="High",OR(Q877="Poor",M877=TRUE())),"HOLD / REVIEW","MONITOR"))</f>
        <v>MONITOR</v>
      </c>
      <c r="S877" s="11" t="n">
        <f aca="false">K877+(ROW()/10000000)</f>
        <v>12.0000877</v>
      </c>
    </row>
    <row r="878" customFormat="false" ht="15" hidden="false" customHeight="false" outlineLevel="0" collapsed="false">
      <c r="A878" s="11" t="s">
        <v>1132</v>
      </c>
      <c r="B878" s="11" t="s">
        <v>8</v>
      </c>
      <c r="C878" s="11" t="s">
        <v>95</v>
      </c>
      <c r="D878" s="11" t="s">
        <v>37</v>
      </c>
      <c r="E878" s="11"/>
      <c r="F878" s="11" t="s">
        <v>118</v>
      </c>
      <c r="G878" s="21" t="n">
        <v>31.13</v>
      </c>
      <c r="H878" s="19" t="n">
        <v>0</v>
      </c>
      <c r="I878" s="21" t="n">
        <v>31.13</v>
      </c>
      <c r="J878" s="22" t="s">
        <v>80</v>
      </c>
      <c r="K878" s="11" t="n">
        <v>29</v>
      </c>
      <c r="L878" s="23" t="n">
        <v>4.7</v>
      </c>
      <c r="M878" s="24" t="b">
        <f aca="false">FALSE()</f>
        <v>0</v>
      </c>
      <c r="N878" s="11"/>
      <c r="O878" s="11" t="str">
        <f aca="false">IF(K878&lt;=StockP33,"Low",IF(K878&lt;=StockP67,"Moderate","High"))</f>
        <v>Moderate</v>
      </c>
      <c r="P878" s="11" t="str">
        <f aca="false">IF(H878=0,"Low",IF(H878&lt;=MarkdownP75,"Moderate","High"))</f>
        <v>Low</v>
      </c>
      <c r="Q878" s="11" t="str">
        <f aca="false">IF(ISBLANK(L878),"Unknown",IF(L878&gt;=4,"Good",IF(L878&lt;=2,"Poor","Neutral")))</f>
        <v>Good</v>
      </c>
      <c r="R878" s="11" t="str">
        <f aca="false">IF(AND(O878="Low",P878="Low",Q878="Good"),"BUY / PRIORITIZE",IF(AND(O878="High",P878="High",OR(Q878="Poor",M878=TRUE())),"HOLD / REVIEW","MONITOR"))</f>
        <v>MONITOR</v>
      </c>
      <c r="S878" s="11" t="n">
        <f aca="false">K878+(ROW()/10000000)</f>
        <v>29.0000878</v>
      </c>
    </row>
    <row r="879" customFormat="false" ht="15" hidden="false" customHeight="false" outlineLevel="0" collapsed="false">
      <c r="A879" s="11" t="s">
        <v>1133</v>
      </c>
      <c r="B879" s="11" t="s">
        <v>8</v>
      </c>
      <c r="C879" s="11" t="s">
        <v>86</v>
      </c>
      <c r="D879" s="11" t="s">
        <v>36</v>
      </c>
      <c r="E879" s="11"/>
      <c r="F879" s="11" t="s">
        <v>96</v>
      </c>
      <c r="G879" s="21" t="n">
        <v>66.3</v>
      </c>
      <c r="H879" s="19" t="n">
        <v>1.7</v>
      </c>
      <c r="I879" s="21" t="n">
        <v>65.17</v>
      </c>
      <c r="J879" s="22" t="s">
        <v>80</v>
      </c>
      <c r="K879" s="11" t="n">
        <v>28</v>
      </c>
      <c r="L879" s="23" t="n">
        <v>1.6</v>
      </c>
      <c r="M879" s="24" t="b">
        <f aca="false">FALSE()</f>
        <v>0</v>
      </c>
      <c r="N879" s="11"/>
      <c r="O879" s="11" t="str">
        <f aca="false">IF(K879&lt;=StockP33,"Low",IF(K879&lt;=StockP67,"Moderate","High"))</f>
        <v>Moderate</v>
      </c>
      <c r="P879" s="11" t="str">
        <f aca="false">IF(H879=0,"Low",IF(H879&lt;=MarkdownP75,"Moderate","High"))</f>
        <v>Moderate</v>
      </c>
      <c r="Q879" s="11" t="str">
        <f aca="false">IF(ISBLANK(L879),"Unknown",IF(L879&gt;=4,"Good",IF(L879&lt;=2,"Poor","Neutral")))</f>
        <v>Poor</v>
      </c>
      <c r="R879" s="11" t="str">
        <f aca="false">IF(AND(O879="Low",P879="Low",Q879="Good"),"BUY / PRIORITIZE",IF(AND(O879="High",P879="High",OR(Q879="Poor",M879=TRUE())),"HOLD / REVIEW","MONITOR"))</f>
        <v>MONITOR</v>
      </c>
      <c r="S879" s="11" t="n">
        <f aca="false">K879+(ROW()/10000000)</f>
        <v>28.0000879</v>
      </c>
    </row>
    <row r="880" customFormat="false" ht="15" hidden="false" customHeight="false" outlineLevel="0" collapsed="false">
      <c r="A880" s="11" t="s">
        <v>1134</v>
      </c>
      <c r="B880" s="11" t="s">
        <v>26</v>
      </c>
      <c r="C880" s="11" t="s">
        <v>101</v>
      </c>
      <c r="D880" s="11" t="s">
        <v>37</v>
      </c>
      <c r="E880" s="11" t="s">
        <v>113</v>
      </c>
      <c r="F880" s="11" t="s">
        <v>74</v>
      </c>
      <c r="G880" s="21" t="n">
        <v>66.63</v>
      </c>
      <c r="H880" s="19" t="n">
        <v>28.4</v>
      </c>
      <c r="I880" s="21" t="n">
        <v>47.71</v>
      </c>
      <c r="J880" s="22" t="s">
        <v>80</v>
      </c>
      <c r="K880" s="11" t="n">
        <v>32</v>
      </c>
      <c r="L880" s="23" t="n">
        <v>2</v>
      </c>
      <c r="M880" s="24" t="b">
        <f aca="false">FALSE()</f>
        <v>0</v>
      </c>
      <c r="N880" s="11"/>
      <c r="O880" s="11" t="str">
        <f aca="false">IF(K880&lt;=StockP33,"Low",IF(K880&lt;=StockP67,"Moderate","High"))</f>
        <v>Moderate</v>
      </c>
      <c r="P880" s="11" t="str">
        <f aca="false">IF(H880=0,"Low",IF(H880&lt;=MarkdownP75,"Moderate","High"))</f>
        <v>High</v>
      </c>
      <c r="Q880" s="11" t="str">
        <f aca="false">IF(ISBLANK(L880),"Unknown",IF(L880&gt;=4,"Good",IF(L880&lt;=2,"Poor","Neutral")))</f>
        <v>Poor</v>
      </c>
      <c r="R880" s="11" t="str">
        <f aca="false">IF(AND(O880="Low",P880="Low",Q880="Good"),"BUY / PRIORITIZE",IF(AND(O880="High",P880="High",OR(Q880="Poor",M880=TRUE())),"HOLD / REVIEW","MONITOR"))</f>
        <v>MONITOR</v>
      </c>
      <c r="S880" s="11" t="n">
        <f aca="false">K880+(ROW()/10000000)</f>
        <v>32.000088</v>
      </c>
    </row>
    <row r="881" customFormat="false" ht="15" hidden="false" customHeight="false" outlineLevel="0" collapsed="false">
      <c r="A881" s="11" t="s">
        <v>1135</v>
      </c>
      <c r="B881" s="11" t="s">
        <v>26</v>
      </c>
      <c r="C881" s="11" t="s">
        <v>95</v>
      </c>
      <c r="D881" s="11" t="s">
        <v>34</v>
      </c>
      <c r="E881" s="11" t="s">
        <v>78</v>
      </c>
      <c r="F881" s="11" t="s">
        <v>98</v>
      </c>
      <c r="G881" s="21" t="n">
        <v>117.63</v>
      </c>
      <c r="H881" s="19" t="n">
        <v>0</v>
      </c>
      <c r="I881" s="21" t="n">
        <v>117.63</v>
      </c>
      <c r="J881" s="22" t="s">
        <v>364</v>
      </c>
      <c r="K881" s="11" t="n">
        <v>18</v>
      </c>
      <c r="L881" s="23" t="n">
        <v>1.2</v>
      </c>
      <c r="M881" s="24" t="b">
        <f aca="false">FALSE()</f>
        <v>0</v>
      </c>
      <c r="N881" s="11"/>
      <c r="O881" s="11" t="str">
        <f aca="false">IF(K881&lt;=StockP33,"Low",IF(K881&lt;=StockP67,"Moderate","High"))</f>
        <v>Moderate</v>
      </c>
      <c r="P881" s="11" t="str">
        <f aca="false">IF(H881=0,"Low",IF(H881&lt;=MarkdownP75,"Moderate","High"))</f>
        <v>Low</v>
      </c>
      <c r="Q881" s="11" t="str">
        <f aca="false">IF(ISBLANK(L881),"Unknown",IF(L881&gt;=4,"Good",IF(L881&lt;=2,"Poor","Neutral")))</f>
        <v>Poor</v>
      </c>
      <c r="R881" s="11" t="str">
        <f aca="false">IF(AND(O881="Low",P881="Low",Q881="Good"),"BUY / PRIORITIZE",IF(AND(O881="High",P881="High",OR(Q881="Poor",M881=TRUE())),"HOLD / REVIEW","MONITOR"))</f>
        <v>MONITOR</v>
      </c>
      <c r="S881" s="11" t="n">
        <f aca="false">K881+(ROW()/10000000)</f>
        <v>18.0000881</v>
      </c>
    </row>
    <row r="882" customFormat="false" ht="15" hidden="false" customHeight="false" outlineLevel="0" collapsed="false">
      <c r="A882" s="11" t="s">
        <v>1136</v>
      </c>
      <c r="B882" s="11" t="s">
        <v>29</v>
      </c>
      <c r="C882" s="11" t="s">
        <v>86</v>
      </c>
      <c r="D882" s="11" t="s">
        <v>37</v>
      </c>
      <c r="E882" s="11" t="s">
        <v>113</v>
      </c>
      <c r="F882" s="11" t="s">
        <v>120</v>
      </c>
      <c r="G882" s="21" t="n">
        <v>174.53</v>
      </c>
      <c r="H882" s="19" t="n">
        <v>0</v>
      </c>
      <c r="I882" s="21" t="n">
        <v>174.53</v>
      </c>
      <c r="J882" s="22" t="s">
        <v>80</v>
      </c>
      <c r="K882" s="11" t="n">
        <v>45</v>
      </c>
      <c r="L882" s="23"/>
      <c r="M882" s="24" t="b">
        <f aca="false">FALSE()</f>
        <v>0</v>
      </c>
      <c r="N882" s="11"/>
      <c r="O882" s="11" t="str">
        <f aca="false">IF(K882&lt;=StockP33,"Low",IF(K882&lt;=StockP67,"Moderate","High"))</f>
        <v>High</v>
      </c>
      <c r="P882" s="11" t="str">
        <f aca="false">IF(H882=0,"Low",IF(H882&lt;=MarkdownP75,"Moderate","High"))</f>
        <v>Low</v>
      </c>
      <c r="Q882" s="11" t="str">
        <f aca="false">IF(ISBLANK(L882),"Unknown",IF(L882&gt;=4,"Good",IF(L882&lt;=2,"Poor","Neutral")))</f>
        <v>Unknown</v>
      </c>
      <c r="R882" s="11" t="str">
        <f aca="false">IF(AND(O882="Low",P882="Low",Q882="Good"),"BUY / PRIORITIZE",IF(AND(O882="High",P882="High",OR(Q882="Poor",M882=TRUE())),"HOLD / REVIEW","MONITOR"))</f>
        <v>MONITOR</v>
      </c>
      <c r="S882" s="11" t="n">
        <f aca="false">K882+(ROW()/10000000)</f>
        <v>45.0000882</v>
      </c>
    </row>
    <row r="883" customFormat="false" ht="15" hidden="false" customHeight="false" outlineLevel="0" collapsed="false">
      <c r="A883" s="11" t="s">
        <v>1137</v>
      </c>
      <c r="B883" s="11" t="s">
        <v>27</v>
      </c>
      <c r="C883" s="11" t="s">
        <v>72</v>
      </c>
      <c r="D883" s="11" t="s">
        <v>37</v>
      </c>
      <c r="E883" s="11" t="s">
        <v>91</v>
      </c>
      <c r="F883" s="11" t="s">
        <v>98</v>
      </c>
      <c r="G883" s="21" t="n">
        <v>152.65</v>
      </c>
      <c r="H883" s="19" t="n">
        <v>0</v>
      </c>
      <c r="I883" s="21" t="n">
        <v>152.65</v>
      </c>
      <c r="J883" s="22" t="s">
        <v>80</v>
      </c>
      <c r="K883" s="11" t="n">
        <v>27</v>
      </c>
      <c r="L883" s="23" t="n">
        <v>3.7</v>
      </c>
      <c r="M883" s="24" t="b">
        <f aca="false">FALSE()</f>
        <v>0</v>
      </c>
      <c r="N883" s="11"/>
      <c r="O883" s="11" t="str">
        <f aca="false">IF(K883&lt;=StockP33,"Low",IF(K883&lt;=StockP67,"Moderate","High"))</f>
        <v>Moderate</v>
      </c>
      <c r="P883" s="11" t="str">
        <f aca="false">IF(H883=0,"Low",IF(H883&lt;=MarkdownP75,"Moderate","High"))</f>
        <v>Low</v>
      </c>
      <c r="Q883" s="11" t="str">
        <f aca="false">IF(ISBLANK(L883),"Unknown",IF(L883&gt;=4,"Good",IF(L883&lt;=2,"Poor","Neutral")))</f>
        <v>Neutral</v>
      </c>
      <c r="R883" s="11" t="str">
        <f aca="false">IF(AND(O883="Low",P883="Low",Q883="Good"),"BUY / PRIORITIZE",IF(AND(O883="High",P883="High",OR(Q883="Poor",M883=TRUE())),"HOLD / REVIEW","MONITOR"))</f>
        <v>MONITOR</v>
      </c>
      <c r="S883" s="11" t="n">
        <f aca="false">K883+(ROW()/10000000)</f>
        <v>27.0000883</v>
      </c>
    </row>
    <row r="884" customFormat="false" ht="15" hidden="false" customHeight="false" outlineLevel="0" collapsed="false">
      <c r="A884" s="11" t="s">
        <v>1138</v>
      </c>
      <c r="B884" s="11" t="s">
        <v>28</v>
      </c>
      <c r="C884" s="11" t="s">
        <v>107</v>
      </c>
      <c r="D884" s="11" t="s">
        <v>35</v>
      </c>
      <c r="E884" s="11" t="s">
        <v>73</v>
      </c>
      <c r="F884" s="11" t="s">
        <v>96</v>
      </c>
      <c r="G884" s="21" t="n">
        <v>83.24</v>
      </c>
      <c r="H884" s="19" t="n">
        <v>0</v>
      </c>
      <c r="I884" s="21" t="n">
        <v>83.24</v>
      </c>
      <c r="J884" s="22" t="s">
        <v>80</v>
      </c>
      <c r="K884" s="11" t="n">
        <v>16</v>
      </c>
      <c r="L884" s="23"/>
      <c r="M884" s="24" t="b">
        <f aca="false">FALSE()</f>
        <v>0</v>
      </c>
      <c r="N884" s="11"/>
      <c r="O884" s="11" t="str">
        <f aca="false">IF(K884&lt;=StockP33,"Low",IF(K884&lt;=StockP67,"Moderate","High"))</f>
        <v>Low</v>
      </c>
      <c r="P884" s="11" t="str">
        <f aca="false">IF(H884=0,"Low",IF(H884&lt;=MarkdownP75,"Moderate","High"))</f>
        <v>Low</v>
      </c>
      <c r="Q884" s="11" t="str">
        <f aca="false">IF(ISBLANK(L884),"Unknown",IF(L884&gt;=4,"Good",IF(L884&lt;=2,"Poor","Neutral")))</f>
        <v>Unknown</v>
      </c>
      <c r="R884" s="11" t="str">
        <f aca="false">IF(AND(O884="Low",P884="Low",Q884="Good"),"BUY / PRIORITIZE",IF(AND(O884="High",P884="High",OR(Q884="Poor",M884=TRUE())),"HOLD / REVIEW","MONITOR"))</f>
        <v>MONITOR</v>
      </c>
      <c r="S884" s="11" t="n">
        <f aca="false">K884+(ROW()/10000000)</f>
        <v>16.0000884</v>
      </c>
    </row>
    <row r="885" customFormat="false" ht="15" hidden="false" customHeight="false" outlineLevel="0" collapsed="false">
      <c r="A885" s="11" t="s">
        <v>1139</v>
      </c>
      <c r="B885" s="11" t="s">
        <v>8</v>
      </c>
      <c r="C885" s="11" t="s">
        <v>72</v>
      </c>
      <c r="D885" s="11" t="s">
        <v>37</v>
      </c>
      <c r="E885" s="11"/>
      <c r="F885" s="11" t="s">
        <v>124</v>
      </c>
      <c r="G885" s="21" t="n">
        <v>40.18</v>
      </c>
      <c r="H885" s="19" t="n">
        <v>0</v>
      </c>
      <c r="I885" s="21" t="n">
        <v>40.18</v>
      </c>
      <c r="J885" s="22" t="s">
        <v>80</v>
      </c>
      <c r="K885" s="11" t="n">
        <v>27</v>
      </c>
      <c r="L885" s="23" t="n">
        <v>4.7</v>
      </c>
      <c r="M885" s="24" t="b">
        <f aca="false">FALSE()</f>
        <v>0</v>
      </c>
      <c r="N885" s="11"/>
      <c r="O885" s="11" t="str">
        <f aca="false">IF(K885&lt;=StockP33,"Low",IF(K885&lt;=StockP67,"Moderate","High"))</f>
        <v>Moderate</v>
      </c>
      <c r="P885" s="11" t="str">
        <f aca="false">IF(H885=0,"Low",IF(H885&lt;=MarkdownP75,"Moderate","High"))</f>
        <v>Low</v>
      </c>
      <c r="Q885" s="11" t="str">
        <f aca="false">IF(ISBLANK(L885),"Unknown",IF(L885&gt;=4,"Good",IF(L885&lt;=2,"Poor","Neutral")))</f>
        <v>Good</v>
      </c>
      <c r="R885" s="11" t="str">
        <f aca="false">IF(AND(O885="Low",P885="Low",Q885="Good"),"BUY / PRIORITIZE",IF(AND(O885="High",P885="High",OR(Q885="Poor",M885=TRUE())),"HOLD / REVIEW","MONITOR"))</f>
        <v>MONITOR</v>
      </c>
      <c r="S885" s="11" t="n">
        <f aca="false">K885+(ROW()/10000000)</f>
        <v>27.0000885</v>
      </c>
    </row>
    <row r="886" customFormat="false" ht="15" hidden="false" customHeight="false" outlineLevel="0" collapsed="false">
      <c r="A886" s="11" t="s">
        <v>1140</v>
      </c>
      <c r="B886" s="11" t="s">
        <v>26</v>
      </c>
      <c r="C886" s="11" t="s">
        <v>95</v>
      </c>
      <c r="D886" s="11" t="s">
        <v>34</v>
      </c>
      <c r="E886" s="11" t="s">
        <v>73</v>
      </c>
      <c r="F886" s="11" t="s">
        <v>74</v>
      </c>
      <c r="G886" s="21" t="n">
        <v>73.77</v>
      </c>
      <c r="H886" s="19" t="n">
        <v>22.8</v>
      </c>
      <c r="I886" s="21" t="n">
        <v>56.95</v>
      </c>
      <c r="J886" s="22" t="s">
        <v>1141</v>
      </c>
      <c r="K886" s="11" t="n">
        <v>0</v>
      </c>
      <c r="L886" s="23"/>
      <c r="M886" s="24" t="b">
        <f aca="false">FALSE()</f>
        <v>0</v>
      </c>
      <c r="N886" s="11"/>
      <c r="O886" s="11" t="str">
        <f aca="false">IF(K886&lt;=StockP33,"Low",IF(K886&lt;=StockP67,"Moderate","High"))</f>
        <v>Low</v>
      </c>
      <c r="P886" s="11" t="str">
        <f aca="false">IF(H886=0,"Low",IF(H886&lt;=MarkdownP75,"Moderate","High"))</f>
        <v>High</v>
      </c>
      <c r="Q886" s="11" t="str">
        <f aca="false">IF(ISBLANK(L886),"Unknown",IF(L886&gt;=4,"Good",IF(L886&lt;=2,"Poor","Neutral")))</f>
        <v>Unknown</v>
      </c>
      <c r="R886" s="11" t="str">
        <f aca="false">IF(AND(O886="Low",P886="Low",Q886="Good"),"BUY / PRIORITIZE",IF(AND(O886="High",P886="High",OR(Q886="Poor",M886=TRUE())),"HOLD / REVIEW","MONITOR"))</f>
        <v>MONITOR</v>
      </c>
      <c r="S886" s="11" t="n">
        <f aca="false">K886+(ROW()/10000000)</f>
        <v>8.86E-005</v>
      </c>
    </row>
    <row r="887" customFormat="false" ht="15" hidden="false" customHeight="false" outlineLevel="0" collapsed="false">
      <c r="A887" s="11" t="s">
        <v>1142</v>
      </c>
      <c r="B887" s="11" t="s">
        <v>8</v>
      </c>
      <c r="C887" s="11" t="s">
        <v>130</v>
      </c>
      <c r="D887" s="11" t="s">
        <v>37</v>
      </c>
      <c r="E887" s="11"/>
      <c r="F887" s="11" t="s">
        <v>74</v>
      </c>
      <c r="G887" s="21" t="n">
        <v>71.3</v>
      </c>
      <c r="H887" s="19" t="n">
        <v>0</v>
      </c>
      <c r="I887" s="21" t="n">
        <v>71.3</v>
      </c>
      <c r="J887" s="22" t="s">
        <v>80</v>
      </c>
      <c r="K887" s="11" t="n">
        <v>29</v>
      </c>
      <c r="L887" s="23"/>
      <c r="M887" s="24" t="b">
        <f aca="false">FALSE()</f>
        <v>0</v>
      </c>
      <c r="N887" s="11"/>
      <c r="O887" s="11" t="str">
        <f aca="false">IF(K887&lt;=StockP33,"Low",IF(K887&lt;=StockP67,"Moderate","High"))</f>
        <v>Moderate</v>
      </c>
      <c r="P887" s="11" t="str">
        <f aca="false">IF(H887=0,"Low",IF(H887&lt;=MarkdownP75,"Moderate","High"))</f>
        <v>Low</v>
      </c>
      <c r="Q887" s="11" t="str">
        <f aca="false">IF(ISBLANK(L887),"Unknown",IF(L887&gt;=4,"Good",IF(L887&lt;=2,"Poor","Neutral")))</f>
        <v>Unknown</v>
      </c>
      <c r="R887" s="11" t="str">
        <f aca="false">IF(AND(O887="Low",P887="Low",Q887="Good"),"BUY / PRIORITIZE",IF(AND(O887="High",P887="High",OR(Q887="Poor",M887=TRUE())),"HOLD / REVIEW","MONITOR"))</f>
        <v>MONITOR</v>
      </c>
      <c r="S887" s="11" t="n">
        <f aca="false">K887+(ROW()/10000000)</f>
        <v>29.0000887</v>
      </c>
    </row>
    <row r="888" customFormat="false" ht="15" hidden="false" customHeight="false" outlineLevel="0" collapsed="false">
      <c r="A888" s="11" t="s">
        <v>1143</v>
      </c>
      <c r="B888" s="11" t="s">
        <v>8</v>
      </c>
      <c r="C888" s="11" t="s">
        <v>130</v>
      </c>
      <c r="D888" s="11" t="s">
        <v>35</v>
      </c>
      <c r="E888" s="11"/>
      <c r="F888" s="11" t="s">
        <v>111</v>
      </c>
      <c r="G888" s="21" t="n">
        <v>50.3</v>
      </c>
      <c r="H888" s="19" t="n">
        <v>52.8</v>
      </c>
      <c r="I888" s="21" t="n">
        <v>23.74</v>
      </c>
      <c r="J888" s="22" t="s">
        <v>80</v>
      </c>
      <c r="K888" s="11" t="n">
        <v>11</v>
      </c>
      <c r="L888" s="23"/>
      <c r="M888" s="24" t="b">
        <f aca="false">FALSE()</f>
        <v>0</v>
      </c>
      <c r="N888" s="11"/>
      <c r="O888" s="11" t="str">
        <f aca="false">IF(K888&lt;=StockP33,"Low",IF(K888&lt;=StockP67,"Moderate","High"))</f>
        <v>Low</v>
      </c>
      <c r="P888" s="11" t="str">
        <f aca="false">IF(H888=0,"Low",IF(H888&lt;=MarkdownP75,"Moderate","High"))</f>
        <v>High</v>
      </c>
      <c r="Q888" s="11" t="str">
        <f aca="false">IF(ISBLANK(L888),"Unknown",IF(L888&gt;=4,"Good",IF(L888&lt;=2,"Poor","Neutral")))</f>
        <v>Unknown</v>
      </c>
      <c r="R888" s="11" t="str">
        <f aca="false">IF(AND(O888="Low",P888="Low",Q888="Good"),"BUY / PRIORITIZE",IF(AND(O888="High",P888="High",OR(Q888="Poor",M888=TRUE())),"HOLD / REVIEW","MONITOR"))</f>
        <v>MONITOR</v>
      </c>
      <c r="S888" s="11" t="n">
        <f aca="false">K888+(ROW()/10000000)</f>
        <v>11.0000888</v>
      </c>
    </row>
    <row r="889" customFormat="false" ht="15" hidden="false" customHeight="false" outlineLevel="0" collapsed="false">
      <c r="A889" s="11" t="s">
        <v>1144</v>
      </c>
      <c r="B889" s="11" t="s">
        <v>8</v>
      </c>
      <c r="C889" s="11" t="s">
        <v>101</v>
      </c>
      <c r="D889" s="11" t="s">
        <v>34</v>
      </c>
      <c r="E889" s="11"/>
      <c r="F889" s="11" t="s">
        <v>98</v>
      </c>
      <c r="G889" s="21" t="n">
        <v>46.97</v>
      </c>
      <c r="H889" s="19" t="n">
        <v>0</v>
      </c>
      <c r="I889" s="21" t="n">
        <v>46.97</v>
      </c>
      <c r="J889" s="22" t="s">
        <v>1145</v>
      </c>
      <c r="K889" s="11" t="n">
        <v>33</v>
      </c>
      <c r="L889" s="23" t="n">
        <v>2.6</v>
      </c>
      <c r="M889" s="24" t="b">
        <f aca="false">FALSE()</f>
        <v>0</v>
      </c>
      <c r="N889" s="11"/>
      <c r="O889" s="11" t="str">
        <f aca="false">IF(K889&lt;=StockP33,"Low",IF(K889&lt;=StockP67,"Moderate","High"))</f>
        <v>Moderate</v>
      </c>
      <c r="P889" s="11" t="str">
        <f aca="false">IF(H889=0,"Low",IF(H889&lt;=MarkdownP75,"Moderate","High"))</f>
        <v>Low</v>
      </c>
      <c r="Q889" s="11" t="str">
        <f aca="false">IF(ISBLANK(L889),"Unknown",IF(L889&gt;=4,"Good",IF(L889&lt;=2,"Poor","Neutral")))</f>
        <v>Neutral</v>
      </c>
      <c r="R889" s="11" t="str">
        <f aca="false">IF(AND(O889="Low",P889="Low",Q889="Good"),"BUY / PRIORITIZE",IF(AND(O889="High",P889="High",OR(Q889="Poor",M889=TRUE())),"HOLD / REVIEW","MONITOR"))</f>
        <v>MONITOR</v>
      </c>
      <c r="S889" s="11" t="n">
        <f aca="false">K889+(ROW()/10000000)</f>
        <v>33.0000889</v>
      </c>
    </row>
    <row r="890" customFormat="false" ht="15" hidden="false" customHeight="false" outlineLevel="0" collapsed="false">
      <c r="A890" s="11" t="s">
        <v>1146</v>
      </c>
      <c r="B890" s="11" t="s">
        <v>29</v>
      </c>
      <c r="C890" s="11" t="s">
        <v>72</v>
      </c>
      <c r="D890" s="11" t="s">
        <v>36</v>
      </c>
      <c r="E890" s="11"/>
      <c r="F890" s="11" t="s">
        <v>124</v>
      </c>
      <c r="G890" s="21" t="n">
        <v>162.9</v>
      </c>
      <c r="H890" s="19" t="n">
        <v>0</v>
      </c>
      <c r="I890" s="21" t="n">
        <v>162.9</v>
      </c>
      <c r="J890" s="22" t="s">
        <v>80</v>
      </c>
      <c r="K890" s="11" t="n">
        <v>30</v>
      </c>
      <c r="L890" s="23" t="n">
        <v>1.9</v>
      </c>
      <c r="M890" s="24" t="b">
        <f aca="false">FALSE()</f>
        <v>0</v>
      </c>
      <c r="N890" s="11"/>
      <c r="O890" s="11" t="str">
        <f aca="false">IF(K890&lt;=StockP33,"Low",IF(K890&lt;=StockP67,"Moderate","High"))</f>
        <v>Moderate</v>
      </c>
      <c r="P890" s="11" t="str">
        <f aca="false">IF(H890=0,"Low",IF(H890&lt;=MarkdownP75,"Moderate","High"))</f>
        <v>Low</v>
      </c>
      <c r="Q890" s="11" t="str">
        <f aca="false">IF(ISBLANK(L890),"Unknown",IF(L890&gt;=4,"Good",IF(L890&lt;=2,"Poor","Neutral")))</f>
        <v>Poor</v>
      </c>
      <c r="R890" s="11" t="str">
        <f aca="false">IF(AND(O890="Low",P890="Low",Q890="Good"),"BUY / PRIORITIZE",IF(AND(O890="High",P890="High",OR(Q890="Poor",M890=TRUE())),"HOLD / REVIEW","MONITOR"))</f>
        <v>MONITOR</v>
      </c>
      <c r="S890" s="11" t="n">
        <f aca="false">K890+(ROW()/10000000)</f>
        <v>30.000089</v>
      </c>
    </row>
    <row r="891" customFormat="false" ht="15" hidden="false" customHeight="false" outlineLevel="0" collapsed="false">
      <c r="A891" s="11" t="s">
        <v>1147</v>
      </c>
      <c r="B891" s="11" t="s">
        <v>26</v>
      </c>
      <c r="C891" s="11" t="s">
        <v>130</v>
      </c>
      <c r="D891" s="11" t="s">
        <v>37</v>
      </c>
      <c r="E891" s="11" t="s">
        <v>73</v>
      </c>
      <c r="F891" s="11" t="s">
        <v>88</v>
      </c>
      <c r="G891" s="21" t="n">
        <v>57.14</v>
      </c>
      <c r="H891" s="19" t="n">
        <v>0</v>
      </c>
      <c r="I891" s="21" t="n">
        <v>57.14</v>
      </c>
      <c r="J891" s="22" t="s">
        <v>80</v>
      </c>
      <c r="K891" s="11" t="n">
        <v>39</v>
      </c>
      <c r="L891" s="23" t="n">
        <v>1.4</v>
      </c>
      <c r="M891" s="24" t="b">
        <f aca="false">FALSE()</f>
        <v>0</v>
      </c>
      <c r="N891" s="11"/>
      <c r="O891" s="11" t="str">
        <f aca="false">IF(K891&lt;=StockP33,"Low",IF(K891&lt;=StockP67,"Moderate","High"))</f>
        <v>High</v>
      </c>
      <c r="P891" s="11" t="str">
        <f aca="false">IF(H891=0,"Low",IF(H891&lt;=MarkdownP75,"Moderate","High"))</f>
        <v>Low</v>
      </c>
      <c r="Q891" s="11" t="str">
        <f aca="false">IF(ISBLANK(L891),"Unknown",IF(L891&gt;=4,"Good",IF(L891&lt;=2,"Poor","Neutral")))</f>
        <v>Poor</v>
      </c>
      <c r="R891" s="11" t="str">
        <f aca="false">IF(AND(O891="Low",P891="Low",Q891="Good"),"BUY / PRIORITIZE",IF(AND(O891="High",P891="High",OR(Q891="Poor",M891=TRUE())),"HOLD / REVIEW","MONITOR"))</f>
        <v>MONITOR</v>
      </c>
      <c r="S891" s="11" t="n">
        <f aca="false">K891+(ROW()/10000000)</f>
        <v>39.0000891</v>
      </c>
    </row>
    <row r="892" customFormat="false" ht="15" hidden="false" customHeight="false" outlineLevel="0" collapsed="false">
      <c r="A892" s="11" t="s">
        <v>1148</v>
      </c>
      <c r="B892" s="11" t="s">
        <v>29</v>
      </c>
      <c r="C892" s="11" t="s">
        <v>107</v>
      </c>
      <c r="D892" s="11" t="s">
        <v>34</v>
      </c>
      <c r="E892" s="11" t="s">
        <v>78</v>
      </c>
      <c r="F892" s="11" t="s">
        <v>120</v>
      </c>
      <c r="G892" s="21" t="n">
        <v>93.6</v>
      </c>
      <c r="H892" s="19" t="n">
        <v>0</v>
      </c>
      <c r="I892" s="21" t="n">
        <v>93.6</v>
      </c>
      <c r="J892" s="22" t="s">
        <v>218</v>
      </c>
      <c r="K892" s="11" t="n">
        <v>49</v>
      </c>
      <c r="L892" s="23" t="n">
        <v>4.3</v>
      </c>
      <c r="M892" s="24" t="b">
        <f aca="false">FALSE()</f>
        <v>0</v>
      </c>
      <c r="N892" s="11"/>
      <c r="O892" s="11" t="str">
        <f aca="false">IF(K892&lt;=StockP33,"Low",IF(K892&lt;=StockP67,"Moderate","High"))</f>
        <v>High</v>
      </c>
      <c r="P892" s="11" t="str">
        <f aca="false">IF(H892=0,"Low",IF(H892&lt;=MarkdownP75,"Moderate","High"))</f>
        <v>Low</v>
      </c>
      <c r="Q892" s="11" t="str">
        <f aca="false">IF(ISBLANK(L892),"Unknown",IF(L892&gt;=4,"Good",IF(L892&lt;=2,"Poor","Neutral")))</f>
        <v>Good</v>
      </c>
      <c r="R892" s="11" t="str">
        <f aca="false">IF(AND(O892="Low",P892="Low",Q892="Good"),"BUY / PRIORITIZE",IF(AND(O892="High",P892="High",OR(Q892="Poor",M892=TRUE())),"HOLD / REVIEW","MONITOR"))</f>
        <v>MONITOR</v>
      </c>
      <c r="S892" s="11" t="n">
        <f aca="false">K892+(ROW()/10000000)</f>
        <v>49.0000892</v>
      </c>
    </row>
    <row r="893" customFormat="false" ht="15" hidden="false" customHeight="false" outlineLevel="0" collapsed="false">
      <c r="A893" s="11" t="s">
        <v>1149</v>
      </c>
      <c r="B893" s="11" t="s">
        <v>8</v>
      </c>
      <c r="C893" s="11" t="s">
        <v>130</v>
      </c>
      <c r="D893" s="11" t="s">
        <v>34</v>
      </c>
      <c r="E893" s="11"/>
      <c r="F893" s="11" t="s">
        <v>124</v>
      </c>
      <c r="G893" s="21" t="n">
        <v>64.56</v>
      </c>
      <c r="H893" s="19" t="n">
        <v>43</v>
      </c>
      <c r="I893" s="21" t="n">
        <v>36.8</v>
      </c>
      <c r="J893" s="22" t="s">
        <v>1150</v>
      </c>
      <c r="K893" s="11" t="n">
        <v>36</v>
      </c>
      <c r="L893" s="23" t="n">
        <v>3.9</v>
      </c>
      <c r="M893" s="24" t="b">
        <f aca="false">FALSE()</f>
        <v>0</v>
      </c>
      <c r="N893" s="11"/>
      <c r="O893" s="11" t="str">
        <f aca="false">IF(K893&lt;=StockP33,"Low",IF(K893&lt;=StockP67,"Moderate","High"))</f>
        <v>High</v>
      </c>
      <c r="P893" s="11" t="str">
        <f aca="false">IF(H893=0,"Low",IF(H893&lt;=MarkdownP75,"Moderate","High"))</f>
        <v>High</v>
      </c>
      <c r="Q893" s="11" t="str">
        <f aca="false">IF(ISBLANK(L893),"Unknown",IF(L893&gt;=4,"Good",IF(L893&lt;=2,"Poor","Neutral")))</f>
        <v>Neutral</v>
      </c>
      <c r="R893" s="11" t="str">
        <f aca="false">IF(AND(O893="Low",P893="Low",Q893="Good"),"BUY / PRIORITIZE",IF(AND(O893="High",P893="High",OR(Q893="Poor",M893=TRUE())),"HOLD / REVIEW","MONITOR"))</f>
        <v>MONITOR</v>
      </c>
      <c r="S893" s="11" t="n">
        <f aca="false">K893+(ROW()/10000000)</f>
        <v>36.0000893</v>
      </c>
    </row>
    <row r="894" customFormat="false" ht="15" hidden="false" customHeight="false" outlineLevel="0" collapsed="false">
      <c r="A894" s="11" t="s">
        <v>1151</v>
      </c>
      <c r="B894" s="11" t="s">
        <v>28</v>
      </c>
      <c r="C894" s="11" t="s">
        <v>107</v>
      </c>
      <c r="D894" s="11" t="s">
        <v>37</v>
      </c>
      <c r="E894" s="11" t="s">
        <v>91</v>
      </c>
      <c r="F894" s="11" t="s">
        <v>118</v>
      </c>
      <c r="G894" s="21" t="n">
        <v>142.34</v>
      </c>
      <c r="H894" s="19" t="n">
        <v>0</v>
      </c>
      <c r="I894" s="21" t="n">
        <v>142.34</v>
      </c>
      <c r="J894" s="22" t="s">
        <v>80</v>
      </c>
      <c r="K894" s="11" t="n">
        <v>43</v>
      </c>
      <c r="L894" s="23"/>
      <c r="M894" s="24" t="b">
        <f aca="false">FALSE()</f>
        <v>0</v>
      </c>
      <c r="N894" s="11"/>
      <c r="O894" s="11" t="str">
        <f aca="false">IF(K894&lt;=StockP33,"Low",IF(K894&lt;=StockP67,"Moderate","High"))</f>
        <v>High</v>
      </c>
      <c r="P894" s="11" t="str">
        <f aca="false">IF(H894=0,"Low",IF(H894&lt;=MarkdownP75,"Moderate","High"))</f>
        <v>Low</v>
      </c>
      <c r="Q894" s="11" t="str">
        <f aca="false">IF(ISBLANK(L894),"Unknown",IF(L894&gt;=4,"Good",IF(L894&lt;=2,"Poor","Neutral")))</f>
        <v>Unknown</v>
      </c>
      <c r="R894" s="11" t="str">
        <f aca="false">IF(AND(O894="Low",P894="Low",Q894="Good"),"BUY / PRIORITIZE",IF(AND(O894="High",P894="High",OR(Q894="Poor",M894=TRUE())),"HOLD / REVIEW","MONITOR"))</f>
        <v>MONITOR</v>
      </c>
      <c r="S894" s="11" t="n">
        <f aca="false">K894+(ROW()/10000000)</f>
        <v>43.0000894</v>
      </c>
    </row>
    <row r="895" customFormat="false" ht="15" hidden="false" customHeight="false" outlineLevel="0" collapsed="false">
      <c r="A895" s="11" t="s">
        <v>1152</v>
      </c>
      <c r="B895" s="11" t="s">
        <v>29</v>
      </c>
      <c r="C895" s="11" t="s">
        <v>116</v>
      </c>
      <c r="D895" s="11" t="s">
        <v>34</v>
      </c>
      <c r="E895" s="11" t="s">
        <v>110</v>
      </c>
      <c r="F895" s="11" t="s">
        <v>88</v>
      </c>
      <c r="G895" s="21" t="n">
        <v>111.02</v>
      </c>
      <c r="H895" s="19" t="n">
        <v>57.8</v>
      </c>
      <c r="I895" s="21" t="n">
        <v>46.85</v>
      </c>
      <c r="J895" s="22" t="s">
        <v>1153</v>
      </c>
      <c r="K895" s="11" t="n">
        <v>11</v>
      </c>
      <c r="L895" s="23" t="n">
        <v>2.2</v>
      </c>
      <c r="M895" s="24" t="b">
        <f aca="false">FALSE()</f>
        <v>0</v>
      </c>
      <c r="N895" s="11"/>
      <c r="O895" s="11" t="str">
        <f aca="false">IF(K895&lt;=StockP33,"Low",IF(K895&lt;=StockP67,"Moderate","High"))</f>
        <v>Low</v>
      </c>
      <c r="P895" s="11" t="str">
        <f aca="false">IF(H895=0,"Low",IF(H895&lt;=MarkdownP75,"Moderate","High"))</f>
        <v>High</v>
      </c>
      <c r="Q895" s="11" t="str">
        <f aca="false">IF(ISBLANK(L895),"Unknown",IF(L895&gt;=4,"Good",IF(L895&lt;=2,"Poor","Neutral")))</f>
        <v>Neutral</v>
      </c>
      <c r="R895" s="11" t="str">
        <f aca="false">IF(AND(O895="Low",P895="Low",Q895="Good"),"BUY / PRIORITIZE",IF(AND(O895="High",P895="High",OR(Q895="Poor",M895=TRUE())),"HOLD / REVIEW","MONITOR"))</f>
        <v>MONITOR</v>
      </c>
      <c r="S895" s="11" t="n">
        <f aca="false">K895+(ROW()/10000000)</f>
        <v>11.0000895</v>
      </c>
    </row>
    <row r="896" customFormat="false" ht="15" hidden="false" customHeight="false" outlineLevel="0" collapsed="false">
      <c r="A896" s="11" t="s">
        <v>1154</v>
      </c>
      <c r="B896" s="11" t="s">
        <v>30</v>
      </c>
      <c r="C896" s="11" t="s">
        <v>86</v>
      </c>
      <c r="D896" s="11" t="s">
        <v>37</v>
      </c>
      <c r="E896" s="11"/>
      <c r="F896" s="11" t="s">
        <v>82</v>
      </c>
      <c r="G896" s="21" t="n">
        <v>29.16</v>
      </c>
      <c r="H896" s="19" t="n">
        <v>49</v>
      </c>
      <c r="I896" s="21" t="n">
        <v>14.87</v>
      </c>
      <c r="J896" s="22" t="s">
        <v>80</v>
      </c>
      <c r="K896" s="11" t="n">
        <v>31</v>
      </c>
      <c r="L896" s="23"/>
      <c r="M896" s="24" t="b">
        <f aca="false">FALSE()</f>
        <v>0</v>
      </c>
      <c r="N896" s="11"/>
      <c r="O896" s="11" t="str">
        <f aca="false">IF(K896&lt;=StockP33,"Low",IF(K896&lt;=StockP67,"Moderate","High"))</f>
        <v>Moderate</v>
      </c>
      <c r="P896" s="11" t="str">
        <f aca="false">IF(H896=0,"Low",IF(H896&lt;=MarkdownP75,"Moderate","High"))</f>
        <v>High</v>
      </c>
      <c r="Q896" s="11" t="str">
        <f aca="false">IF(ISBLANK(L896),"Unknown",IF(L896&gt;=4,"Good",IF(L896&lt;=2,"Poor","Neutral")))</f>
        <v>Unknown</v>
      </c>
      <c r="R896" s="11" t="str">
        <f aca="false">IF(AND(O896="Low",P896="Low",Q896="Good"),"BUY / PRIORITIZE",IF(AND(O896="High",P896="High",OR(Q896="Poor",M896=TRUE())),"HOLD / REVIEW","MONITOR"))</f>
        <v>MONITOR</v>
      </c>
      <c r="S896" s="11" t="n">
        <f aca="false">K896+(ROW()/10000000)</f>
        <v>31.0000896</v>
      </c>
    </row>
    <row r="897" customFormat="false" ht="15" hidden="false" customHeight="false" outlineLevel="0" collapsed="false">
      <c r="A897" s="11" t="s">
        <v>1155</v>
      </c>
      <c r="B897" s="11" t="s">
        <v>30</v>
      </c>
      <c r="C897" s="11" t="s">
        <v>107</v>
      </c>
      <c r="D897" s="11" t="s">
        <v>35</v>
      </c>
      <c r="E897" s="11" t="s">
        <v>110</v>
      </c>
      <c r="F897" s="11" t="s">
        <v>82</v>
      </c>
      <c r="G897" s="21" t="n">
        <v>30.46</v>
      </c>
      <c r="H897" s="19" t="n">
        <v>0</v>
      </c>
      <c r="I897" s="21" t="n">
        <v>30.46</v>
      </c>
      <c r="J897" s="22" t="s">
        <v>80</v>
      </c>
      <c r="K897" s="11" t="n">
        <v>19</v>
      </c>
      <c r="L897" s="23" t="n">
        <v>1.2</v>
      </c>
      <c r="M897" s="24" t="b">
        <f aca="false">FALSE()</f>
        <v>0</v>
      </c>
      <c r="N897" s="11"/>
      <c r="O897" s="11" t="str">
        <f aca="false">IF(K897&lt;=StockP33,"Low",IF(K897&lt;=StockP67,"Moderate","High"))</f>
        <v>Moderate</v>
      </c>
      <c r="P897" s="11" t="str">
        <f aca="false">IF(H897=0,"Low",IF(H897&lt;=MarkdownP75,"Moderate","High"))</f>
        <v>Low</v>
      </c>
      <c r="Q897" s="11" t="str">
        <f aca="false">IF(ISBLANK(L897),"Unknown",IF(L897&gt;=4,"Good",IF(L897&lt;=2,"Poor","Neutral")))</f>
        <v>Poor</v>
      </c>
      <c r="R897" s="11" t="str">
        <f aca="false">IF(AND(O897="Low",P897="Low",Q897="Good"),"BUY / PRIORITIZE",IF(AND(O897="High",P897="High",OR(Q897="Poor",M897=TRUE())),"HOLD / REVIEW","MONITOR"))</f>
        <v>MONITOR</v>
      </c>
      <c r="S897" s="11" t="n">
        <f aca="false">K897+(ROW()/10000000)</f>
        <v>19.0000897</v>
      </c>
    </row>
    <row r="898" customFormat="false" ht="15" hidden="false" customHeight="false" outlineLevel="0" collapsed="false">
      <c r="A898" s="11" t="s">
        <v>1156</v>
      </c>
      <c r="B898" s="11" t="s">
        <v>8</v>
      </c>
      <c r="C898" s="11" t="s">
        <v>130</v>
      </c>
      <c r="D898" s="11" t="s">
        <v>37</v>
      </c>
      <c r="E898" s="11"/>
      <c r="F898" s="11" t="s">
        <v>96</v>
      </c>
      <c r="G898" s="21" t="n">
        <v>31.32</v>
      </c>
      <c r="H898" s="19" t="n">
        <v>0</v>
      </c>
      <c r="I898" s="21" t="n">
        <v>31.32</v>
      </c>
      <c r="J898" s="22" t="s">
        <v>80</v>
      </c>
      <c r="K898" s="11" t="n">
        <v>28</v>
      </c>
      <c r="L898" s="23" t="n">
        <v>2.7</v>
      </c>
      <c r="M898" s="24" t="b">
        <f aca="false">FALSE()</f>
        <v>0</v>
      </c>
      <c r="N898" s="11"/>
      <c r="O898" s="11" t="str">
        <f aca="false">IF(K898&lt;=StockP33,"Low",IF(K898&lt;=StockP67,"Moderate","High"))</f>
        <v>Moderate</v>
      </c>
      <c r="P898" s="11" t="str">
        <f aca="false">IF(H898=0,"Low",IF(H898&lt;=MarkdownP75,"Moderate","High"))</f>
        <v>Low</v>
      </c>
      <c r="Q898" s="11" t="str">
        <f aca="false">IF(ISBLANK(L898),"Unknown",IF(L898&gt;=4,"Good",IF(L898&lt;=2,"Poor","Neutral")))</f>
        <v>Neutral</v>
      </c>
      <c r="R898" s="11" t="str">
        <f aca="false">IF(AND(O898="Low",P898="Low",Q898="Good"),"BUY / PRIORITIZE",IF(AND(O898="High",P898="High",OR(Q898="Poor",M898=TRUE())),"HOLD / REVIEW","MONITOR"))</f>
        <v>MONITOR</v>
      </c>
      <c r="S898" s="11" t="n">
        <f aca="false">K898+(ROW()/10000000)</f>
        <v>28.0000898</v>
      </c>
    </row>
    <row r="899" customFormat="false" ht="15" hidden="false" customHeight="false" outlineLevel="0" collapsed="false">
      <c r="A899" s="11" t="s">
        <v>1157</v>
      </c>
      <c r="B899" s="11" t="s">
        <v>26</v>
      </c>
      <c r="C899" s="11" t="s">
        <v>77</v>
      </c>
      <c r="D899" s="11" t="s">
        <v>34</v>
      </c>
      <c r="E899" s="11" t="s">
        <v>113</v>
      </c>
      <c r="F899" s="11" t="s">
        <v>79</v>
      </c>
      <c r="G899" s="21" t="n">
        <v>61.78</v>
      </c>
      <c r="H899" s="19" t="n">
        <v>0</v>
      </c>
      <c r="I899" s="21" t="n">
        <v>61.78</v>
      </c>
      <c r="J899" s="22" t="s">
        <v>1158</v>
      </c>
      <c r="K899" s="11" t="n">
        <v>24</v>
      </c>
      <c r="L899" s="23" t="n">
        <v>3.5</v>
      </c>
      <c r="M899" s="24" t="b">
        <f aca="false">FALSE()</f>
        <v>0</v>
      </c>
      <c r="N899" s="11"/>
      <c r="O899" s="11" t="str">
        <f aca="false">IF(K899&lt;=StockP33,"Low",IF(K899&lt;=StockP67,"Moderate","High"))</f>
        <v>Moderate</v>
      </c>
      <c r="P899" s="11" t="str">
        <f aca="false">IF(H899=0,"Low",IF(H899&lt;=MarkdownP75,"Moderate","High"))</f>
        <v>Low</v>
      </c>
      <c r="Q899" s="11" t="str">
        <f aca="false">IF(ISBLANK(L899),"Unknown",IF(L899&gt;=4,"Good",IF(L899&lt;=2,"Poor","Neutral")))</f>
        <v>Neutral</v>
      </c>
      <c r="R899" s="11" t="str">
        <f aca="false">IF(AND(O899="Low",P899="Low",Q899="Good"),"BUY / PRIORITIZE",IF(AND(O899="High",P899="High",OR(Q899="Poor",M899=TRUE())),"HOLD / REVIEW","MONITOR"))</f>
        <v>MONITOR</v>
      </c>
      <c r="S899" s="11" t="n">
        <f aca="false">K899+(ROW()/10000000)</f>
        <v>24.0000899</v>
      </c>
    </row>
    <row r="900" customFormat="false" ht="15" hidden="false" customHeight="false" outlineLevel="0" collapsed="false">
      <c r="A900" s="11" t="s">
        <v>1159</v>
      </c>
      <c r="B900" s="11" t="s">
        <v>28</v>
      </c>
      <c r="C900" s="11" t="s">
        <v>72</v>
      </c>
      <c r="D900" s="11" t="s">
        <v>35</v>
      </c>
      <c r="E900" s="11" t="s">
        <v>113</v>
      </c>
      <c r="F900" s="11" t="s">
        <v>98</v>
      </c>
      <c r="G900" s="21" t="n">
        <v>126.27</v>
      </c>
      <c r="H900" s="19" t="n">
        <v>0</v>
      </c>
      <c r="I900" s="21" t="n">
        <v>126.27</v>
      </c>
      <c r="J900" s="22" t="s">
        <v>80</v>
      </c>
      <c r="K900" s="11" t="n">
        <v>1</v>
      </c>
      <c r="L900" s="23" t="n">
        <v>4.7</v>
      </c>
      <c r="M900" s="24" t="b">
        <f aca="false">FALSE()</f>
        <v>0</v>
      </c>
      <c r="N900" s="11"/>
      <c r="O900" s="11" t="str">
        <f aca="false">IF(K900&lt;=StockP33,"Low",IF(K900&lt;=StockP67,"Moderate","High"))</f>
        <v>Low</v>
      </c>
      <c r="P900" s="11" t="str">
        <f aca="false">IF(H900=0,"Low",IF(H900&lt;=MarkdownP75,"Moderate","High"))</f>
        <v>Low</v>
      </c>
      <c r="Q900" s="11" t="str">
        <f aca="false">IF(ISBLANK(L900),"Unknown",IF(L900&gt;=4,"Good",IF(L900&lt;=2,"Poor","Neutral")))</f>
        <v>Good</v>
      </c>
      <c r="R900" s="11" t="str">
        <f aca="false">IF(AND(O900="Low",P900="Low",Q900="Good"),"BUY / PRIORITIZE",IF(AND(O900="High",P900="High",OR(Q900="Poor",M900=TRUE())),"HOLD / REVIEW","MONITOR"))</f>
        <v>BUY / PRIORITIZE</v>
      </c>
      <c r="S900" s="11" t="n">
        <f aca="false">K900+(ROW()/10000000)</f>
        <v>1.00009</v>
      </c>
    </row>
    <row r="901" customFormat="false" ht="15" hidden="false" customHeight="false" outlineLevel="0" collapsed="false">
      <c r="A901" s="11" t="s">
        <v>1160</v>
      </c>
      <c r="B901" s="11" t="s">
        <v>28</v>
      </c>
      <c r="C901" s="11" t="s">
        <v>77</v>
      </c>
      <c r="D901" s="11" t="s">
        <v>37</v>
      </c>
      <c r="E901" s="11" t="s">
        <v>78</v>
      </c>
      <c r="F901" s="11" t="s">
        <v>88</v>
      </c>
      <c r="G901" s="21" t="n">
        <v>147.53</v>
      </c>
      <c r="H901" s="19" t="n">
        <v>0</v>
      </c>
      <c r="I901" s="21" t="n">
        <v>147.53</v>
      </c>
      <c r="J901" s="22" t="s">
        <v>80</v>
      </c>
      <c r="K901" s="11" t="n">
        <v>33</v>
      </c>
      <c r="L901" s="23" t="n">
        <v>4.7</v>
      </c>
      <c r="M901" s="24" t="b">
        <f aca="false">TRUE()</f>
        <v>1</v>
      </c>
      <c r="N901" s="11" t="s">
        <v>140</v>
      </c>
      <c r="O901" s="11" t="str">
        <f aca="false">IF(K901&lt;=StockP33,"Low",IF(K901&lt;=StockP67,"Moderate","High"))</f>
        <v>Moderate</v>
      </c>
      <c r="P901" s="11" t="str">
        <f aca="false">IF(H901=0,"Low",IF(H901&lt;=MarkdownP75,"Moderate","High"))</f>
        <v>Low</v>
      </c>
      <c r="Q901" s="11" t="str">
        <f aca="false">IF(ISBLANK(L901),"Unknown",IF(L901&gt;=4,"Good",IF(L901&lt;=2,"Poor","Neutral")))</f>
        <v>Good</v>
      </c>
      <c r="R901" s="11" t="str">
        <f aca="false">IF(AND(O901="Low",P901="Low",Q901="Good"),"BUY / PRIORITIZE",IF(AND(O901="High",P901="High",OR(Q901="Poor",M901=TRUE())),"HOLD / REVIEW","MONITOR"))</f>
        <v>MONITOR</v>
      </c>
      <c r="S901" s="11" t="n">
        <f aca="false">K901+(ROW()/10000000)</f>
        <v>33.0000901</v>
      </c>
    </row>
    <row r="902" customFormat="false" ht="15" hidden="false" customHeight="false" outlineLevel="0" collapsed="false">
      <c r="A902" s="11" t="s">
        <v>1161</v>
      </c>
      <c r="B902" s="11" t="s">
        <v>8</v>
      </c>
      <c r="C902" s="11" t="s">
        <v>86</v>
      </c>
      <c r="D902" s="11" t="s">
        <v>35</v>
      </c>
      <c r="E902" s="11"/>
      <c r="F902" s="11" t="s">
        <v>74</v>
      </c>
      <c r="G902" s="21" t="n">
        <v>36.98</v>
      </c>
      <c r="H902" s="19" t="n">
        <v>12.2</v>
      </c>
      <c r="I902" s="21" t="n">
        <v>32.47</v>
      </c>
      <c r="J902" s="22" t="s">
        <v>80</v>
      </c>
      <c r="K902" s="11" t="n">
        <v>14</v>
      </c>
      <c r="L902" s="23" t="n">
        <v>4.8</v>
      </c>
      <c r="M902" s="24" t="b">
        <f aca="false">FALSE()</f>
        <v>0</v>
      </c>
      <c r="N902" s="11"/>
      <c r="O902" s="11" t="str">
        <f aca="false">IF(K902&lt;=StockP33,"Low",IF(K902&lt;=StockP67,"Moderate","High"))</f>
        <v>Low</v>
      </c>
      <c r="P902" s="11" t="str">
        <f aca="false">IF(H902=0,"Low",IF(H902&lt;=MarkdownP75,"Moderate","High"))</f>
        <v>Moderate</v>
      </c>
      <c r="Q902" s="11" t="str">
        <f aca="false">IF(ISBLANK(L902),"Unknown",IF(L902&gt;=4,"Good",IF(L902&lt;=2,"Poor","Neutral")))</f>
        <v>Good</v>
      </c>
      <c r="R902" s="11" t="str">
        <f aca="false">IF(AND(O902="Low",P902="Low",Q902="Good"),"BUY / PRIORITIZE",IF(AND(O902="High",P902="High",OR(Q902="Poor",M902=TRUE())),"HOLD / REVIEW","MONITOR"))</f>
        <v>MONITOR</v>
      </c>
      <c r="S902" s="11" t="n">
        <f aca="false">K902+(ROW()/10000000)</f>
        <v>14.0000902</v>
      </c>
    </row>
    <row r="903" customFormat="false" ht="15" hidden="false" customHeight="false" outlineLevel="0" collapsed="false">
      <c r="A903" s="11" t="s">
        <v>1162</v>
      </c>
      <c r="B903" s="11" t="s">
        <v>29</v>
      </c>
      <c r="C903" s="11" t="s">
        <v>101</v>
      </c>
      <c r="D903" s="11" t="s">
        <v>36</v>
      </c>
      <c r="E903" s="11" t="s">
        <v>113</v>
      </c>
      <c r="F903" s="11" t="s">
        <v>79</v>
      </c>
      <c r="G903" s="21" t="n">
        <v>172.41</v>
      </c>
      <c r="H903" s="19" t="n">
        <v>0</v>
      </c>
      <c r="I903" s="21" t="n">
        <v>172.41</v>
      </c>
      <c r="J903" s="22" t="s">
        <v>80</v>
      </c>
      <c r="K903" s="11" t="n">
        <v>33</v>
      </c>
      <c r="L903" s="23" t="n">
        <v>2.3</v>
      </c>
      <c r="M903" s="24" t="b">
        <f aca="false">FALSE()</f>
        <v>0</v>
      </c>
      <c r="N903" s="11"/>
      <c r="O903" s="11" t="str">
        <f aca="false">IF(K903&lt;=StockP33,"Low",IF(K903&lt;=StockP67,"Moderate","High"))</f>
        <v>Moderate</v>
      </c>
      <c r="P903" s="11" t="str">
        <f aca="false">IF(H903=0,"Low",IF(H903&lt;=MarkdownP75,"Moderate","High"))</f>
        <v>Low</v>
      </c>
      <c r="Q903" s="11" t="str">
        <f aca="false">IF(ISBLANK(L903),"Unknown",IF(L903&gt;=4,"Good",IF(L903&lt;=2,"Poor","Neutral")))</f>
        <v>Neutral</v>
      </c>
      <c r="R903" s="11" t="str">
        <f aca="false">IF(AND(O903="Low",P903="Low",Q903="Good"),"BUY / PRIORITIZE",IF(AND(O903="High",P903="High",OR(Q903="Poor",M903=TRUE())),"HOLD / REVIEW","MONITOR"))</f>
        <v>MONITOR</v>
      </c>
      <c r="S903" s="11" t="n">
        <f aca="false">K903+(ROW()/10000000)</f>
        <v>33.0000903</v>
      </c>
    </row>
    <row r="904" customFormat="false" ht="15" hidden="false" customHeight="false" outlineLevel="0" collapsed="false">
      <c r="A904" s="11" t="s">
        <v>1163</v>
      </c>
      <c r="B904" s="11" t="s">
        <v>8</v>
      </c>
      <c r="C904" s="11" t="s">
        <v>101</v>
      </c>
      <c r="D904" s="11" t="s">
        <v>34</v>
      </c>
      <c r="E904" s="11"/>
      <c r="F904" s="11" t="s">
        <v>79</v>
      </c>
      <c r="G904" s="21" t="n">
        <v>53.79</v>
      </c>
      <c r="H904" s="19" t="n">
        <v>16</v>
      </c>
      <c r="I904" s="21" t="n">
        <v>45.18</v>
      </c>
      <c r="J904" s="22" t="s">
        <v>281</v>
      </c>
      <c r="K904" s="11" t="n">
        <v>32</v>
      </c>
      <c r="L904" s="23"/>
      <c r="M904" s="24" t="b">
        <f aca="false">FALSE()</f>
        <v>0</v>
      </c>
      <c r="N904" s="11"/>
      <c r="O904" s="11" t="str">
        <f aca="false">IF(K904&lt;=StockP33,"Low",IF(K904&lt;=StockP67,"Moderate","High"))</f>
        <v>Moderate</v>
      </c>
      <c r="P904" s="11" t="str">
        <f aca="false">IF(H904=0,"Low",IF(H904&lt;=MarkdownP75,"Moderate","High"))</f>
        <v>Moderate</v>
      </c>
      <c r="Q904" s="11" t="str">
        <f aca="false">IF(ISBLANK(L904),"Unknown",IF(L904&gt;=4,"Good",IF(L904&lt;=2,"Poor","Neutral")))</f>
        <v>Unknown</v>
      </c>
      <c r="R904" s="11" t="str">
        <f aca="false">IF(AND(O904="Low",P904="Low",Q904="Good"),"BUY / PRIORITIZE",IF(AND(O904="High",P904="High",OR(Q904="Poor",M904=TRUE())),"HOLD / REVIEW","MONITOR"))</f>
        <v>MONITOR</v>
      </c>
      <c r="S904" s="11" t="n">
        <f aca="false">K904+(ROW()/10000000)</f>
        <v>32.0000904</v>
      </c>
    </row>
    <row r="905" customFormat="false" ht="15" hidden="false" customHeight="false" outlineLevel="0" collapsed="false">
      <c r="A905" s="11" t="s">
        <v>1164</v>
      </c>
      <c r="B905" s="11" t="s">
        <v>29</v>
      </c>
      <c r="C905" s="11" t="s">
        <v>95</v>
      </c>
      <c r="D905" s="11" t="s">
        <v>35</v>
      </c>
      <c r="E905" s="11" t="s">
        <v>110</v>
      </c>
      <c r="F905" s="11" t="s">
        <v>111</v>
      </c>
      <c r="G905" s="21" t="n">
        <v>80.56</v>
      </c>
      <c r="H905" s="19" t="n">
        <v>0</v>
      </c>
      <c r="I905" s="21" t="n">
        <v>80.56</v>
      </c>
      <c r="J905" s="22" t="s">
        <v>80</v>
      </c>
      <c r="K905" s="11" t="n">
        <v>7</v>
      </c>
      <c r="L905" s="23" t="n">
        <v>1.9</v>
      </c>
      <c r="M905" s="24" t="b">
        <f aca="false">FALSE()</f>
        <v>0</v>
      </c>
      <c r="N905" s="11"/>
      <c r="O905" s="11" t="str">
        <f aca="false">IF(K905&lt;=StockP33,"Low",IF(K905&lt;=StockP67,"Moderate","High"))</f>
        <v>Low</v>
      </c>
      <c r="P905" s="11" t="str">
        <f aca="false">IF(H905=0,"Low",IF(H905&lt;=MarkdownP75,"Moderate","High"))</f>
        <v>Low</v>
      </c>
      <c r="Q905" s="11" t="str">
        <f aca="false">IF(ISBLANK(L905),"Unknown",IF(L905&gt;=4,"Good",IF(L905&lt;=2,"Poor","Neutral")))</f>
        <v>Poor</v>
      </c>
      <c r="R905" s="11" t="str">
        <f aca="false">IF(AND(O905="Low",P905="Low",Q905="Good"),"BUY / PRIORITIZE",IF(AND(O905="High",P905="High",OR(Q905="Poor",M905=TRUE())),"HOLD / REVIEW","MONITOR"))</f>
        <v>MONITOR</v>
      </c>
      <c r="S905" s="11" t="n">
        <f aca="false">K905+(ROW()/10000000)</f>
        <v>7.0000905</v>
      </c>
    </row>
    <row r="906" customFormat="false" ht="15" hidden="false" customHeight="false" outlineLevel="0" collapsed="false">
      <c r="A906" s="11" t="s">
        <v>1165</v>
      </c>
      <c r="B906" s="11" t="s">
        <v>8</v>
      </c>
      <c r="C906" s="11" t="s">
        <v>95</v>
      </c>
      <c r="D906" s="11" t="s">
        <v>36</v>
      </c>
      <c r="E906" s="11"/>
      <c r="F906" s="11" t="s">
        <v>79</v>
      </c>
      <c r="G906" s="21" t="n">
        <v>51.72</v>
      </c>
      <c r="H906" s="19" t="n">
        <v>0</v>
      </c>
      <c r="I906" s="21" t="n">
        <v>51.72</v>
      </c>
      <c r="J906" s="22" t="s">
        <v>80</v>
      </c>
      <c r="K906" s="11" t="n">
        <v>35</v>
      </c>
      <c r="L906" s="23" t="n">
        <v>3.7</v>
      </c>
      <c r="M906" s="24" t="b">
        <f aca="false">TRUE()</f>
        <v>1</v>
      </c>
      <c r="N906" s="11" t="s">
        <v>134</v>
      </c>
      <c r="O906" s="11" t="str">
        <f aca="false">IF(K906&lt;=StockP33,"Low",IF(K906&lt;=StockP67,"Moderate","High"))</f>
        <v>High</v>
      </c>
      <c r="P906" s="11" t="str">
        <f aca="false">IF(H906=0,"Low",IF(H906&lt;=MarkdownP75,"Moderate","High"))</f>
        <v>Low</v>
      </c>
      <c r="Q906" s="11" t="str">
        <f aca="false">IF(ISBLANK(L906),"Unknown",IF(L906&gt;=4,"Good",IF(L906&lt;=2,"Poor","Neutral")))</f>
        <v>Neutral</v>
      </c>
      <c r="R906" s="11" t="str">
        <f aca="false">IF(AND(O906="Low",P906="Low",Q906="Good"),"BUY / PRIORITIZE",IF(AND(O906="High",P906="High",OR(Q906="Poor",M906=TRUE())),"HOLD / REVIEW","MONITOR"))</f>
        <v>MONITOR</v>
      </c>
      <c r="S906" s="11" t="n">
        <f aca="false">K906+(ROW()/10000000)</f>
        <v>35.0000906</v>
      </c>
    </row>
    <row r="907" customFormat="false" ht="15" hidden="false" customHeight="false" outlineLevel="0" collapsed="false">
      <c r="A907" s="11" t="s">
        <v>1166</v>
      </c>
      <c r="B907" s="11" t="s">
        <v>26</v>
      </c>
      <c r="C907" s="11" t="s">
        <v>95</v>
      </c>
      <c r="D907" s="11" t="s">
        <v>34</v>
      </c>
      <c r="E907" s="11" t="s">
        <v>73</v>
      </c>
      <c r="F907" s="11" t="s">
        <v>79</v>
      </c>
      <c r="G907" s="21" t="n">
        <v>107.22</v>
      </c>
      <c r="H907" s="19" t="n">
        <v>37.8</v>
      </c>
      <c r="I907" s="21" t="n">
        <v>66.69</v>
      </c>
      <c r="J907" s="22" t="s">
        <v>1026</v>
      </c>
      <c r="K907" s="11" t="n">
        <v>21</v>
      </c>
      <c r="L907" s="23" t="n">
        <v>2.9</v>
      </c>
      <c r="M907" s="24" t="b">
        <f aca="false">FALSE()</f>
        <v>0</v>
      </c>
      <c r="N907" s="11"/>
      <c r="O907" s="11" t="str">
        <f aca="false">IF(K907&lt;=StockP33,"Low",IF(K907&lt;=StockP67,"Moderate","High"))</f>
        <v>Moderate</v>
      </c>
      <c r="P907" s="11" t="str">
        <f aca="false">IF(H907=0,"Low",IF(H907&lt;=MarkdownP75,"Moderate","High"))</f>
        <v>High</v>
      </c>
      <c r="Q907" s="11" t="str">
        <f aca="false">IF(ISBLANK(L907),"Unknown",IF(L907&gt;=4,"Good",IF(L907&lt;=2,"Poor","Neutral")))</f>
        <v>Neutral</v>
      </c>
      <c r="R907" s="11" t="str">
        <f aca="false">IF(AND(O907="Low",P907="Low",Q907="Good"),"BUY / PRIORITIZE",IF(AND(O907="High",P907="High",OR(Q907="Poor",M907=TRUE())),"HOLD / REVIEW","MONITOR"))</f>
        <v>MONITOR</v>
      </c>
      <c r="S907" s="11" t="n">
        <f aca="false">K907+(ROW()/10000000)</f>
        <v>21.0000907</v>
      </c>
    </row>
    <row r="908" customFormat="false" ht="15" hidden="false" customHeight="false" outlineLevel="0" collapsed="false">
      <c r="A908" s="11" t="s">
        <v>1167</v>
      </c>
      <c r="B908" s="11" t="s">
        <v>29</v>
      </c>
      <c r="C908" s="11" t="s">
        <v>101</v>
      </c>
      <c r="D908" s="11" t="s">
        <v>36</v>
      </c>
      <c r="E908" s="11" t="s">
        <v>102</v>
      </c>
      <c r="F908" s="11" t="s">
        <v>98</v>
      </c>
      <c r="G908" s="21" t="n">
        <v>174.99</v>
      </c>
      <c r="H908" s="19" t="n">
        <v>50.1</v>
      </c>
      <c r="I908" s="21" t="n">
        <v>87.32</v>
      </c>
      <c r="J908" s="22" t="s">
        <v>80</v>
      </c>
      <c r="K908" s="11" t="n">
        <v>7</v>
      </c>
      <c r="L908" s="23" t="n">
        <v>4.9</v>
      </c>
      <c r="M908" s="24" t="b">
        <f aca="false">FALSE()</f>
        <v>0</v>
      </c>
      <c r="N908" s="11"/>
      <c r="O908" s="11" t="str">
        <f aca="false">IF(K908&lt;=StockP33,"Low",IF(K908&lt;=StockP67,"Moderate","High"))</f>
        <v>Low</v>
      </c>
      <c r="P908" s="11" t="str">
        <f aca="false">IF(H908=0,"Low",IF(H908&lt;=MarkdownP75,"Moderate","High"))</f>
        <v>High</v>
      </c>
      <c r="Q908" s="11" t="str">
        <f aca="false">IF(ISBLANK(L908),"Unknown",IF(L908&gt;=4,"Good",IF(L908&lt;=2,"Poor","Neutral")))</f>
        <v>Good</v>
      </c>
      <c r="R908" s="11" t="str">
        <f aca="false">IF(AND(O908="Low",P908="Low",Q908="Good"),"BUY / PRIORITIZE",IF(AND(O908="High",P908="High",OR(Q908="Poor",M908=TRUE())),"HOLD / REVIEW","MONITOR"))</f>
        <v>MONITOR</v>
      </c>
      <c r="S908" s="11" t="n">
        <f aca="false">K908+(ROW()/10000000)</f>
        <v>7.0000908</v>
      </c>
    </row>
    <row r="909" customFormat="false" ht="15" hidden="false" customHeight="false" outlineLevel="0" collapsed="false">
      <c r="A909" s="11" t="s">
        <v>1168</v>
      </c>
      <c r="B909" s="11" t="s">
        <v>27</v>
      </c>
      <c r="C909" s="11" t="s">
        <v>130</v>
      </c>
      <c r="D909" s="11" t="s">
        <v>34</v>
      </c>
      <c r="E909" s="11" t="s">
        <v>91</v>
      </c>
      <c r="F909" s="11" t="s">
        <v>96</v>
      </c>
      <c r="G909" s="21" t="n">
        <v>90.52</v>
      </c>
      <c r="H909" s="19" t="n">
        <v>53.2</v>
      </c>
      <c r="I909" s="21" t="n">
        <v>42.36</v>
      </c>
      <c r="J909" s="22" t="s">
        <v>1169</v>
      </c>
      <c r="K909" s="11" t="n">
        <v>37</v>
      </c>
      <c r="L909" s="23" t="n">
        <v>2.2</v>
      </c>
      <c r="M909" s="24" t="b">
        <f aca="false">FALSE()</f>
        <v>0</v>
      </c>
      <c r="N909" s="11"/>
      <c r="O909" s="11" t="str">
        <f aca="false">IF(K909&lt;=StockP33,"Low",IF(K909&lt;=StockP67,"Moderate","High"))</f>
        <v>High</v>
      </c>
      <c r="P909" s="11" t="str">
        <f aca="false">IF(H909=0,"Low",IF(H909&lt;=MarkdownP75,"Moderate","High"))</f>
        <v>High</v>
      </c>
      <c r="Q909" s="11" t="str">
        <f aca="false">IF(ISBLANK(L909),"Unknown",IF(L909&gt;=4,"Good",IF(L909&lt;=2,"Poor","Neutral")))</f>
        <v>Neutral</v>
      </c>
      <c r="R909" s="11" t="str">
        <f aca="false">IF(AND(O909="Low",P909="Low",Q909="Good"),"BUY / PRIORITIZE",IF(AND(O909="High",P909="High",OR(Q909="Poor",M909=TRUE())),"HOLD / REVIEW","MONITOR"))</f>
        <v>MONITOR</v>
      </c>
      <c r="S909" s="11" t="n">
        <f aca="false">K909+(ROW()/10000000)</f>
        <v>37.0000909</v>
      </c>
    </row>
    <row r="910" customFormat="false" ht="15" hidden="false" customHeight="false" outlineLevel="0" collapsed="false">
      <c r="A910" s="11" t="s">
        <v>1170</v>
      </c>
      <c r="B910" s="11" t="s">
        <v>29</v>
      </c>
      <c r="C910" s="11" t="s">
        <v>130</v>
      </c>
      <c r="D910" s="11" t="s">
        <v>35</v>
      </c>
      <c r="E910" s="11" t="s">
        <v>102</v>
      </c>
      <c r="F910" s="11" t="s">
        <v>98</v>
      </c>
      <c r="G910" s="21" t="n">
        <v>94.93</v>
      </c>
      <c r="H910" s="19" t="n">
        <v>16.6</v>
      </c>
      <c r="I910" s="21" t="n">
        <v>79.17</v>
      </c>
      <c r="J910" s="22" t="s">
        <v>80</v>
      </c>
      <c r="K910" s="11" t="n">
        <v>39</v>
      </c>
      <c r="L910" s="23" t="n">
        <v>4.8</v>
      </c>
      <c r="M910" s="24" t="b">
        <f aca="false">FALSE()</f>
        <v>0</v>
      </c>
      <c r="N910" s="11"/>
      <c r="O910" s="11" t="str">
        <f aca="false">IF(K910&lt;=StockP33,"Low",IF(K910&lt;=StockP67,"Moderate","High"))</f>
        <v>High</v>
      </c>
      <c r="P910" s="11" t="str">
        <f aca="false">IF(H910=0,"Low",IF(H910&lt;=MarkdownP75,"Moderate","High"))</f>
        <v>Moderate</v>
      </c>
      <c r="Q910" s="11" t="str">
        <f aca="false">IF(ISBLANK(L910),"Unknown",IF(L910&gt;=4,"Good",IF(L910&lt;=2,"Poor","Neutral")))</f>
        <v>Good</v>
      </c>
      <c r="R910" s="11" t="str">
        <f aca="false">IF(AND(O910="Low",P910="Low",Q910="Good"),"BUY / PRIORITIZE",IF(AND(O910="High",P910="High",OR(Q910="Poor",M910=TRUE())),"HOLD / REVIEW","MONITOR"))</f>
        <v>MONITOR</v>
      </c>
      <c r="S910" s="11" t="n">
        <f aca="false">K910+(ROW()/10000000)</f>
        <v>39.000091</v>
      </c>
    </row>
    <row r="911" customFormat="false" ht="15" hidden="false" customHeight="false" outlineLevel="0" collapsed="false">
      <c r="A911" s="11" t="s">
        <v>1171</v>
      </c>
      <c r="B911" s="11" t="s">
        <v>29</v>
      </c>
      <c r="C911" s="11" t="s">
        <v>86</v>
      </c>
      <c r="D911" s="11" t="s">
        <v>37</v>
      </c>
      <c r="E911" s="11" t="s">
        <v>110</v>
      </c>
      <c r="F911" s="11" t="s">
        <v>92</v>
      </c>
      <c r="G911" s="21" t="n">
        <v>179.82</v>
      </c>
      <c r="H911" s="19" t="n">
        <v>0</v>
      </c>
      <c r="I911" s="21" t="n">
        <v>179.82</v>
      </c>
      <c r="J911" s="22" t="s">
        <v>80</v>
      </c>
      <c r="K911" s="11" t="n">
        <v>28</v>
      </c>
      <c r="L911" s="23" t="n">
        <v>2.4</v>
      </c>
      <c r="M911" s="24" t="b">
        <f aca="false">TRUE()</f>
        <v>1</v>
      </c>
      <c r="N911" s="11" t="s">
        <v>134</v>
      </c>
      <c r="O911" s="11" t="str">
        <f aca="false">IF(K911&lt;=StockP33,"Low",IF(K911&lt;=StockP67,"Moderate","High"))</f>
        <v>Moderate</v>
      </c>
      <c r="P911" s="11" t="str">
        <f aca="false">IF(H911=0,"Low",IF(H911&lt;=MarkdownP75,"Moderate","High"))</f>
        <v>Low</v>
      </c>
      <c r="Q911" s="11" t="str">
        <f aca="false">IF(ISBLANK(L911),"Unknown",IF(L911&gt;=4,"Good",IF(L911&lt;=2,"Poor","Neutral")))</f>
        <v>Neutral</v>
      </c>
      <c r="R911" s="11" t="str">
        <f aca="false">IF(AND(O911="Low",P911="Low",Q911="Good"),"BUY / PRIORITIZE",IF(AND(O911="High",P911="High",OR(Q911="Poor",M911=TRUE())),"HOLD / REVIEW","MONITOR"))</f>
        <v>MONITOR</v>
      </c>
      <c r="S911" s="11" t="n">
        <f aca="false">K911+(ROW()/10000000)</f>
        <v>28.0000911</v>
      </c>
    </row>
    <row r="912" customFormat="false" ht="15" hidden="false" customHeight="false" outlineLevel="0" collapsed="false">
      <c r="A912" s="11" t="s">
        <v>1172</v>
      </c>
      <c r="B912" s="11" t="s">
        <v>30</v>
      </c>
      <c r="C912" s="11" t="s">
        <v>77</v>
      </c>
      <c r="D912" s="11" t="s">
        <v>34</v>
      </c>
      <c r="E912" s="11"/>
      <c r="F912" s="11" t="s">
        <v>124</v>
      </c>
      <c r="G912" s="21" t="n">
        <v>101.96</v>
      </c>
      <c r="H912" s="19" t="n">
        <v>23.7</v>
      </c>
      <c r="I912" s="21" t="n">
        <v>77.8</v>
      </c>
      <c r="J912" s="22" t="s">
        <v>1173</v>
      </c>
      <c r="K912" s="11" t="n">
        <v>29</v>
      </c>
      <c r="L912" s="23" t="n">
        <v>3.6</v>
      </c>
      <c r="M912" s="24" t="b">
        <f aca="false">FALSE()</f>
        <v>0</v>
      </c>
      <c r="N912" s="11"/>
      <c r="O912" s="11" t="str">
        <f aca="false">IF(K912&lt;=StockP33,"Low",IF(K912&lt;=StockP67,"Moderate","High"))</f>
        <v>Moderate</v>
      </c>
      <c r="P912" s="11" t="str">
        <f aca="false">IF(H912=0,"Low",IF(H912&lt;=MarkdownP75,"Moderate","High"))</f>
        <v>High</v>
      </c>
      <c r="Q912" s="11" t="str">
        <f aca="false">IF(ISBLANK(L912),"Unknown",IF(L912&gt;=4,"Good",IF(L912&lt;=2,"Poor","Neutral")))</f>
        <v>Neutral</v>
      </c>
      <c r="R912" s="11" t="str">
        <f aca="false">IF(AND(O912="Low",P912="Low",Q912="Good"),"BUY / PRIORITIZE",IF(AND(O912="High",P912="High",OR(Q912="Poor",M912=TRUE())),"HOLD / REVIEW","MONITOR"))</f>
        <v>MONITOR</v>
      </c>
      <c r="S912" s="11" t="n">
        <f aca="false">K912+(ROW()/10000000)</f>
        <v>29.0000912</v>
      </c>
    </row>
    <row r="913" customFormat="false" ht="15" hidden="false" customHeight="false" outlineLevel="0" collapsed="false">
      <c r="A913" s="11" t="s">
        <v>1174</v>
      </c>
      <c r="B913" s="11" t="s">
        <v>26</v>
      </c>
      <c r="C913" s="11" t="s">
        <v>86</v>
      </c>
      <c r="D913" s="11" t="s">
        <v>34</v>
      </c>
      <c r="E913" s="11" t="s">
        <v>91</v>
      </c>
      <c r="F913" s="11" t="s">
        <v>98</v>
      </c>
      <c r="G913" s="21" t="n">
        <v>27.11</v>
      </c>
      <c r="H913" s="19" t="n">
        <v>16.2</v>
      </c>
      <c r="I913" s="21" t="n">
        <v>22.72</v>
      </c>
      <c r="J913" s="22" t="s">
        <v>1175</v>
      </c>
      <c r="K913" s="11" t="n">
        <v>10</v>
      </c>
      <c r="L913" s="23" t="n">
        <v>2.4</v>
      </c>
      <c r="M913" s="24" t="b">
        <f aca="false">TRUE()</f>
        <v>1</v>
      </c>
      <c r="N913" s="11" t="s">
        <v>178</v>
      </c>
      <c r="O913" s="11" t="str">
        <f aca="false">IF(K913&lt;=StockP33,"Low",IF(K913&lt;=StockP67,"Moderate","High"))</f>
        <v>Low</v>
      </c>
      <c r="P913" s="11" t="str">
        <f aca="false">IF(H913=0,"Low",IF(H913&lt;=MarkdownP75,"Moderate","High"))</f>
        <v>Moderate</v>
      </c>
      <c r="Q913" s="11" t="str">
        <f aca="false">IF(ISBLANK(L913),"Unknown",IF(L913&gt;=4,"Good",IF(L913&lt;=2,"Poor","Neutral")))</f>
        <v>Neutral</v>
      </c>
      <c r="R913" s="11" t="str">
        <f aca="false">IF(AND(O913="Low",P913="Low",Q913="Good"),"BUY / PRIORITIZE",IF(AND(O913="High",P913="High",OR(Q913="Poor",M913=TRUE())),"HOLD / REVIEW","MONITOR"))</f>
        <v>MONITOR</v>
      </c>
      <c r="S913" s="11" t="n">
        <f aca="false">K913+(ROW()/10000000)</f>
        <v>10.0000913</v>
      </c>
    </row>
    <row r="914" customFormat="false" ht="15" hidden="false" customHeight="false" outlineLevel="0" collapsed="false">
      <c r="A914" s="11" t="s">
        <v>1176</v>
      </c>
      <c r="B914" s="11" t="s">
        <v>28</v>
      </c>
      <c r="C914" s="11" t="s">
        <v>116</v>
      </c>
      <c r="D914" s="11" t="s">
        <v>35</v>
      </c>
      <c r="E914" s="11" t="s">
        <v>91</v>
      </c>
      <c r="F914" s="11" t="s">
        <v>82</v>
      </c>
      <c r="G914" s="21" t="n">
        <v>141.83</v>
      </c>
      <c r="H914" s="19" t="n">
        <v>0</v>
      </c>
      <c r="I914" s="21" t="n">
        <v>141.83</v>
      </c>
      <c r="J914" s="22" t="s">
        <v>80</v>
      </c>
      <c r="K914" s="11" t="n">
        <v>2</v>
      </c>
      <c r="L914" s="23" t="n">
        <v>2.4</v>
      </c>
      <c r="M914" s="24" t="b">
        <f aca="false">TRUE()</f>
        <v>1</v>
      </c>
      <c r="N914" s="11" t="s">
        <v>89</v>
      </c>
      <c r="O914" s="11" t="str">
        <f aca="false">IF(K914&lt;=StockP33,"Low",IF(K914&lt;=StockP67,"Moderate","High"))</f>
        <v>Low</v>
      </c>
      <c r="P914" s="11" t="str">
        <f aca="false">IF(H914=0,"Low",IF(H914&lt;=MarkdownP75,"Moderate","High"))</f>
        <v>Low</v>
      </c>
      <c r="Q914" s="11" t="str">
        <f aca="false">IF(ISBLANK(L914),"Unknown",IF(L914&gt;=4,"Good",IF(L914&lt;=2,"Poor","Neutral")))</f>
        <v>Neutral</v>
      </c>
      <c r="R914" s="11" t="str">
        <f aca="false">IF(AND(O914="Low",P914="Low",Q914="Good"),"BUY / PRIORITIZE",IF(AND(O914="High",P914="High",OR(Q914="Poor",M914=TRUE())),"HOLD / REVIEW","MONITOR"))</f>
        <v>MONITOR</v>
      </c>
      <c r="S914" s="11" t="n">
        <f aca="false">K914+(ROW()/10000000)</f>
        <v>2.0000914</v>
      </c>
    </row>
    <row r="915" customFormat="false" ht="15" hidden="false" customHeight="false" outlineLevel="0" collapsed="false">
      <c r="A915" s="11" t="s">
        <v>1177</v>
      </c>
      <c r="B915" s="11" t="s">
        <v>29</v>
      </c>
      <c r="C915" s="11" t="s">
        <v>116</v>
      </c>
      <c r="D915" s="11" t="s">
        <v>34</v>
      </c>
      <c r="E915" s="11"/>
      <c r="F915" s="11" t="s">
        <v>111</v>
      </c>
      <c r="G915" s="21" t="n">
        <v>156.34</v>
      </c>
      <c r="H915" s="19" t="n">
        <v>37</v>
      </c>
      <c r="I915" s="21" t="n">
        <v>98.49</v>
      </c>
      <c r="J915" s="22" t="s">
        <v>1063</v>
      </c>
      <c r="K915" s="11" t="n">
        <v>45</v>
      </c>
      <c r="L915" s="23" t="n">
        <v>2.9</v>
      </c>
      <c r="M915" s="24" t="b">
        <f aca="false">TRUE()</f>
        <v>1</v>
      </c>
      <c r="N915" s="11" t="s">
        <v>128</v>
      </c>
      <c r="O915" s="11" t="str">
        <f aca="false">IF(K915&lt;=StockP33,"Low",IF(K915&lt;=StockP67,"Moderate","High"))</f>
        <v>High</v>
      </c>
      <c r="P915" s="11" t="str">
        <f aca="false">IF(H915=0,"Low",IF(H915&lt;=MarkdownP75,"Moderate","High"))</f>
        <v>High</v>
      </c>
      <c r="Q915" s="11" t="str">
        <f aca="false">IF(ISBLANK(L915),"Unknown",IF(L915&gt;=4,"Good",IF(L915&lt;=2,"Poor","Neutral")))</f>
        <v>Neutral</v>
      </c>
      <c r="R915" s="11" t="str">
        <f aca="false">IF(AND(O915="Low",P915="Low",Q915="Good"),"BUY / PRIORITIZE",IF(AND(O915="High",P915="High",OR(Q915="Poor",M915=TRUE())),"HOLD / REVIEW","MONITOR"))</f>
        <v>HOLD / REVIEW</v>
      </c>
      <c r="S915" s="11" t="n">
        <f aca="false">K915+(ROW()/10000000)</f>
        <v>45.0000915</v>
      </c>
    </row>
    <row r="916" customFormat="false" ht="15" hidden="false" customHeight="false" outlineLevel="0" collapsed="false">
      <c r="A916" s="11" t="s">
        <v>1178</v>
      </c>
      <c r="B916" s="11" t="s">
        <v>30</v>
      </c>
      <c r="C916" s="11" t="s">
        <v>130</v>
      </c>
      <c r="D916" s="11" t="s">
        <v>35</v>
      </c>
      <c r="E916" s="11" t="s">
        <v>110</v>
      </c>
      <c r="F916" s="11" t="s">
        <v>124</v>
      </c>
      <c r="G916" s="21" t="n">
        <v>81.84</v>
      </c>
      <c r="H916" s="19" t="n">
        <v>0</v>
      </c>
      <c r="I916" s="21" t="n">
        <v>81.84</v>
      </c>
      <c r="J916" s="22" t="s">
        <v>80</v>
      </c>
      <c r="K916" s="11" t="n">
        <v>41</v>
      </c>
      <c r="L916" s="23" t="n">
        <v>2.4</v>
      </c>
      <c r="M916" s="24" t="b">
        <f aca="false">FALSE()</f>
        <v>0</v>
      </c>
      <c r="N916" s="11"/>
      <c r="O916" s="11" t="str">
        <f aca="false">IF(K916&lt;=StockP33,"Low",IF(K916&lt;=StockP67,"Moderate","High"))</f>
        <v>High</v>
      </c>
      <c r="P916" s="11" t="str">
        <f aca="false">IF(H916=0,"Low",IF(H916&lt;=MarkdownP75,"Moderate","High"))</f>
        <v>Low</v>
      </c>
      <c r="Q916" s="11" t="str">
        <f aca="false">IF(ISBLANK(L916),"Unknown",IF(L916&gt;=4,"Good",IF(L916&lt;=2,"Poor","Neutral")))</f>
        <v>Neutral</v>
      </c>
      <c r="R916" s="11" t="str">
        <f aca="false">IF(AND(O916="Low",P916="Low",Q916="Good"),"BUY / PRIORITIZE",IF(AND(O916="High",P916="High",OR(Q916="Poor",M916=TRUE())),"HOLD / REVIEW","MONITOR"))</f>
        <v>MONITOR</v>
      </c>
      <c r="S916" s="11" t="n">
        <f aca="false">K916+(ROW()/10000000)</f>
        <v>41.0000916</v>
      </c>
    </row>
    <row r="917" customFormat="false" ht="15" hidden="false" customHeight="false" outlineLevel="0" collapsed="false">
      <c r="A917" s="11" t="s">
        <v>1179</v>
      </c>
      <c r="B917" s="11" t="s">
        <v>26</v>
      </c>
      <c r="C917" s="11" t="s">
        <v>101</v>
      </c>
      <c r="D917" s="11" t="s">
        <v>36</v>
      </c>
      <c r="E917" s="11" t="s">
        <v>78</v>
      </c>
      <c r="F917" s="11" t="s">
        <v>82</v>
      </c>
      <c r="G917" s="21" t="n">
        <v>36.44</v>
      </c>
      <c r="H917" s="19" t="n">
        <v>19.9</v>
      </c>
      <c r="I917" s="21" t="n">
        <v>29.19</v>
      </c>
      <c r="J917" s="22" t="s">
        <v>80</v>
      </c>
      <c r="K917" s="11" t="n">
        <v>39</v>
      </c>
      <c r="L917" s="23" t="n">
        <v>1.8</v>
      </c>
      <c r="M917" s="24" t="b">
        <f aca="false">FALSE()</f>
        <v>0</v>
      </c>
      <c r="N917" s="11"/>
      <c r="O917" s="11" t="str">
        <f aca="false">IF(K917&lt;=StockP33,"Low",IF(K917&lt;=StockP67,"Moderate","High"))</f>
        <v>High</v>
      </c>
      <c r="P917" s="11" t="str">
        <f aca="false">IF(H917=0,"Low",IF(H917&lt;=MarkdownP75,"Moderate","High"))</f>
        <v>Moderate</v>
      </c>
      <c r="Q917" s="11" t="str">
        <f aca="false">IF(ISBLANK(L917),"Unknown",IF(L917&gt;=4,"Good",IF(L917&lt;=2,"Poor","Neutral")))</f>
        <v>Poor</v>
      </c>
      <c r="R917" s="11" t="str">
        <f aca="false">IF(AND(O917="Low",P917="Low",Q917="Good"),"BUY / PRIORITIZE",IF(AND(O917="High",P917="High",OR(Q917="Poor",M917=TRUE())),"HOLD / REVIEW","MONITOR"))</f>
        <v>MONITOR</v>
      </c>
      <c r="S917" s="11" t="n">
        <f aca="false">K917+(ROW()/10000000)</f>
        <v>39.0000917</v>
      </c>
    </row>
    <row r="918" customFormat="false" ht="15" hidden="false" customHeight="false" outlineLevel="0" collapsed="false">
      <c r="A918" s="11" t="s">
        <v>1180</v>
      </c>
      <c r="B918" s="11" t="s">
        <v>28</v>
      </c>
      <c r="C918" s="11" t="s">
        <v>107</v>
      </c>
      <c r="D918" s="11" t="s">
        <v>36</v>
      </c>
      <c r="E918" s="11" t="s">
        <v>91</v>
      </c>
      <c r="F918" s="11" t="s">
        <v>79</v>
      </c>
      <c r="G918" s="21" t="n">
        <v>155.3</v>
      </c>
      <c r="H918" s="19" t="n">
        <v>0</v>
      </c>
      <c r="I918" s="21" t="n">
        <v>155.3</v>
      </c>
      <c r="J918" s="22" t="s">
        <v>80</v>
      </c>
      <c r="K918" s="11" t="n">
        <v>9</v>
      </c>
      <c r="L918" s="23" t="n">
        <v>3</v>
      </c>
      <c r="M918" s="24" t="b">
        <f aca="false">FALSE()</f>
        <v>0</v>
      </c>
      <c r="N918" s="11"/>
      <c r="O918" s="11" t="str">
        <f aca="false">IF(K918&lt;=StockP33,"Low",IF(K918&lt;=StockP67,"Moderate","High"))</f>
        <v>Low</v>
      </c>
      <c r="P918" s="11" t="str">
        <f aca="false">IF(H918=0,"Low",IF(H918&lt;=MarkdownP75,"Moderate","High"))</f>
        <v>Low</v>
      </c>
      <c r="Q918" s="11" t="str">
        <f aca="false">IF(ISBLANK(L918),"Unknown",IF(L918&gt;=4,"Good",IF(L918&lt;=2,"Poor","Neutral")))</f>
        <v>Neutral</v>
      </c>
      <c r="R918" s="11" t="str">
        <f aca="false">IF(AND(O918="Low",P918="Low",Q918="Good"),"BUY / PRIORITIZE",IF(AND(O918="High",P918="High",OR(Q918="Poor",M918=TRUE())),"HOLD / REVIEW","MONITOR"))</f>
        <v>MONITOR</v>
      </c>
      <c r="S918" s="11" t="n">
        <f aca="false">K918+(ROW()/10000000)</f>
        <v>9.0000918</v>
      </c>
    </row>
    <row r="919" customFormat="false" ht="15" hidden="false" customHeight="false" outlineLevel="0" collapsed="false">
      <c r="A919" s="11" t="s">
        <v>1181</v>
      </c>
      <c r="B919" s="11" t="s">
        <v>26</v>
      </c>
      <c r="C919" s="11" t="s">
        <v>77</v>
      </c>
      <c r="D919" s="11" t="s">
        <v>36</v>
      </c>
      <c r="E919" s="11" t="s">
        <v>73</v>
      </c>
      <c r="F919" s="11" t="s">
        <v>74</v>
      </c>
      <c r="G919" s="21" t="n">
        <v>84.04</v>
      </c>
      <c r="H919" s="19" t="n">
        <v>28.5</v>
      </c>
      <c r="I919" s="21" t="n">
        <v>60.09</v>
      </c>
      <c r="J919" s="22" t="s">
        <v>80</v>
      </c>
      <c r="K919" s="11" t="n">
        <v>3</v>
      </c>
      <c r="L919" s="23" t="n">
        <v>1</v>
      </c>
      <c r="M919" s="24" t="b">
        <f aca="false">FALSE()</f>
        <v>0</v>
      </c>
      <c r="N919" s="11"/>
      <c r="O919" s="11" t="str">
        <f aca="false">IF(K919&lt;=StockP33,"Low",IF(K919&lt;=StockP67,"Moderate","High"))</f>
        <v>Low</v>
      </c>
      <c r="P919" s="11" t="str">
        <f aca="false">IF(H919=0,"Low",IF(H919&lt;=MarkdownP75,"Moderate","High"))</f>
        <v>High</v>
      </c>
      <c r="Q919" s="11" t="str">
        <f aca="false">IF(ISBLANK(L919),"Unknown",IF(L919&gt;=4,"Good",IF(L919&lt;=2,"Poor","Neutral")))</f>
        <v>Poor</v>
      </c>
      <c r="R919" s="11" t="str">
        <f aca="false">IF(AND(O919="Low",P919="Low",Q919="Good"),"BUY / PRIORITIZE",IF(AND(O919="High",P919="High",OR(Q919="Poor",M919=TRUE())),"HOLD / REVIEW","MONITOR"))</f>
        <v>MONITOR</v>
      </c>
      <c r="S919" s="11" t="n">
        <f aca="false">K919+(ROW()/10000000)</f>
        <v>3.0000919</v>
      </c>
    </row>
    <row r="920" customFormat="false" ht="15" hidden="false" customHeight="false" outlineLevel="0" collapsed="false">
      <c r="A920" s="11" t="s">
        <v>1182</v>
      </c>
      <c r="B920" s="11" t="s">
        <v>29</v>
      </c>
      <c r="C920" s="11" t="s">
        <v>116</v>
      </c>
      <c r="D920" s="11" t="s">
        <v>36</v>
      </c>
      <c r="E920" s="11" t="s">
        <v>110</v>
      </c>
      <c r="F920" s="11" t="s">
        <v>124</v>
      </c>
      <c r="G920" s="21" t="n">
        <v>98.76</v>
      </c>
      <c r="H920" s="19" t="n">
        <v>56.4</v>
      </c>
      <c r="I920" s="21" t="n">
        <v>43.06</v>
      </c>
      <c r="J920" s="22" t="s">
        <v>80</v>
      </c>
      <c r="K920" s="11" t="n">
        <v>22</v>
      </c>
      <c r="L920" s="23" t="n">
        <v>4.5</v>
      </c>
      <c r="M920" s="24" t="b">
        <f aca="false">FALSE()</f>
        <v>0</v>
      </c>
      <c r="N920" s="11"/>
      <c r="O920" s="11" t="str">
        <f aca="false">IF(K920&lt;=StockP33,"Low",IF(K920&lt;=StockP67,"Moderate","High"))</f>
        <v>Moderate</v>
      </c>
      <c r="P920" s="11" t="str">
        <f aca="false">IF(H920=0,"Low",IF(H920&lt;=MarkdownP75,"Moderate","High"))</f>
        <v>High</v>
      </c>
      <c r="Q920" s="11" t="str">
        <f aca="false">IF(ISBLANK(L920),"Unknown",IF(L920&gt;=4,"Good",IF(L920&lt;=2,"Poor","Neutral")))</f>
        <v>Good</v>
      </c>
      <c r="R920" s="11" t="str">
        <f aca="false">IF(AND(O920="Low",P920="Low",Q920="Good"),"BUY / PRIORITIZE",IF(AND(O920="High",P920="High",OR(Q920="Poor",M920=TRUE())),"HOLD / REVIEW","MONITOR"))</f>
        <v>MONITOR</v>
      </c>
      <c r="S920" s="11" t="n">
        <f aca="false">K920+(ROW()/10000000)</f>
        <v>22.000092</v>
      </c>
    </row>
    <row r="921" customFormat="false" ht="15" hidden="false" customHeight="false" outlineLevel="0" collapsed="false">
      <c r="A921" s="11" t="s">
        <v>1183</v>
      </c>
      <c r="B921" s="11" t="s">
        <v>8</v>
      </c>
      <c r="C921" s="11" t="s">
        <v>107</v>
      </c>
      <c r="D921" s="11" t="s">
        <v>35</v>
      </c>
      <c r="E921" s="11"/>
      <c r="F921" s="11" t="s">
        <v>88</v>
      </c>
      <c r="G921" s="21" t="n">
        <v>52.99</v>
      </c>
      <c r="H921" s="19" t="n">
        <v>59.1</v>
      </c>
      <c r="I921" s="21" t="n">
        <v>21.67</v>
      </c>
      <c r="J921" s="22" t="s">
        <v>80</v>
      </c>
      <c r="K921" s="11" t="n">
        <v>50</v>
      </c>
      <c r="L921" s="23" t="n">
        <v>3.4</v>
      </c>
      <c r="M921" s="24" t="b">
        <f aca="false">TRUE()</f>
        <v>1</v>
      </c>
      <c r="N921" s="11" t="s">
        <v>128</v>
      </c>
      <c r="O921" s="11" t="str">
        <f aca="false">IF(K921&lt;=StockP33,"Low",IF(K921&lt;=StockP67,"Moderate","High"))</f>
        <v>High</v>
      </c>
      <c r="P921" s="11" t="str">
        <f aca="false">IF(H921=0,"Low",IF(H921&lt;=MarkdownP75,"Moderate","High"))</f>
        <v>High</v>
      </c>
      <c r="Q921" s="11" t="str">
        <f aca="false">IF(ISBLANK(L921),"Unknown",IF(L921&gt;=4,"Good",IF(L921&lt;=2,"Poor","Neutral")))</f>
        <v>Neutral</v>
      </c>
      <c r="R921" s="11" t="str">
        <f aca="false">IF(AND(O921="Low",P921="Low",Q921="Good"),"BUY / PRIORITIZE",IF(AND(O921="High",P921="High",OR(Q921="Poor",M921=TRUE())),"HOLD / REVIEW","MONITOR"))</f>
        <v>HOLD / REVIEW</v>
      </c>
      <c r="S921" s="11" t="n">
        <f aca="false">K921+(ROW()/10000000)</f>
        <v>50.0000921</v>
      </c>
    </row>
    <row r="922" customFormat="false" ht="15" hidden="false" customHeight="false" outlineLevel="0" collapsed="false">
      <c r="A922" s="11" t="s">
        <v>1184</v>
      </c>
      <c r="B922" s="11" t="s">
        <v>26</v>
      </c>
      <c r="C922" s="11" t="s">
        <v>77</v>
      </c>
      <c r="D922" s="11" t="s">
        <v>34</v>
      </c>
      <c r="E922" s="11" t="s">
        <v>78</v>
      </c>
      <c r="F922" s="11" t="s">
        <v>74</v>
      </c>
      <c r="G922" s="21" t="n">
        <v>39.84</v>
      </c>
      <c r="H922" s="19" t="n">
        <v>0</v>
      </c>
      <c r="I922" s="21" t="n">
        <v>39.84</v>
      </c>
      <c r="J922" s="22" t="s">
        <v>966</v>
      </c>
      <c r="K922" s="11" t="n">
        <v>24</v>
      </c>
      <c r="L922" s="23" t="n">
        <v>2.4</v>
      </c>
      <c r="M922" s="24" t="b">
        <f aca="false">FALSE()</f>
        <v>0</v>
      </c>
      <c r="N922" s="11"/>
      <c r="O922" s="11" t="str">
        <f aca="false">IF(K922&lt;=StockP33,"Low",IF(K922&lt;=StockP67,"Moderate","High"))</f>
        <v>Moderate</v>
      </c>
      <c r="P922" s="11" t="str">
        <f aca="false">IF(H922=0,"Low",IF(H922&lt;=MarkdownP75,"Moderate","High"))</f>
        <v>Low</v>
      </c>
      <c r="Q922" s="11" t="str">
        <f aca="false">IF(ISBLANK(L922),"Unknown",IF(L922&gt;=4,"Good",IF(L922&lt;=2,"Poor","Neutral")))</f>
        <v>Neutral</v>
      </c>
      <c r="R922" s="11" t="str">
        <f aca="false">IF(AND(O922="Low",P922="Low",Q922="Good"),"BUY / PRIORITIZE",IF(AND(O922="High",P922="High",OR(Q922="Poor",M922=TRUE())),"HOLD / REVIEW","MONITOR"))</f>
        <v>MONITOR</v>
      </c>
      <c r="S922" s="11" t="n">
        <f aca="false">K922+(ROW()/10000000)</f>
        <v>24.0000922</v>
      </c>
    </row>
    <row r="923" customFormat="false" ht="15" hidden="false" customHeight="false" outlineLevel="0" collapsed="false">
      <c r="A923" s="11" t="s">
        <v>1185</v>
      </c>
      <c r="B923" s="11" t="s">
        <v>8</v>
      </c>
      <c r="C923" s="11" t="s">
        <v>107</v>
      </c>
      <c r="D923" s="11" t="s">
        <v>34</v>
      </c>
      <c r="E923" s="11"/>
      <c r="F923" s="11" t="s">
        <v>98</v>
      </c>
      <c r="G923" s="21" t="n">
        <v>40.01</v>
      </c>
      <c r="H923" s="19" t="n">
        <v>0</v>
      </c>
      <c r="I923" s="21" t="n">
        <v>40.01</v>
      </c>
      <c r="J923" s="22" t="s">
        <v>1186</v>
      </c>
      <c r="K923" s="11" t="n">
        <v>22</v>
      </c>
      <c r="L923" s="23" t="n">
        <v>4.5</v>
      </c>
      <c r="M923" s="24" t="b">
        <f aca="false">FALSE()</f>
        <v>0</v>
      </c>
      <c r="N923" s="11"/>
      <c r="O923" s="11" t="str">
        <f aca="false">IF(K923&lt;=StockP33,"Low",IF(K923&lt;=StockP67,"Moderate","High"))</f>
        <v>Moderate</v>
      </c>
      <c r="P923" s="11" t="str">
        <f aca="false">IF(H923=0,"Low",IF(H923&lt;=MarkdownP75,"Moderate","High"))</f>
        <v>Low</v>
      </c>
      <c r="Q923" s="11" t="str">
        <f aca="false">IF(ISBLANK(L923),"Unknown",IF(L923&gt;=4,"Good",IF(L923&lt;=2,"Poor","Neutral")))</f>
        <v>Good</v>
      </c>
      <c r="R923" s="11" t="str">
        <f aca="false">IF(AND(O923="Low",P923="Low",Q923="Good"),"BUY / PRIORITIZE",IF(AND(O923="High",P923="High",OR(Q923="Poor",M923=TRUE())),"HOLD / REVIEW","MONITOR"))</f>
        <v>MONITOR</v>
      </c>
      <c r="S923" s="11" t="n">
        <f aca="false">K923+(ROW()/10000000)</f>
        <v>22.0000923</v>
      </c>
    </row>
    <row r="924" customFormat="false" ht="15" hidden="false" customHeight="false" outlineLevel="0" collapsed="false">
      <c r="A924" s="11" t="s">
        <v>1187</v>
      </c>
      <c r="B924" s="11" t="s">
        <v>28</v>
      </c>
      <c r="C924" s="11" t="s">
        <v>107</v>
      </c>
      <c r="D924" s="11" t="s">
        <v>35</v>
      </c>
      <c r="E924" s="11" t="s">
        <v>78</v>
      </c>
      <c r="F924" s="11" t="s">
        <v>118</v>
      </c>
      <c r="G924" s="21" t="n">
        <v>245.75</v>
      </c>
      <c r="H924" s="19" t="n">
        <v>0</v>
      </c>
      <c r="I924" s="21" t="n">
        <v>245.75</v>
      </c>
      <c r="J924" s="22" t="s">
        <v>80</v>
      </c>
      <c r="K924" s="11" t="n">
        <v>12</v>
      </c>
      <c r="L924" s="23"/>
      <c r="M924" s="24" t="b">
        <f aca="false">TRUE()</f>
        <v>1</v>
      </c>
      <c r="N924" s="11" t="s">
        <v>178</v>
      </c>
      <c r="O924" s="11" t="str">
        <f aca="false">IF(K924&lt;=StockP33,"Low",IF(K924&lt;=StockP67,"Moderate","High"))</f>
        <v>Low</v>
      </c>
      <c r="P924" s="11" t="str">
        <f aca="false">IF(H924=0,"Low",IF(H924&lt;=MarkdownP75,"Moderate","High"))</f>
        <v>Low</v>
      </c>
      <c r="Q924" s="11" t="str">
        <f aca="false">IF(ISBLANK(L924),"Unknown",IF(L924&gt;=4,"Good",IF(L924&lt;=2,"Poor","Neutral")))</f>
        <v>Unknown</v>
      </c>
      <c r="R924" s="11" t="str">
        <f aca="false">IF(AND(O924="Low",P924="Low",Q924="Good"),"BUY / PRIORITIZE",IF(AND(O924="High",P924="High",OR(Q924="Poor",M924=TRUE())),"HOLD / REVIEW","MONITOR"))</f>
        <v>MONITOR</v>
      </c>
      <c r="S924" s="11" t="n">
        <f aca="false">K924+(ROW()/10000000)</f>
        <v>12.0000924</v>
      </c>
    </row>
    <row r="925" customFormat="false" ht="15" hidden="false" customHeight="false" outlineLevel="0" collapsed="false">
      <c r="A925" s="11" t="s">
        <v>1188</v>
      </c>
      <c r="B925" s="11" t="s">
        <v>26</v>
      </c>
      <c r="C925" s="11" t="s">
        <v>72</v>
      </c>
      <c r="D925" s="11" t="s">
        <v>37</v>
      </c>
      <c r="E925" s="11" t="s">
        <v>73</v>
      </c>
      <c r="F925" s="11" t="s">
        <v>92</v>
      </c>
      <c r="G925" s="21" t="n">
        <v>102.25</v>
      </c>
      <c r="H925" s="19" t="n">
        <v>0</v>
      </c>
      <c r="I925" s="21" t="n">
        <v>102.25</v>
      </c>
      <c r="J925" s="22" t="s">
        <v>80</v>
      </c>
      <c r="K925" s="11" t="n">
        <v>6</v>
      </c>
      <c r="L925" s="23" t="n">
        <v>3.8</v>
      </c>
      <c r="M925" s="24" t="b">
        <f aca="false">FALSE()</f>
        <v>0</v>
      </c>
      <c r="N925" s="11"/>
      <c r="O925" s="11" t="str">
        <f aca="false">IF(K925&lt;=StockP33,"Low",IF(K925&lt;=StockP67,"Moderate","High"))</f>
        <v>Low</v>
      </c>
      <c r="P925" s="11" t="str">
        <f aca="false">IF(H925=0,"Low",IF(H925&lt;=MarkdownP75,"Moderate","High"))</f>
        <v>Low</v>
      </c>
      <c r="Q925" s="11" t="str">
        <f aca="false">IF(ISBLANK(L925),"Unknown",IF(L925&gt;=4,"Good",IF(L925&lt;=2,"Poor","Neutral")))</f>
        <v>Neutral</v>
      </c>
      <c r="R925" s="11" t="str">
        <f aca="false">IF(AND(O925="Low",P925="Low",Q925="Good"),"BUY / PRIORITIZE",IF(AND(O925="High",P925="High",OR(Q925="Poor",M925=TRUE())),"HOLD / REVIEW","MONITOR"))</f>
        <v>MONITOR</v>
      </c>
      <c r="S925" s="11" t="n">
        <f aca="false">K925+(ROW()/10000000)</f>
        <v>6.0000925</v>
      </c>
    </row>
    <row r="926" customFormat="false" ht="15" hidden="false" customHeight="false" outlineLevel="0" collapsed="false">
      <c r="A926" s="11" t="s">
        <v>1189</v>
      </c>
      <c r="B926" s="11" t="s">
        <v>30</v>
      </c>
      <c r="C926" s="11" t="s">
        <v>107</v>
      </c>
      <c r="D926" s="11" t="s">
        <v>35</v>
      </c>
      <c r="E926" s="11" t="s">
        <v>113</v>
      </c>
      <c r="F926" s="11" t="s">
        <v>92</v>
      </c>
      <c r="G926" s="21" t="n">
        <v>76.33</v>
      </c>
      <c r="H926" s="19" t="n">
        <v>0</v>
      </c>
      <c r="I926" s="21" t="n">
        <v>76.33</v>
      </c>
      <c r="J926" s="22" t="s">
        <v>80</v>
      </c>
      <c r="K926" s="11" t="n">
        <v>15</v>
      </c>
      <c r="L926" s="23" t="n">
        <v>2</v>
      </c>
      <c r="M926" s="24" t="b">
        <f aca="false">TRUE()</f>
        <v>1</v>
      </c>
      <c r="N926" s="11" t="s">
        <v>191</v>
      </c>
      <c r="O926" s="11" t="str">
        <f aca="false">IF(K926&lt;=StockP33,"Low",IF(K926&lt;=StockP67,"Moderate","High"))</f>
        <v>Low</v>
      </c>
      <c r="P926" s="11" t="str">
        <f aca="false">IF(H926=0,"Low",IF(H926&lt;=MarkdownP75,"Moderate","High"))</f>
        <v>Low</v>
      </c>
      <c r="Q926" s="11" t="str">
        <f aca="false">IF(ISBLANK(L926),"Unknown",IF(L926&gt;=4,"Good",IF(L926&lt;=2,"Poor","Neutral")))</f>
        <v>Poor</v>
      </c>
      <c r="R926" s="11" t="str">
        <f aca="false">IF(AND(O926="Low",P926="Low",Q926="Good"),"BUY / PRIORITIZE",IF(AND(O926="High",P926="High",OR(Q926="Poor",M926=TRUE())),"HOLD / REVIEW","MONITOR"))</f>
        <v>MONITOR</v>
      </c>
      <c r="S926" s="11" t="n">
        <f aca="false">K926+(ROW()/10000000)</f>
        <v>15.0000926</v>
      </c>
    </row>
    <row r="927" customFormat="false" ht="15" hidden="false" customHeight="false" outlineLevel="0" collapsed="false">
      <c r="A927" s="11" t="s">
        <v>1190</v>
      </c>
      <c r="B927" s="11" t="s">
        <v>8</v>
      </c>
      <c r="C927" s="11" t="s">
        <v>72</v>
      </c>
      <c r="D927" s="11" t="s">
        <v>34</v>
      </c>
      <c r="E927" s="11"/>
      <c r="F927" s="11" t="s">
        <v>92</v>
      </c>
      <c r="G927" s="21" t="n">
        <v>51.79</v>
      </c>
      <c r="H927" s="19" t="n">
        <v>39</v>
      </c>
      <c r="I927" s="21" t="n">
        <v>31.59</v>
      </c>
      <c r="J927" s="22" t="s">
        <v>1191</v>
      </c>
      <c r="K927" s="11" t="n">
        <v>37</v>
      </c>
      <c r="L927" s="23" t="n">
        <v>2.5</v>
      </c>
      <c r="M927" s="24" t="b">
        <f aca="false">FALSE()</f>
        <v>0</v>
      </c>
      <c r="N927" s="11"/>
      <c r="O927" s="11" t="str">
        <f aca="false">IF(K927&lt;=StockP33,"Low",IF(K927&lt;=StockP67,"Moderate","High"))</f>
        <v>High</v>
      </c>
      <c r="P927" s="11" t="str">
        <f aca="false">IF(H927=0,"Low",IF(H927&lt;=MarkdownP75,"Moderate","High"))</f>
        <v>High</v>
      </c>
      <c r="Q927" s="11" t="str">
        <f aca="false">IF(ISBLANK(L927),"Unknown",IF(L927&gt;=4,"Good",IF(L927&lt;=2,"Poor","Neutral")))</f>
        <v>Neutral</v>
      </c>
      <c r="R927" s="11" t="str">
        <f aca="false">IF(AND(O927="Low",P927="Low",Q927="Good"),"BUY / PRIORITIZE",IF(AND(O927="High",P927="High",OR(Q927="Poor",M927=TRUE())),"HOLD / REVIEW","MONITOR"))</f>
        <v>MONITOR</v>
      </c>
      <c r="S927" s="11" t="n">
        <f aca="false">K927+(ROW()/10000000)</f>
        <v>37.0000927</v>
      </c>
    </row>
    <row r="928" customFormat="false" ht="15" hidden="false" customHeight="false" outlineLevel="0" collapsed="false">
      <c r="A928" s="11" t="s">
        <v>1192</v>
      </c>
      <c r="B928" s="11" t="s">
        <v>28</v>
      </c>
      <c r="C928" s="11" t="s">
        <v>72</v>
      </c>
      <c r="D928" s="11" t="s">
        <v>34</v>
      </c>
      <c r="E928" s="11" t="s">
        <v>102</v>
      </c>
      <c r="F928" s="11" t="s">
        <v>79</v>
      </c>
      <c r="G928" s="21" t="n">
        <v>141.24</v>
      </c>
      <c r="H928" s="19" t="n">
        <v>12.9</v>
      </c>
      <c r="I928" s="21" t="n">
        <v>123.02</v>
      </c>
      <c r="J928" s="22" t="s">
        <v>1193</v>
      </c>
      <c r="K928" s="11" t="n">
        <v>23</v>
      </c>
      <c r="L928" s="23" t="n">
        <v>1.7</v>
      </c>
      <c r="M928" s="24" t="b">
        <f aca="false">FALSE()</f>
        <v>0</v>
      </c>
      <c r="N928" s="11"/>
      <c r="O928" s="11" t="str">
        <f aca="false">IF(K928&lt;=StockP33,"Low",IF(K928&lt;=StockP67,"Moderate","High"))</f>
        <v>Moderate</v>
      </c>
      <c r="P928" s="11" t="str">
        <f aca="false">IF(H928=0,"Low",IF(H928&lt;=MarkdownP75,"Moderate","High"))</f>
        <v>Moderate</v>
      </c>
      <c r="Q928" s="11" t="str">
        <f aca="false">IF(ISBLANK(L928),"Unknown",IF(L928&gt;=4,"Good",IF(L928&lt;=2,"Poor","Neutral")))</f>
        <v>Poor</v>
      </c>
      <c r="R928" s="11" t="str">
        <f aca="false">IF(AND(O928="Low",P928="Low",Q928="Good"),"BUY / PRIORITIZE",IF(AND(O928="High",P928="High",OR(Q928="Poor",M928=TRUE())),"HOLD / REVIEW","MONITOR"))</f>
        <v>MONITOR</v>
      </c>
      <c r="S928" s="11" t="n">
        <f aca="false">K928+(ROW()/10000000)</f>
        <v>23.0000928</v>
      </c>
    </row>
    <row r="929" customFormat="false" ht="15" hidden="false" customHeight="false" outlineLevel="0" collapsed="false">
      <c r="A929" s="11" t="s">
        <v>1194</v>
      </c>
      <c r="B929" s="11" t="s">
        <v>8</v>
      </c>
      <c r="C929" s="11" t="s">
        <v>77</v>
      </c>
      <c r="D929" s="11" t="s">
        <v>34</v>
      </c>
      <c r="E929" s="11"/>
      <c r="F929" s="11" t="s">
        <v>82</v>
      </c>
      <c r="G929" s="21" t="n">
        <v>66.18</v>
      </c>
      <c r="H929" s="19" t="n">
        <v>0</v>
      </c>
      <c r="I929" s="21" t="n">
        <v>66.18</v>
      </c>
      <c r="J929" s="22" t="s">
        <v>370</v>
      </c>
      <c r="K929" s="11" t="n">
        <v>20</v>
      </c>
      <c r="L929" s="23" t="n">
        <v>1.7</v>
      </c>
      <c r="M929" s="24" t="b">
        <f aca="false">FALSE()</f>
        <v>0</v>
      </c>
      <c r="N929" s="11"/>
      <c r="O929" s="11" t="str">
        <f aca="false">IF(K929&lt;=StockP33,"Low",IF(K929&lt;=StockP67,"Moderate","High"))</f>
        <v>Moderate</v>
      </c>
      <c r="P929" s="11" t="str">
        <f aca="false">IF(H929=0,"Low",IF(H929&lt;=MarkdownP75,"Moderate","High"))</f>
        <v>Low</v>
      </c>
      <c r="Q929" s="11" t="str">
        <f aca="false">IF(ISBLANK(L929),"Unknown",IF(L929&gt;=4,"Good",IF(L929&lt;=2,"Poor","Neutral")))</f>
        <v>Poor</v>
      </c>
      <c r="R929" s="11" t="str">
        <f aca="false">IF(AND(O929="Low",P929="Low",Q929="Good"),"BUY / PRIORITIZE",IF(AND(O929="High",P929="High",OR(Q929="Poor",M929=TRUE())),"HOLD / REVIEW","MONITOR"))</f>
        <v>MONITOR</v>
      </c>
      <c r="S929" s="11" t="n">
        <f aca="false">K929+(ROW()/10000000)</f>
        <v>20.0000929</v>
      </c>
    </row>
    <row r="930" customFormat="false" ht="15" hidden="false" customHeight="false" outlineLevel="0" collapsed="false">
      <c r="A930" s="11" t="s">
        <v>1195</v>
      </c>
      <c r="B930" s="11" t="s">
        <v>30</v>
      </c>
      <c r="C930" s="11" t="s">
        <v>86</v>
      </c>
      <c r="D930" s="11" t="s">
        <v>35</v>
      </c>
      <c r="E930" s="11" t="s">
        <v>113</v>
      </c>
      <c r="F930" s="11" t="s">
        <v>118</v>
      </c>
      <c r="G930" s="21" t="n">
        <v>35.15</v>
      </c>
      <c r="H930" s="19" t="n">
        <v>0</v>
      </c>
      <c r="I930" s="21" t="n">
        <v>35.15</v>
      </c>
      <c r="J930" s="22" t="s">
        <v>80</v>
      </c>
      <c r="K930" s="11" t="n">
        <v>38</v>
      </c>
      <c r="L930" s="23" t="n">
        <v>2.2</v>
      </c>
      <c r="M930" s="24" t="b">
        <f aca="false">FALSE()</f>
        <v>0</v>
      </c>
      <c r="N930" s="11"/>
      <c r="O930" s="11" t="str">
        <f aca="false">IF(K930&lt;=StockP33,"Low",IF(K930&lt;=StockP67,"Moderate","High"))</f>
        <v>High</v>
      </c>
      <c r="P930" s="11" t="str">
        <f aca="false">IF(H930=0,"Low",IF(H930&lt;=MarkdownP75,"Moderate","High"))</f>
        <v>Low</v>
      </c>
      <c r="Q930" s="11" t="str">
        <f aca="false">IF(ISBLANK(L930),"Unknown",IF(L930&gt;=4,"Good",IF(L930&lt;=2,"Poor","Neutral")))</f>
        <v>Neutral</v>
      </c>
      <c r="R930" s="11" t="str">
        <f aca="false">IF(AND(O930="Low",P930="Low",Q930="Good"),"BUY / PRIORITIZE",IF(AND(O930="High",P930="High",OR(Q930="Poor",M930=TRUE())),"HOLD / REVIEW","MONITOR"))</f>
        <v>MONITOR</v>
      </c>
      <c r="S930" s="11" t="n">
        <f aca="false">K930+(ROW()/10000000)</f>
        <v>38.000093</v>
      </c>
    </row>
    <row r="931" customFormat="false" ht="15" hidden="false" customHeight="false" outlineLevel="0" collapsed="false">
      <c r="A931" s="11" t="s">
        <v>1196</v>
      </c>
      <c r="B931" s="11" t="s">
        <v>8</v>
      </c>
      <c r="C931" s="11" t="s">
        <v>101</v>
      </c>
      <c r="D931" s="11" t="s">
        <v>34</v>
      </c>
      <c r="E931" s="11"/>
      <c r="F931" s="11" t="s">
        <v>79</v>
      </c>
      <c r="G931" s="21" t="n">
        <v>35.62</v>
      </c>
      <c r="H931" s="19" t="n">
        <v>41.2</v>
      </c>
      <c r="I931" s="21" t="n">
        <v>20.94</v>
      </c>
      <c r="J931" s="22" t="s">
        <v>844</v>
      </c>
      <c r="K931" s="11" t="n">
        <v>4</v>
      </c>
      <c r="L931" s="23" t="n">
        <v>3.7</v>
      </c>
      <c r="M931" s="24" t="b">
        <f aca="false">FALSE()</f>
        <v>0</v>
      </c>
      <c r="N931" s="11"/>
      <c r="O931" s="11" t="str">
        <f aca="false">IF(K931&lt;=StockP33,"Low",IF(K931&lt;=StockP67,"Moderate","High"))</f>
        <v>Low</v>
      </c>
      <c r="P931" s="11" t="str">
        <f aca="false">IF(H931=0,"Low",IF(H931&lt;=MarkdownP75,"Moderate","High"))</f>
        <v>High</v>
      </c>
      <c r="Q931" s="11" t="str">
        <f aca="false">IF(ISBLANK(L931),"Unknown",IF(L931&gt;=4,"Good",IF(L931&lt;=2,"Poor","Neutral")))</f>
        <v>Neutral</v>
      </c>
      <c r="R931" s="11" t="str">
        <f aca="false">IF(AND(O931="Low",P931="Low",Q931="Good"),"BUY / PRIORITIZE",IF(AND(O931="High",P931="High",OR(Q931="Poor",M931=TRUE())),"HOLD / REVIEW","MONITOR"))</f>
        <v>MONITOR</v>
      </c>
      <c r="S931" s="11" t="n">
        <f aca="false">K931+(ROW()/10000000)</f>
        <v>4.0000931</v>
      </c>
    </row>
    <row r="932" customFormat="false" ht="15" hidden="false" customHeight="false" outlineLevel="0" collapsed="false">
      <c r="A932" s="11" t="s">
        <v>1197</v>
      </c>
      <c r="B932" s="11" t="s">
        <v>8</v>
      </c>
      <c r="C932" s="11" t="s">
        <v>130</v>
      </c>
      <c r="D932" s="11" t="s">
        <v>35</v>
      </c>
      <c r="E932" s="11"/>
      <c r="F932" s="11" t="s">
        <v>98</v>
      </c>
      <c r="G932" s="21" t="n">
        <v>35.64</v>
      </c>
      <c r="H932" s="19" t="n">
        <v>0</v>
      </c>
      <c r="I932" s="21" t="n">
        <v>35.64</v>
      </c>
      <c r="J932" s="22" t="s">
        <v>80</v>
      </c>
      <c r="K932" s="11" t="n">
        <v>48</v>
      </c>
      <c r="L932" s="23" t="n">
        <v>5</v>
      </c>
      <c r="M932" s="24" t="b">
        <f aca="false">TRUE()</f>
        <v>1</v>
      </c>
      <c r="N932" s="11" t="s">
        <v>89</v>
      </c>
      <c r="O932" s="11" t="str">
        <f aca="false">IF(K932&lt;=StockP33,"Low",IF(K932&lt;=StockP67,"Moderate","High"))</f>
        <v>High</v>
      </c>
      <c r="P932" s="11" t="str">
        <f aca="false">IF(H932=0,"Low",IF(H932&lt;=MarkdownP75,"Moderate","High"))</f>
        <v>Low</v>
      </c>
      <c r="Q932" s="11" t="str">
        <f aca="false">IF(ISBLANK(L932),"Unknown",IF(L932&gt;=4,"Good",IF(L932&lt;=2,"Poor","Neutral")))</f>
        <v>Good</v>
      </c>
      <c r="R932" s="11" t="str">
        <f aca="false">IF(AND(O932="Low",P932="Low",Q932="Good"),"BUY / PRIORITIZE",IF(AND(O932="High",P932="High",OR(Q932="Poor",M932=TRUE())),"HOLD / REVIEW","MONITOR"))</f>
        <v>MONITOR</v>
      </c>
      <c r="S932" s="11" t="n">
        <f aca="false">K932+(ROW()/10000000)</f>
        <v>48.0000932</v>
      </c>
    </row>
    <row r="933" customFormat="false" ht="15" hidden="false" customHeight="false" outlineLevel="0" collapsed="false">
      <c r="A933" s="11" t="s">
        <v>1198</v>
      </c>
      <c r="B933" s="11" t="s">
        <v>26</v>
      </c>
      <c r="C933" s="11" t="s">
        <v>107</v>
      </c>
      <c r="D933" s="11" t="s">
        <v>35</v>
      </c>
      <c r="E933" s="11" t="s">
        <v>78</v>
      </c>
      <c r="F933" s="11" t="s">
        <v>74</v>
      </c>
      <c r="G933" s="21" t="n">
        <v>86.68</v>
      </c>
      <c r="H933" s="19" t="n">
        <v>0</v>
      </c>
      <c r="I933" s="21" t="n">
        <v>86.68</v>
      </c>
      <c r="J933" s="22" t="s">
        <v>80</v>
      </c>
      <c r="K933" s="11" t="n">
        <v>2</v>
      </c>
      <c r="L933" s="23"/>
      <c r="M933" s="24" t="b">
        <f aca="false">FALSE()</f>
        <v>0</v>
      </c>
      <c r="N933" s="11"/>
      <c r="O933" s="11" t="str">
        <f aca="false">IF(K933&lt;=StockP33,"Low",IF(K933&lt;=StockP67,"Moderate","High"))</f>
        <v>Low</v>
      </c>
      <c r="P933" s="11" t="str">
        <f aca="false">IF(H933=0,"Low",IF(H933&lt;=MarkdownP75,"Moderate","High"))</f>
        <v>Low</v>
      </c>
      <c r="Q933" s="11" t="str">
        <f aca="false">IF(ISBLANK(L933),"Unknown",IF(L933&gt;=4,"Good",IF(L933&lt;=2,"Poor","Neutral")))</f>
        <v>Unknown</v>
      </c>
      <c r="R933" s="11" t="str">
        <f aca="false">IF(AND(O933="Low",P933="Low",Q933="Good"),"BUY / PRIORITIZE",IF(AND(O933="High",P933="High",OR(Q933="Poor",M933=TRUE())),"HOLD / REVIEW","MONITOR"))</f>
        <v>MONITOR</v>
      </c>
      <c r="S933" s="11" t="n">
        <f aca="false">K933+(ROW()/10000000)</f>
        <v>2.0000933</v>
      </c>
    </row>
    <row r="934" customFormat="false" ht="15" hidden="false" customHeight="false" outlineLevel="0" collapsed="false">
      <c r="A934" s="11" t="s">
        <v>1199</v>
      </c>
      <c r="B934" s="11" t="s">
        <v>8</v>
      </c>
      <c r="C934" s="11" t="s">
        <v>101</v>
      </c>
      <c r="D934" s="11" t="s">
        <v>36</v>
      </c>
      <c r="E934" s="11"/>
      <c r="F934" s="11" t="s">
        <v>79</v>
      </c>
      <c r="G934" s="21" t="n">
        <v>17.72</v>
      </c>
      <c r="H934" s="19" t="n">
        <v>0</v>
      </c>
      <c r="I934" s="21" t="n">
        <v>17.72</v>
      </c>
      <c r="J934" s="22" t="s">
        <v>80</v>
      </c>
      <c r="K934" s="11" t="n">
        <v>9</v>
      </c>
      <c r="L934" s="23" t="n">
        <v>1.2</v>
      </c>
      <c r="M934" s="24" t="b">
        <f aca="false">FALSE()</f>
        <v>0</v>
      </c>
      <c r="N934" s="11"/>
      <c r="O934" s="11" t="str">
        <f aca="false">IF(K934&lt;=StockP33,"Low",IF(K934&lt;=StockP67,"Moderate","High"))</f>
        <v>Low</v>
      </c>
      <c r="P934" s="11" t="str">
        <f aca="false">IF(H934=0,"Low",IF(H934&lt;=MarkdownP75,"Moderate","High"))</f>
        <v>Low</v>
      </c>
      <c r="Q934" s="11" t="str">
        <f aca="false">IF(ISBLANK(L934),"Unknown",IF(L934&gt;=4,"Good",IF(L934&lt;=2,"Poor","Neutral")))</f>
        <v>Poor</v>
      </c>
      <c r="R934" s="11" t="str">
        <f aca="false">IF(AND(O934="Low",P934="Low",Q934="Good"),"BUY / PRIORITIZE",IF(AND(O934="High",P934="High",OR(Q934="Poor",M934=TRUE())),"HOLD / REVIEW","MONITOR"))</f>
        <v>MONITOR</v>
      </c>
      <c r="S934" s="11" t="n">
        <f aca="false">K934+(ROW()/10000000)</f>
        <v>9.0000934</v>
      </c>
    </row>
    <row r="935" customFormat="false" ht="15" hidden="false" customHeight="false" outlineLevel="0" collapsed="false">
      <c r="A935" s="11" t="s">
        <v>1200</v>
      </c>
      <c r="B935" s="11" t="s">
        <v>28</v>
      </c>
      <c r="C935" s="11" t="s">
        <v>77</v>
      </c>
      <c r="D935" s="11" t="s">
        <v>36</v>
      </c>
      <c r="E935" s="11" t="s">
        <v>102</v>
      </c>
      <c r="F935" s="11" t="s">
        <v>79</v>
      </c>
      <c r="G935" s="21" t="n">
        <v>87.95</v>
      </c>
      <c r="H935" s="19" t="n">
        <v>13.3</v>
      </c>
      <c r="I935" s="21" t="n">
        <v>76.25</v>
      </c>
      <c r="J935" s="22" t="s">
        <v>80</v>
      </c>
      <c r="K935" s="11" t="n">
        <v>4</v>
      </c>
      <c r="L935" s="23" t="n">
        <v>4.5</v>
      </c>
      <c r="M935" s="24" t="b">
        <f aca="false">FALSE()</f>
        <v>0</v>
      </c>
      <c r="N935" s="11"/>
      <c r="O935" s="11" t="str">
        <f aca="false">IF(K935&lt;=StockP33,"Low",IF(K935&lt;=StockP67,"Moderate","High"))</f>
        <v>Low</v>
      </c>
      <c r="P935" s="11" t="str">
        <f aca="false">IF(H935=0,"Low",IF(H935&lt;=MarkdownP75,"Moderate","High"))</f>
        <v>Moderate</v>
      </c>
      <c r="Q935" s="11" t="str">
        <f aca="false">IF(ISBLANK(L935),"Unknown",IF(L935&gt;=4,"Good",IF(L935&lt;=2,"Poor","Neutral")))</f>
        <v>Good</v>
      </c>
      <c r="R935" s="11" t="str">
        <f aca="false">IF(AND(O935="Low",P935="Low",Q935="Good"),"BUY / PRIORITIZE",IF(AND(O935="High",P935="High",OR(Q935="Poor",M935=TRUE())),"HOLD / REVIEW","MONITOR"))</f>
        <v>MONITOR</v>
      </c>
      <c r="S935" s="11" t="n">
        <f aca="false">K935+(ROW()/10000000)</f>
        <v>4.0000935</v>
      </c>
    </row>
    <row r="936" customFormat="false" ht="15" hidden="false" customHeight="false" outlineLevel="0" collapsed="false">
      <c r="A936" s="11" t="s">
        <v>1201</v>
      </c>
      <c r="B936" s="11" t="s">
        <v>28</v>
      </c>
      <c r="C936" s="11" t="s">
        <v>95</v>
      </c>
      <c r="D936" s="11" t="s">
        <v>34</v>
      </c>
      <c r="E936" s="11" t="s">
        <v>110</v>
      </c>
      <c r="F936" s="11" t="s">
        <v>92</v>
      </c>
      <c r="G936" s="21" t="n">
        <v>216.26</v>
      </c>
      <c r="H936" s="19" t="n">
        <v>0</v>
      </c>
      <c r="I936" s="21" t="n">
        <v>216.26</v>
      </c>
      <c r="J936" s="22" t="s">
        <v>142</v>
      </c>
      <c r="K936" s="11" t="n">
        <v>26</v>
      </c>
      <c r="L936" s="23" t="n">
        <v>1.1</v>
      </c>
      <c r="M936" s="24" t="b">
        <f aca="false">FALSE()</f>
        <v>0</v>
      </c>
      <c r="N936" s="11"/>
      <c r="O936" s="11" t="str">
        <f aca="false">IF(K936&lt;=StockP33,"Low",IF(K936&lt;=StockP67,"Moderate","High"))</f>
        <v>Moderate</v>
      </c>
      <c r="P936" s="11" t="str">
        <f aca="false">IF(H936=0,"Low",IF(H936&lt;=MarkdownP75,"Moderate","High"))</f>
        <v>Low</v>
      </c>
      <c r="Q936" s="11" t="str">
        <f aca="false">IF(ISBLANK(L936),"Unknown",IF(L936&gt;=4,"Good",IF(L936&lt;=2,"Poor","Neutral")))</f>
        <v>Poor</v>
      </c>
      <c r="R936" s="11" t="str">
        <f aca="false">IF(AND(O936="Low",P936="Low",Q936="Good"),"BUY / PRIORITIZE",IF(AND(O936="High",P936="High",OR(Q936="Poor",M936=TRUE())),"HOLD / REVIEW","MONITOR"))</f>
        <v>MONITOR</v>
      </c>
      <c r="S936" s="11" t="n">
        <f aca="false">K936+(ROW()/10000000)</f>
        <v>26.0000936</v>
      </c>
    </row>
    <row r="937" customFormat="false" ht="15" hidden="false" customHeight="false" outlineLevel="0" collapsed="false">
      <c r="A937" s="11" t="s">
        <v>1202</v>
      </c>
      <c r="B937" s="11" t="s">
        <v>28</v>
      </c>
      <c r="C937" s="11" t="s">
        <v>95</v>
      </c>
      <c r="D937" s="11" t="s">
        <v>35</v>
      </c>
      <c r="E937" s="11" t="s">
        <v>91</v>
      </c>
      <c r="F937" s="11" t="s">
        <v>82</v>
      </c>
      <c r="G937" s="21" t="n">
        <v>238.11</v>
      </c>
      <c r="H937" s="19" t="n">
        <v>0</v>
      </c>
      <c r="I937" s="21" t="n">
        <v>238.11</v>
      </c>
      <c r="J937" s="22" t="s">
        <v>80</v>
      </c>
      <c r="K937" s="11" t="n">
        <v>49</v>
      </c>
      <c r="L937" s="23"/>
      <c r="M937" s="24" t="b">
        <f aca="false">FALSE()</f>
        <v>0</v>
      </c>
      <c r="N937" s="11"/>
      <c r="O937" s="11" t="str">
        <f aca="false">IF(K937&lt;=StockP33,"Low",IF(K937&lt;=StockP67,"Moderate","High"))</f>
        <v>High</v>
      </c>
      <c r="P937" s="11" t="str">
        <f aca="false">IF(H937=0,"Low",IF(H937&lt;=MarkdownP75,"Moderate","High"))</f>
        <v>Low</v>
      </c>
      <c r="Q937" s="11" t="str">
        <f aca="false">IF(ISBLANK(L937),"Unknown",IF(L937&gt;=4,"Good",IF(L937&lt;=2,"Poor","Neutral")))</f>
        <v>Unknown</v>
      </c>
      <c r="R937" s="11" t="str">
        <f aca="false">IF(AND(O937="Low",P937="Low",Q937="Good"),"BUY / PRIORITIZE",IF(AND(O937="High",P937="High",OR(Q937="Poor",M937=TRUE())),"HOLD / REVIEW","MONITOR"))</f>
        <v>MONITOR</v>
      </c>
      <c r="S937" s="11" t="n">
        <f aca="false">K937+(ROW()/10000000)</f>
        <v>49.0000937</v>
      </c>
    </row>
    <row r="938" customFormat="false" ht="15" hidden="false" customHeight="false" outlineLevel="0" collapsed="false">
      <c r="A938" s="11" t="s">
        <v>1203</v>
      </c>
      <c r="B938" s="11" t="s">
        <v>29</v>
      </c>
      <c r="C938" s="11" t="s">
        <v>77</v>
      </c>
      <c r="D938" s="11" t="s">
        <v>37</v>
      </c>
      <c r="E938" s="11" t="s">
        <v>102</v>
      </c>
      <c r="F938" s="11" t="s">
        <v>79</v>
      </c>
      <c r="G938" s="21" t="n">
        <v>112.77</v>
      </c>
      <c r="H938" s="19" t="n">
        <v>0</v>
      </c>
      <c r="I938" s="21" t="n">
        <v>112.77</v>
      </c>
      <c r="J938" s="22" t="s">
        <v>80</v>
      </c>
      <c r="K938" s="11" t="n">
        <v>11</v>
      </c>
      <c r="L938" s="23" t="n">
        <v>4.1</v>
      </c>
      <c r="M938" s="24" t="b">
        <f aca="false">FALSE()</f>
        <v>0</v>
      </c>
      <c r="N938" s="11"/>
      <c r="O938" s="11" t="str">
        <f aca="false">IF(K938&lt;=StockP33,"Low",IF(K938&lt;=StockP67,"Moderate","High"))</f>
        <v>Low</v>
      </c>
      <c r="P938" s="11" t="str">
        <f aca="false">IF(H938=0,"Low",IF(H938&lt;=MarkdownP75,"Moderate","High"))</f>
        <v>Low</v>
      </c>
      <c r="Q938" s="11" t="str">
        <f aca="false">IF(ISBLANK(L938),"Unknown",IF(L938&gt;=4,"Good",IF(L938&lt;=2,"Poor","Neutral")))</f>
        <v>Good</v>
      </c>
      <c r="R938" s="11" t="str">
        <f aca="false">IF(AND(O938="Low",P938="Low",Q938="Good"),"BUY / PRIORITIZE",IF(AND(O938="High",P938="High",OR(Q938="Poor",M938=TRUE())),"HOLD / REVIEW","MONITOR"))</f>
        <v>BUY / PRIORITIZE</v>
      </c>
      <c r="S938" s="11" t="n">
        <f aca="false">K938+(ROW()/10000000)</f>
        <v>11.0000938</v>
      </c>
    </row>
    <row r="939" customFormat="false" ht="15" hidden="false" customHeight="false" outlineLevel="0" collapsed="false">
      <c r="A939" s="11" t="s">
        <v>1204</v>
      </c>
      <c r="B939" s="11" t="s">
        <v>8</v>
      </c>
      <c r="C939" s="11" t="s">
        <v>116</v>
      </c>
      <c r="D939" s="11" t="s">
        <v>37</v>
      </c>
      <c r="E939" s="11"/>
      <c r="F939" s="11" t="s">
        <v>118</v>
      </c>
      <c r="G939" s="21" t="n">
        <v>39.02</v>
      </c>
      <c r="H939" s="19" t="n">
        <v>44.8</v>
      </c>
      <c r="I939" s="21" t="n">
        <v>21.54</v>
      </c>
      <c r="J939" s="22" t="s">
        <v>80</v>
      </c>
      <c r="K939" s="11" t="n">
        <v>29</v>
      </c>
      <c r="L939" s="23" t="n">
        <v>3.4</v>
      </c>
      <c r="M939" s="24" t="b">
        <f aca="false">FALSE()</f>
        <v>0</v>
      </c>
      <c r="N939" s="11"/>
      <c r="O939" s="11" t="str">
        <f aca="false">IF(K939&lt;=StockP33,"Low",IF(K939&lt;=StockP67,"Moderate","High"))</f>
        <v>Moderate</v>
      </c>
      <c r="P939" s="11" t="str">
        <f aca="false">IF(H939=0,"Low",IF(H939&lt;=MarkdownP75,"Moderate","High"))</f>
        <v>High</v>
      </c>
      <c r="Q939" s="11" t="str">
        <f aca="false">IF(ISBLANK(L939),"Unknown",IF(L939&gt;=4,"Good",IF(L939&lt;=2,"Poor","Neutral")))</f>
        <v>Neutral</v>
      </c>
      <c r="R939" s="11" t="str">
        <f aca="false">IF(AND(O939="Low",P939="Low",Q939="Good"),"BUY / PRIORITIZE",IF(AND(O939="High",P939="High",OR(Q939="Poor",M939=TRUE())),"HOLD / REVIEW","MONITOR"))</f>
        <v>MONITOR</v>
      </c>
      <c r="S939" s="11" t="n">
        <f aca="false">K939+(ROW()/10000000)</f>
        <v>29.0000939</v>
      </c>
    </row>
    <row r="940" customFormat="false" ht="15" hidden="false" customHeight="false" outlineLevel="0" collapsed="false">
      <c r="A940" s="11" t="s">
        <v>1205</v>
      </c>
      <c r="B940" s="11" t="s">
        <v>30</v>
      </c>
      <c r="C940" s="11" t="s">
        <v>107</v>
      </c>
      <c r="D940" s="11" t="s">
        <v>34</v>
      </c>
      <c r="E940" s="11" t="s">
        <v>102</v>
      </c>
      <c r="F940" s="11" t="s">
        <v>120</v>
      </c>
      <c r="G940" s="21" t="n">
        <v>69.77</v>
      </c>
      <c r="H940" s="19" t="n">
        <v>0</v>
      </c>
      <c r="I940" s="21" t="n">
        <v>69.77</v>
      </c>
      <c r="J940" s="22" t="s">
        <v>1206</v>
      </c>
      <c r="K940" s="11" t="n">
        <v>29</v>
      </c>
      <c r="L940" s="23" t="n">
        <v>5</v>
      </c>
      <c r="M940" s="24" t="b">
        <f aca="false">FALSE()</f>
        <v>0</v>
      </c>
      <c r="N940" s="11"/>
      <c r="O940" s="11" t="str">
        <f aca="false">IF(K940&lt;=StockP33,"Low",IF(K940&lt;=StockP67,"Moderate","High"))</f>
        <v>Moderate</v>
      </c>
      <c r="P940" s="11" t="str">
        <f aca="false">IF(H940=0,"Low",IF(H940&lt;=MarkdownP75,"Moderate","High"))</f>
        <v>Low</v>
      </c>
      <c r="Q940" s="11" t="str">
        <f aca="false">IF(ISBLANK(L940),"Unknown",IF(L940&gt;=4,"Good",IF(L940&lt;=2,"Poor","Neutral")))</f>
        <v>Good</v>
      </c>
      <c r="R940" s="11" t="str">
        <f aca="false">IF(AND(O940="Low",P940="Low",Q940="Good"),"BUY / PRIORITIZE",IF(AND(O940="High",P940="High",OR(Q940="Poor",M940=TRUE())),"HOLD / REVIEW","MONITOR"))</f>
        <v>MONITOR</v>
      </c>
      <c r="S940" s="11" t="n">
        <f aca="false">K940+(ROW()/10000000)</f>
        <v>29.000094</v>
      </c>
    </row>
    <row r="941" customFormat="false" ht="15" hidden="false" customHeight="false" outlineLevel="0" collapsed="false">
      <c r="A941" s="11" t="s">
        <v>1207</v>
      </c>
      <c r="B941" s="11" t="s">
        <v>27</v>
      </c>
      <c r="C941" s="11" t="s">
        <v>101</v>
      </c>
      <c r="D941" s="11" t="s">
        <v>34</v>
      </c>
      <c r="E941" s="11" t="s">
        <v>113</v>
      </c>
      <c r="F941" s="11" t="s">
        <v>120</v>
      </c>
      <c r="G941" s="21" t="n">
        <v>124.92</v>
      </c>
      <c r="H941" s="19" t="n">
        <v>48.4</v>
      </c>
      <c r="I941" s="21" t="n">
        <v>64.46</v>
      </c>
      <c r="J941" s="22" t="s">
        <v>164</v>
      </c>
      <c r="K941" s="11" t="n">
        <v>22</v>
      </c>
      <c r="L941" s="23" t="n">
        <v>3.2</v>
      </c>
      <c r="M941" s="24" t="b">
        <f aca="false">FALSE()</f>
        <v>0</v>
      </c>
      <c r="N941" s="11"/>
      <c r="O941" s="11" t="str">
        <f aca="false">IF(K941&lt;=StockP33,"Low",IF(K941&lt;=StockP67,"Moderate","High"))</f>
        <v>Moderate</v>
      </c>
      <c r="P941" s="11" t="str">
        <f aca="false">IF(H941=0,"Low",IF(H941&lt;=MarkdownP75,"Moderate","High"))</f>
        <v>High</v>
      </c>
      <c r="Q941" s="11" t="str">
        <f aca="false">IF(ISBLANK(L941),"Unknown",IF(L941&gt;=4,"Good",IF(L941&lt;=2,"Poor","Neutral")))</f>
        <v>Neutral</v>
      </c>
      <c r="R941" s="11" t="str">
        <f aca="false">IF(AND(O941="Low",P941="Low",Q941="Good"),"BUY / PRIORITIZE",IF(AND(O941="High",P941="High",OR(Q941="Poor",M941=TRUE())),"HOLD / REVIEW","MONITOR"))</f>
        <v>MONITOR</v>
      </c>
      <c r="S941" s="11" t="n">
        <f aca="false">K941+(ROW()/10000000)</f>
        <v>22.0000941</v>
      </c>
    </row>
    <row r="942" customFormat="false" ht="15" hidden="false" customHeight="false" outlineLevel="0" collapsed="false">
      <c r="A942" s="11" t="s">
        <v>1208</v>
      </c>
      <c r="B942" s="11" t="s">
        <v>27</v>
      </c>
      <c r="C942" s="11" t="s">
        <v>86</v>
      </c>
      <c r="D942" s="11" t="s">
        <v>35</v>
      </c>
      <c r="E942" s="11"/>
      <c r="F942" s="11" t="s">
        <v>120</v>
      </c>
      <c r="G942" s="21" t="n">
        <v>83.92</v>
      </c>
      <c r="H942" s="19" t="n">
        <v>29.4</v>
      </c>
      <c r="I942" s="21" t="n">
        <v>59.25</v>
      </c>
      <c r="J942" s="22" t="s">
        <v>80</v>
      </c>
      <c r="K942" s="11" t="n">
        <v>20</v>
      </c>
      <c r="L942" s="23" t="n">
        <v>2.1</v>
      </c>
      <c r="M942" s="24" t="b">
        <f aca="false">TRUE()</f>
        <v>1</v>
      </c>
      <c r="N942" s="11" t="s">
        <v>140</v>
      </c>
      <c r="O942" s="11" t="str">
        <f aca="false">IF(K942&lt;=StockP33,"Low",IF(K942&lt;=StockP67,"Moderate","High"))</f>
        <v>Moderate</v>
      </c>
      <c r="P942" s="11" t="str">
        <f aca="false">IF(H942=0,"Low",IF(H942&lt;=MarkdownP75,"Moderate","High"))</f>
        <v>High</v>
      </c>
      <c r="Q942" s="11" t="str">
        <f aca="false">IF(ISBLANK(L942),"Unknown",IF(L942&gt;=4,"Good",IF(L942&lt;=2,"Poor","Neutral")))</f>
        <v>Neutral</v>
      </c>
      <c r="R942" s="11" t="str">
        <f aca="false">IF(AND(O942="Low",P942="Low",Q942="Good"),"BUY / PRIORITIZE",IF(AND(O942="High",P942="High",OR(Q942="Poor",M942=TRUE())),"HOLD / REVIEW","MONITOR"))</f>
        <v>MONITOR</v>
      </c>
      <c r="S942" s="11" t="n">
        <f aca="false">K942+(ROW()/10000000)</f>
        <v>20.0000942</v>
      </c>
    </row>
    <row r="943" customFormat="false" ht="15" hidden="false" customHeight="false" outlineLevel="0" collapsed="false">
      <c r="A943" s="11" t="s">
        <v>1209</v>
      </c>
      <c r="B943" s="11" t="s">
        <v>28</v>
      </c>
      <c r="C943" s="11" t="s">
        <v>130</v>
      </c>
      <c r="D943" s="11" t="s">
        <v>36</v>
      </c>
      <c r="E943" s="11" t="s">
        <v>110</v>
      </c>
      <c r="F943" s="11" t="s">
        <v>111</v>
      </c>
      <c r="G943" s="21" t="n">
        <v>180.91</v>
      </c>
      <c r="H943" s="19" t="n">
        <v>0</v>
      </c>
      <c r="I943" s="21" t="n">
        <v>180.91</v>
      </c>
      <c r="J943" s="22" t="s">
        <v>80</v>
      </c>
      <c r="K943" s="11" t="n">
        <v>10</v>
      </c>
      <c r="L943" s="23" t="n">
        <v>3.8</v>
      </c>
      <c r="M943" s="24" t="b">
        <f aca="false">FALSE()</f>
        <v>0</v>
      </c>
      <c r="N943" s="11"/>
      <c r="O943" s="11" t="str">
        <f aca="false">IF(K943&lt;=StockP33,"Low",IF(K943&lt;=StockP67,"Moderate","High"))</f>
        <v>Low</v>
      </c>
      <c r="P943" s="11" t="str">
        <f aca="false">IF(H943=0,"Low",IF(H943&lt;=MarkdownP75,"Moderate","High"))</f>
        <v>Low</v>
      </c>
      <c r="Q943" s="11" t="str">
        <f aca="false">IF(ISBLANK(L943),"Unknown",IF(L943&gt;=4,"Good",IF(L943&lt;=2,"Poor","Neutral")))</f>
        <v>Neutral</v>
      </c>
      <c r="R943" s="11" t="str">
        <f aca="false">IF(AND(O943="Low",P943="Low",Q943="Good"),"BUY / PRIORITIZE",IF(AND(O943="High",P943="High",OR(Q943="Poor",M943=TRUE())),"HOLD / REVIEW","MONITOR"))</f>
        <v>MONITOR</v>
      </c>
      <c r="S943" s="11" t="n">
        <f aca="false">K943+(ROW()/10000000)</f>
        <v>10.0000943</v>
      </c>
    </row>
    <row r="944" customFormat="false" ht="15" hidden="false" customHeight="false" outlineLevel="0" collapsed="false">
      <c r="A944" s="11" t="s">
        <v>1210</v>
      </c>
      <c r="B944" s="11" t="s">
        <v>29</v>
      </c>
      <c r="C944" s="11" t="s">
        <v>130</v>
      </c>
      <c r="D944" s="11" t="s">
        <v>34</v>
      </c>
      <c r="E944" s="11" t="s">
        <v>102</v>
      </c>
      <c r="F944" s="11" t="s">
        <v>124</v>
      </c>
      <c r="G944" s="21" t="n">
        <v>120.11</v>
      </c>
      <c r="H944" s="19" t="n">
        <v>0</v>
      </c>
      <c r="I944" s="21" t="n">
        <v>120.11</v>
      </c>
      <c r="J944" s="22" t="s">
        <v>1211</v>
      </c>
      <c r="K944" s="11" t="n">
        <v>27</v>
      </c>
      <c r="L944" s="23" t="n">
        <v>4.1</v>
      </c>
      <c r="M944" s="24" t="b">
        <f aca="false">FALSE()</f>
        <v>0</v>
      </c>
      <c r="N944" s="11"/>
      <c r="O944" s="11" t="str">
        <f aca="false">IF(K944&lt;=StockP33,"Low",IF(K944&lt;=StockP67,"Moderate","High"))</f>
        <v>Moderate</v>
      </c>
      <c r="P944" s="11" t="str">
        <f aca="false">IF(H944=0,"Low",IF(H944&lt;=MarkdownP75,"Moderate","High"))</f>
        <v>Low</v>
      </c>
      <c r="Q944" s="11" t="str">
        <f aca="false">IF(ISBLANK(L944),"Unknown",IF(L944&gt;=4,"Good",IF(L944&lt;=2,"Poor","Neutral")))</f>
        <v>Good</v>
      </c>
      <c r="R944" s="11" t="str">
        <f aca="false">IF(AND(O944="Low",P944="Low",Q944="Good"),"BUY / PRIORITIZE",IF(AND(O944="High",P944="High",OR(Q944="Poor",M944=TRUE())),"HOLD / REVIEW","MONITOR"))</f>
        <v>MONITOR</v>
      </c>
      <c r="S944" s="11" t="n">
        <f aca="false">K944+(ROW()/10000000)</f>
        <v>27.0000944</v>
      </c>
    </row>
    <row r="945" customFormat="false" ht="15" hidden="false" customHeight="false" outlineLevel="0" collapsed="false">
      <c r="A945" s="11" t="s">
        <v>1212</v>
      </c>
      <c r="B945" s="11" t="s">
        <v>28</v>
      </c>
      <c r="C945" s="11" t="s">
        <v>130</v>
      </c>
      <c r="D945" s="11" t="s">
        <v>35</v>
      </c>
      <c r="E945" s="11" t="s">
        <v>73</v>
      </c>
      <c r="F945" s="11" t="s">
        <v>74</v>
      </c>
      <c r="G945" s="21" t="n">
        <v>225.01</v>
      </c>
      <c r="H945" s="19" t="n">
        <v>0</v>
      </c>
      <c r="I945" s="21" t="n">
        <v>225.01</v>
      </c>
      <c r="J945" s="22" t="s">
        <v>80</v>
      </c>
      <c r="K945" s="11" t="n">
        <v>50</v>
      </c>
      <c r="L945" s="23" t="n">
        <v>1.9</v>
      </c>
      <c r="M945" s="24" t="b">
        <f aca="false">TRUE()</f>
        <v>1</v>
      </c>
      <c r="N945" s="11" t="s">
        <v>128</v>
      </c>
      <c r="O945" s="11" t="str">
        <f aca="false">IF(K945&lt;=StockP33,"Low",IF(K945&lt;=StockP67,"Moderate","High"))</f>
        <v>High</v>
      </c>
      <c r="P945" s="11" t="str">
        <f aca="false">IF(H945=0,"Low",IF(H945&lt;=MarkdownP75,"Moderate","High"))</f>
        <v>Low</v>
      </c>
      <c r="Q945" s="11" t="str">
        <f aca="false">IF(ISBLANK(L945),"Unknown",IF(L945&gt;=4,"Good",IF(L945&lt;=2,"Poor","Neutral")))</f>
        <v>Poor</v>
      </c>
      <c r="R945" s="11" t="str">
        <f aca="false">IF(AND(O945="Low",P945="Low",Q945="Good"),"BUY / PRIORITIZE",IF(AND(O945="High",P945="High",OR(Q945="Poor",M945=TRUE())),"HOLD / REVIEW","MONITOR"))</f>
        <v>MONITOR</v>
      </c>
      <c r="S945" s="11" t="n">
        <f aca="false">K945+(ROW()/10000000)</f>
        <v>50.0000945</v>
      </c>
    </row>
    <row r="946" customFormat="false" ht="15" hidden="false" customHeight="false" outlineLevel="0" collapsed="false">
      <c r="A946" s="11" t="s">
        <v>1213</v>
      </c>
      <c r="B946" s="11" t="s">
        <v>27</v>
      </c>
      <c r="C946" s="11" t="s">
        <v>95</v>
      </c>
      <c r="D946" s="11" t="s">
        <v>35</v>
      </c>
      <c r="E946" s="11" t="s">
        <v>78</v>
      </c>
      <c r="F946" s="11" t="s">
        <v>98</v>
      </c>
      <c r="G946" s="21" t="n">
        <v>115.57</v>
      </c>
      <c r="H946" s="19" t="n">
        <v>0</v>
      </c>
      <c r="I946" s="21" t="n">
        <v>115.57</v>
      </c>
      <c r="J946" s="22" t="s">
        <v>80</v>
      </c>
      <c r="K946" s="11" t="n">
        <v>32</v>
      </c>
      <c r="L946" s="23" t="n">
        <v>3</v>
      </c>
      <c r="M946" s="24" t="b">
        <f aca="false">FALSE()</f>
        <v>0</v>
      </c>
      <c r="N946" s="11"/>
      <c r="O946" s="11" t="str">
        <f aca="false">IF(K946&lt;=StockP33,"Low",IF(K946&lt;=StockP67,"Moderate","High"))</f>
        <v>Moderate</v>
      </c>
      <c r="P946" s="11" t="str">
        <f aca="false">IF(H946=0,"Low",IF(H946&lt;=MarkdownP75,"Moderate","High"))</f>
        <v>Low</v>
      </c>
      <c r="Q946" s="11" t="str">
        <f aca="false">IF(ISBLANK(L946),"Unknown",IF(L946&gt;=4,"Good",IF(L946&lt;=2,"Poor","Neutral")))</f>
        <v>Neutral</v>
      </c>
      <c r="R946" s="11" t="str">
        <f aca="false">IF(AND(O946="Low",P946="Low",Q946="Good"),"BUY / PRIORITIZE",IF(AND(O946="High",P946="High",OR(Q946="Poor",M946=TRUE())),"HOLD / REVIEW","MONITOR"))</f>
        <v>MONITOR</v>
      </c>
      <c r="S946" s="11" t="n">
        <f aca="false">K946+(ROW()/10000000)</f>
        <v>32.0000946</v>
      </c>
    </row>
    <row r="947" customFormat="false" ht="15" hidden="false" customHeight="false" outlineLevel="0" collapsed="false">
      <c r="A947" s="11" t="s">
        <v>1214</v>
      </c>
      <c r="B947" s="11" t="s">
        <v>8</v>
      </c>
      <c r="C947" s="11" t="s">
        <v>116</v>
      </c>
      <c r="D947" s="11" t="s">
        <v>36</v>
      </c>
      <c r="E947" s="11"/>
      <c r="F947" s="11" t="s">
        <v>96</v>
      </c>
      <c r="G947" s="21" t="n">
        <v>21.2</v>
      </c>
      <c r="H947" s="19" t="n">
        <v>19</v>
      </c>
      <c r="I947" s="21" t="n">
        <v>17.17</v>
      </c>
      <c r="J947" s="22" t="s">
        <v>80</v>
      </c>
      <c r="K947" s="11" t="n">
        <v>22</v>
      </c>
      <c r="L947" s="23" t="n">
        <v>1.3</v>
      </c>
      <c r="M947" s="24" t="b">
        <f aca="false">FALSE()</f>
        <v>0</v>
      </c>
      <c r="N947" s="11"/>
      <c r="O947" s="11" t="str">
        <f aca="false">IF(K947&lt;=StockP33,"Low",IF(K947&lt;=StockP67,"Moderate","High"))</f>
        <v>Moderate</v>
      </c>
      <c r="P947" s="11" t="str">
        <f aca="false">IF(H947=0,"Low",IF(H947&lt;=MarkdownP75,"Moderate","High"))</f>
        <v>Moderate</v>
      </c>
      <c r="Q947" s="11" t="str">
        <f aca="false">IF(ISBLANK(L947),"Unknown",IF(L947&gt;=4,"Good",IF(L947&lt;=2,"Poor","Neutral")))</f>
        <v>Poor</v>
      </c>
      <c r="R947" s="11" t="str">
        <f aca="false">IF(AND(O947="Low",P947="Low",Q947="Good"),"BUY / PRIORITIZE",IF(AND(O947="High",P947="High",OR(Q947="Poor",M947=TRUE())),"HOLD / REVIEW","MONITOR"))</f>
        <v>MONITOR</v>
      </c>
      <c r="S947" s="11" t="n">
        <f aca="false">K947+(ROW()/10000000)</f>
        <v>22.0000947</v>
      </c>
    </row>
    <row r="948" customFormat="false" ht="15" hidden="false" customHeight="false" outlineLevel="0" collapsed="false">
      <c r="A948" s="11" t="s">
        <v>1215</v>
      </c>
      <c r="B948" s="11" t="s">
        <v>26</v>
      </c>
      <c r="C948" s="11" t="s">
        <v>72</v>
      </c>
      <c r="D948" s="11" t="s">
        <v>34</v>
      </c>
      <c r="E948" s="11" t="s">
        <v>102</v>
      </c>
      <c r="F948" s="11" t="s">
        <v>82</v>
      </c>
      <c r="G948" s="21" t="n">
        <v>52.36</v>
      </c>
      <c r="H948" s="19" t="n">
        <v>0</v>
      </c>
      <c r="I948" s="21" t="n">
        <v>52.36</v>
      </c>
      <c r="J948" s="22" t="s">
        <v>1216</v>
      </c>
      <c r="K948" s="11" t="n">
        <v>35</v>
      </c>
      <c r="L948" s="23"/>
      <c r="M948" s="24" t="b">
        <f aca="false">FALSE()</f>
        <v>0</v>
      </c>
      <c r="N948" s="11"/>
      <c r="O948" s="11" t="str">
        <f aca="false">IF(K948&lt;=StockP33,"Low",IF(K948&lt;=StockP67,"Moderate","High"))</f>
        <v>High</v>
      </c>
      <c r="P948" s="11" t="str">
        <f aca="false">IF(H948=0,"Low",IF(H948&lt;=MarkdownP75,"Moderate","High"))</f>
        <v>Low</v>
      </c>
      <c r="Q948" s="11" t="str">
        <f aca="false">IF(ISBLANK(L948),"Unknown",IF(L948&gt;=4,"Good",IF(L948&lt;=2,"Poor","Neutral")))</f>
        <v>Unknown</v>
      </c>
      <c r="R948" s="11" t="str">
        <f aca="false">IF(AND(O948="Low",P948="Low",Q948="Good"),"BUY / PRIORITIZE",IF(AND(O948="High",P948="High",OR(Q948="Poor",M948=TRUE())),"HOLD / REVIEW","MONITOR"))</f>
        <v>MONITOR</v>
      </c>
      <c r="S948" s="11" t="n">
        <f aca="false">K948+(ROW()/10000000)</f>
        <v>35.0000948</v>
      </c>
    </row>
    <row r="949" customFormat="false" ht="15" hidden="false" customHeight="false" outlineLevel="0" collapsed="false">
      <c r="A949" s="11" t="s">
        <v>1217</v>
      </c>
      <c r="B949" s="11" t="s">
        <v>8</v>
      </c>
      <c r="C949" s="11" t="s">
        <v>107</v>
      </c>
      <c r="D949" s="11" t="s">
        <v>36</v>
      </c>
      <c r="E949" s="11"/>
      <c r="F949" s="11" t="s">
        <v>92</v>
      </c>
      <c r="G949" s="21" t="n">
        <v>73.43</v>
      </c>
      <c r="H949" s="19" t="n">
        <v>0</v>
      </c>
      <c r="I949" s="21" t="n">
        <v>73.43</v>
      </c>
      <c r="J949" s="22" t="s">
        <v>80</v>
      </c>
      <c r="K949" s="11" t="n">
        <v>22</v>
      </c>
      <c r="L949" s="23" t="n">
        <v>2.3</v>
      </c>
      <c r="M949" s="24" t="b">
        <f aca="false">FALSE()</f>
        <v>0</v>
      </c>
      <c r="N949" s="11"/>
      <c r="O949" s="11" t="str">
        <f aca="false">IF(K949&lt;=StockP33,"Low",IF(K949&lt;=StockP67,"Moderate","High"))</f>
        <v>Moderate</v>
      </c>
      <c r="P949" s="11" t="str">
        <f aca="false">IF(H949=0,"Low",IF(H949&lt;=MarkdownP75,"Moderate","High"))</f>
        <v>Low</v>
      </c>
      <c r="Q949" s="11" t="str">
        <f aca="false">IF(ISBLANK(L949),"Unknown",IF(L949&gt;=4,"Good",IF(L949&lt;=2,"Poor","Neutral")))</f>
        <v>Neutral</v>
      </c>
      <c r="R949" s="11" t="str">
        <f aca="false">IF(AND(O949="Low",P949="Low",Q949="Good"),"BUY / PRIORITIZE",IF(AND(O949="High",P949="High",OR(Q949="Poor",M949=TRUE())),"HOLD / REVIEW","MONITOR"))</f>
        <v>MONITOR</v>
      </c>
      <c r="S949" s="11" t="n">
        <f aca="false">K949+(ROW()/10000000)</f>
        <v>22.0000949</v>
      </c>
    </row>
    <row r="950" customFormat="false" ht="15" hidden="false" customHeight="false" outlineLevel="0" collapsed="false">
      <c r="A950" s="11" t="s">
        <v>1218</v>
      </c>
      <c r="B950" s="11" t="s">
        <v>8</v>
      </c>
      <c r="C950" s="11" t="s">
        <v>107</v>
      </c>
      <c r="D950" s="11" t="s">
        <v>34</v>
      </c>
      <c r="E950" s="11"/>
      <c r="F950" s="11" t="s">
        <v>120</v>
      </c>
      <c r="G950" s="21" t="n">
        <v>70.75</v>
      </c>
      <c r="H950" s="19" t="n">
        <v>0</v>
      </c>
      <c r="I950" s="21" t="n">
        <v>70.75</v>
      </c>
      <c r="J950" s="22" t="s">
        <v>1219</v>
      </c>
      <c r="K950" s="11" t="n">
        <v>0</v>
      </c>
      <c r="L950" s="23" t="n">
        <v>1.4</v>
      </c>
      <c r="M950" s="24" t="b">
        <f aca="false">FALSE()</f>
        <v>0</v>
      </c>
      <c r="N950" s="11"/>
      <c r="O950" s="11" t="str">
        <f aca="false">IF(K950&lt;=StockP33,"Low",IF(K950&lt;=StockP67,"Moderate","High"))</f>
        <v>Low</v>
      </c>
      <c r="P950" s="11" t="str">
        <f aca="false">IF(H950=0,"Low",IF(H950&lt;=MarkdownP75,"Moderate","High"))</f>
        <v>Low</v>
      </c>
      <c r="Q950" s="11" t="str">
        <f aca="false">IF(ISBLANK(L950),"Unknown",IF(L950&gt;=4,"Good",IF(L950&lt;=2,"Poor","Neutral")))</f>
        <v>Poor</v>
      </c>
      <c r="R950" s="11" t="str">
        <f aca="false">IF(AND(O950="Low",P950="Low",Q950="Good"),"BUY / PRIORITIZE",IF(AND(O950="High",P950="High",OR(Q950="Poor",M950=TRUE())),"HOLD / REVIEW","MONITOR"))</f>
        <v>MONITOR</v>
      </c>
      <c r="S950" s="11" t="n">
        <f aca="false">K950+(ROW()/10000000)</f>
        <v>9.5E-005</v>
      </c>
    </row>
    <row r="951" customFormat="false" ht="15" hidden="false" customHeight="false" outlineLevel="0" collapsed="false">
      <c r="A951" s="11" t="s">
        <v>1220</v>
      </c>
      <c r="B951" s="11" t="s">
        <v>8</v>
      </c>
      <c r="C951" s="11" t="s">
        <v>116</v>
      </c>
      <c r="D951" s="11" t="s">
        <v>36</v>
      </c>
      <c r="E951" s="11"/>
      <c r="F951" s="11" t="s">
        <v>88</v>
      </c>
      <c r="G951" s="21" t="n">
        <v>58.9</v>
      </c>
      <c r="H951" s="19" t="n">
        <v>0</v>
      </c>
      <c r="I951" s="21" t="n">
        <v>58.9</v>
      </c>
      <c r="J951" s="22" t="s">
        <v>80</v>
      </c>
      <c r="K951" s="11" t="n">
        <v>39</v>
      </c>
      <c r="L951" s="23" t="n">
        <v>4</v>
      </c>
      <c r="M951" s="24" t="b">
        <f aca="false">FALSE()</f>
        <v>0</v>
      </c>
      <c r="N951" s="11"/>
      <c r="O951" s="11" t="str">
        <f aca="false">IF(K951&lt;=StockP33,"Low",IF(K951&lt;=StockP67,"Moderate","High"))</f>
        <v>High</v>
      </c>
      <c r="P951" s="11" t="str">
        <f aca="false">IF(H951=0,"Low",IF(H951&lt;=MarkdownP75,"Moderate","High"))</f>
        <v>Low</v>
      </c>
      <c r="Q951" s="11" t="str">
        <f aca="false">IF(ISBLANK(L951),"Unknown",IF(L951&gt;=4,"Good",IF(L951&lt;=2,"Poor","Neutral")))</f>
        <v>Good</v>
      </c>
      <c r="R951" s="11" t="str">
        <f aca="false">IF(AND(O951="Low",P951="Low",Q951="Good"),"BUY / PRIORITIZE",IF(AND(O951="High",P951="High",OR(Q951="Poor",M951=TRUE())),"HOLD / REVIEW","MONITOR"))</f>
        <v>MONITOR</v>
      </c>
      <c r="S951" s="11" t="n">
        <f aca="false">K951+(ROW()/10000000)</f>
        <v>39.0000951</v>
      </c>
    </row>
    <row r="952" customFormat="false" ht="15" hidden="false" customHeight="false" outlineLevel="0" collapsed="false">
      <c r="A952" s="11" t="s">
        <v>1221</v>
      </c>
      <c r="B952" s="11" t="s">
        <v>28</v>
      </c>
      <c r="C952" s="11" t="s">
        <v>130</v>
      </c>
      <c r="D952" s="11" t="s">
        <v>37</v>
      </c>
      <c r="E952" s="11" t="s">
        <v>78</v>
      </c>
      <c r="F952" s="11" t="s">
        <v>120</v>
      </c>
      <c r="G952" s="21" t="n">
        <v>104.78</v>
      </c>
      <c r="H952" s="19" t="n">
        <v>16.9</v>
      </c>
      <c r="I952" s="21" t="n">
        <v>87.07</v>
      </c>
      <c r="J952" s="22" t="s">
        <v>80</v>
      </c>
      <c r="K952" s="11" t="n">
        <v>43</v>
      </c>
      <c r="L952" s="23" t="n">
        <v>4.3</v>
      </c>
      <c r="M952" s="24" t="b">
        <f aca="false">FALSE()</f>
        <v>0</v>
      </c>
      <c r="N952" s="11"/>
      <c r="O952" s="11" t="str">
        <f aca="false">IF(K952&lt;=StockP33,"Low",IF(K952&lt;=StockP67,"Moderate","High"))</f>
        <v>High</v>
      </c>
      <c r="P952" s="11" t="str">
        <f aca="false">IF(H952=0,"Low",IF(H952&lt;=MarkdownP75,"Moderate","High"))</f>
        <v>Moderate</v>
      </c>
      <c r="Q952" s="11" t="str">
        <f aca="false">IF(ISBLANK(L952),"Unknown",IF(L952&gt;=4,"Good",IF(L952&lt;=2,"Poor","Neutral")))</f>
        <v>Good</v>
      </c>
      <c r="R952" s="11" t="str">
        <f aca="false">IF(AND(O952="Low",P952="Low",Q952="Good"),"BUY / PRIORITIZE",IF(AND(O952="High",P952="High",OR(Q952="Poor",M952=TRUE())),"HOLD / REVIEW","MONITOR"))</f>
        <v>MONITOR</v>
      </c>
      <c r="S952" s="11" t="n">
        <f aca="false">K952+(ROW()/10000000)</f>
        <v>43.0000952</v>
      </c>
    </row>
    <row r="953" customFormat="false" ht="15" hidden="false" customHeight="false" outlineLevel="0" collapsed="false">
      <c r="A953" s="11" t="s">
        <v>1222</v>
      </c>
      <c r="B953" s="11" t="s">
        <v>8</v>
      </c>
      <c r="C953" s="11" t="s">
        <v>130</v>
      </c>
      <c r="D953" s="11" t="s">
        <v>36</v>
      </c>
      <c r="E953" s="11"/>
      <c r="F953" s="11" t="s">
        <v>96</v>
      </c>
      <c r="G953" s="21" t="n">
        <v>55.3</v>
      </c>
      <c r="H953" s="19" t="n">
        <v>0</v>
      </c>
      <c r="I953" s="21" t="n">
        <v>55.3</v>
      </c>
      <c r="J953" s="22" t="s">
        <v>80</v>
      </c>
      <c r="K953" s="11" t="n">
        <v>17</v>
      </c>
      <c r="L953" s="23" t="n">
        <v>2.5</v>
      </c>
      <c r="M953" s="24" t="b">
        <f aca="false">FALSE()</f>
        <v>0</v>
      </c>
      <c r="N953" s="11"/>
      <c r="O953" s="11" t="str">
        <f aca="false">IF(K953&lt;=StockP33,"Low",IF(K953&lt;=StockP67,"Moderate","High"))</f>
        <v>Low</v>
      </c>
      <c r="P953" s="11" t="str">
        <f aca="false">IF(H953=0,"Low",IF(H953&lt;=MarkdownP75,"Moderate","High"))</f>
        <v>Low</v>
      </c>
      <c r="Q953" s="11" t="str">
        <f aca="false">IF(ISBLANK(L953),"Unknown",IF(L953&gt;=4,"Good",IF(L953&lt;=2,"Poor","Neutral")))</f>
        <v>Neutral</v>
      </c>
      <c r="R953" s="11" t="str">
        <f aca="false">IF(AND(O953="Low",P953="Low",Q953="Good"),"BUY / PRIORITIZE",IF(AND(O953="High",P953="High",OR(Q953="Poor",M953=TRUE())),"HOLD / REVIEW","MONITOR"))</f>
        <v>MONITOR</v>
      </c>
      <c r="S953" s="11" t="n">
        <f aca="false">K953+(ROW()/10000000)</f>
        <v>17.0000953</v>
      </c>
    </row>
    <row r="954" customFormat="false" ht="15" hidden="false" customHeight="false" outlineLevel="0" collapsed="false">
      <c r="A954" s="11" t="s">
        <v>1223</v>
      </c>
      <c r="B954" s="11" t="s">
        <v>26</v>
      </c>
      <c r="C954" s="11" t="s">
        <v>116</v>
      </c>
      <c r="D954" s="11" t="s">
        <v>35</v>
      </c>
      <c r="E954" s="11" t="s">
        <v>110</v>
      </c>
      <c r="F954" s="11" t="s">
        <v>82</v>
      </c>
      <c r="G954" s="21" t="n">
        <v>56.65</v>
      </c>
      <c r="H954" s="19" t="n">
        <v>34</v>
      </c>
      <c r="I954" s="21" t="n">
        <v>37.39</v>
      </c>
      <c r="J954" s="22" t="s">
        <v>80</v>
      </c>
      <c r="K954" s="11" t="n">
        <v>23</v>
      </c>
      <c r="L954" s="23" t="n">
        <v>4.3</v>
      </c>
      <c r="M954" s="24" t="b">
        <f aca="false">FALSE()</f>
        <v>0</v>
      </c>
      <c r="N954" s="11"/>
      <c r="O954" s="11" t="str">
        <f aca="false">IF(K954&lt;=StockP33,"Low",IF(K954&lt;=StockP67,"Moderate","High"))</f>
        <v>Moderate</v>
      </c>
      <c r="P954" s="11" t="str">
        <f aca="false">IF(H954=0,"Low",IF(H954&lt;=MarkdownP75,"Moderate","High"))</f>
        <v>High</v>
      </c>
      <c r="Q954" s="11" t="str">
        <f aca="false">IF(ISBLANK(L954),"Unknown",IF(L954&gt;=4,"Good",IF(L954&lt;=2,"Poor","Neutral")))</f>
        <v>Good</v>
      </c>
      <c r="R954" s="11" t="str">
        <f aca="false">IF(AND(O954="Low",P954="Low",Q954="Good"),"BUY / PRIORITIZE",IF(AND(O954="High",P954="High",OR(Q954="Poor",M954=TRUE())),"HOLD / REVIEW","MONITOR"))</f>
        <v>MONITOR</v>
      </c>
      <c r="S954" s="11" t="n">
        <f aca="false">K954+(ROW()/10000000)</f>
        <v>23.0000954</v>
      </c>
    </row>
    <row r="955" customFormat="false" ht="15" hidden="false" customHeight="false" outlineLevel="0" collapsed="false">
      <c r="A955" s="11" t="s">
        <v>1224</v>
      </c>
      <c r="B955" s="11" t="s">
        <v>29</v>
      </c>
      <c r="C955" s="11" t="s">
        <v>77</v>
      </c>
      <c r="D955" s="11" t="s">
        <v>36</v>
      </c>
      <c r="E955" s="11" t="s">
        <v>110</v>
      </c>
      <c r="F955" s="11" t="s">
        <v>79</v>
      </c>
      <c r="G955" s="21" t="n">
        <v>199.14</v>
      </c>
      <c r="H955" s="19" t="n">
        <v>0</v>
      </c>
      <c r="I955" s="21" t="n">
        <v>199.14</v>
      </c>
      <c r="J955" s="22" t="s">
        <v>80</v>
      </c>
      <c r="K955" s="11" t="n">
        <v>18</v>
      </c>
      <c r="L955" s="23"/>
      <c r="M955" s="24" t="b">
        <f aca="false">FALSE()</f>
        <v>0</v>
      </c>
      <c r="N955" s="11"/>
      <c r="O955" s="11" t="str">
        <f aca="false">IF(K955&lt;=StockP33,"Low",IF(K955&lt;=StockP67,"Moderate","High"))</f>
        <v>Moderate</v>
      </c>
      <c r="P955" s="11" t="str">
        <f aca="false">IF(H955=0,"Low",IF(H955&lt;=MarkdownP75,"Moderate","High"))</f>
        <v>Low</v>
      </c>
      <c r="Q955" s="11" t="str">
        <f aca="false">IF(ISBLANK(L955),"Unknown",IF(L955&gt;=4,"Good",IF(L955&lt;=2,"Poor","Neutral")))</f>
        <v>Unknown</v>
      </c>
      <c r="R955" s="11" t="str">
        <f aca="false">IF(AND(O955="Low",P955="Low",Q955="Good"),"BUY / PRIORITIZE",IF(AND(O955="High",P955="High",OR(Q955="Poor",M955=TRUE())),"HOLD / REVIEW","MONITOR"))</f>
        <v>MONITOR</v>
      </c>
      <c r="S955" s="11" t="n">
        <f aca="false">K955+(ROW()/10000000)</f>
        <v>18.0000955</v>
      </c>
    </row>
    <row r="956" customFormat="false" ht="15" hidden="false" customHeight="false" outlineLevel="0" collapsed="false">
      <c r="A956" s="11" t="s">
        <v>1225</v>
      </c>
      <c r="B956" s="11" t="s">
        <v>29</v>
      </c>
      <c r="C956" s="11" t="s">
        <v>72</v>
      </c>
      <c r="D956" s="11" t="s">
        <v>36</v>
      </c>
      <c r="E956" s="11" t="s">
        <v>113</v>
      </c>
      <c r="F956" s="11" t="s">
        <v>79</v>
      </c>
      <c r="G956" s="21" t="n">
        <v>128.68</v>
      </c>
      <c r="H956" s="19" t="n">
        <v>0</v>
      </c>
      <c r="I956" s="21" t="n">
        <v>128.68</v>
      </c>
      <c r="J956" s="22" t="s">
        <v>80</v>
      </c>
      <c r="K956" s="11" t="n">
        <v>8</v>
      </c>
      <c r="L956" s="23" t="n">
        <v>2.2</v>
      </c>
      <c r="M956" s="24" t="b">
        <f aca="false">FALSE()</f>
        <v>0</v>
      </c>
      <c r="N956" s="11"/>
      <c r="O956" s="11" t="str">
        <f aca="false">IF(K956&lt;=StockP33,"Low",IF(K956&lt;=StockP67,"Moderate","High"))</f>
        <v>Low</v>
      </c>
      <c r="P956" s="11" t="str">
        <f aca="false">IF(H956=0,"Low",IF(H956&lt;=MarkdownP75,"Moderate","High"))</f>
        <v>Low</v>
      </c>
      <c r="Q956" s="11" t="str">
        <f aca="false">IF(ISBLANK(L956),"Unknown",IF(L956&gt;=4,"Good",IF(L956&lt;=2,"Poor","Neutral")))</f>
        <v>Neutral</v>
      </c>
      <c r="R956" s="11" t="str">
        <f aca="false">IF(AND(O956="Low",P956="Low",Q956="Good"),"BUY / PRIORITIZE",IF(AND(O956="High",P956="High",OR(Q956="Poor",M956=TRUE())),"HOLD / REVIEW","MONITOR"))</f>
        <v>MONITOR</v>
      </c>
      <c r="S956" s="11" t="n">
        <f aca="false">K956+(ROW()/10000000)</f>
        <v>8.0000956</v>
      </c>
    </row>
    <row r="957" customFormat="false" ht="15" hidden="false" customHeight="false" outlineLevel="0" collapsed="false">
      <c r="A957" s="11" t="s">
        <v>1226</v>
      </c>
      <c r="B957" s="11" t="s">
        <v>28</v>
      </c>
      <c r="C957" s="11" t="s">
        <v>77</v>
      </c>
      <c r="D957" s="11" t="s">
        <v>36</v>
      </c>
      <c r="E957" s="11" t="s">
        <v>73</v>
      </c>
      <c r="F957" s="11" t="s">
        <v>111</v>
      </c>
      <c r="G957" s="21" t="n">
        <v>150.37</v>
      </c>
      <c r="H957" s="19" t="n">
        <v>51.9</v>
      </c>
      <c r="I957" s="21" t="n">
        <v>72.33</v>
      </c>
      <c r="J957" s="22" t="s">
        <v>80</v>
      </c>
      <c r="K957" s="11" t="n">
        <v>15</v>
      </c>
      <c r="L957" s="23" t="n">
        <v>5</v>
      </c>
      <c r="M957" s="24" t="b">
        <f aca="false">FALSE()</f>
        <v>0</v>
      </c>
      <c r="N957" s="11"/>
      <c r="O957" s="11" t="str">
        <f aca="false">IF(K957&lt;=StockP33,"Low",IF(K957&lt;=StockP67,"Moderate","High"))</f>
        <v>Low</v>
      </c>
      <c r="P957" s="11" t="str">
        <f aca="false">IF(H957=0,"Low",IF(H957&lt;=MarkdownP75,"Moderate","High"))</f>
        <v>High</v>
      </c>
      <c r="Q957" s="11" t="str">
        <f aca="false">IF(ISBLANK(L957),"Unknown",IF(L957&gt;=4,"Good",IF(L957&lt;=2,"Poor","Neutral")))</f>
        <v>Good</v>
      </c>
      <c r="R957" s="11" t="str">
        <f aca="false">IF(AND(O957="Low",P957="Low",Q957="Good"),"BUY / PRIORITIZE",IF(AND(O957="High",P957="High",OR(Q957="Poor",M957=TRUE())),"HOLD / REVIEW","MONITOR"))</f>
        <v>MONITOR</v>
      </c>
      <c r="S957" s="11" t="n">
        <f aca="false">K957+(ROW()/10000000)</f>
        <v>15.0000957</v>
      </c>
    </row>
    <row r="958" customFormat="false" ht="15" hidden="false" customHeight="false" outlineLevel="0" collapsed="false">
      <c r="A958" s="11" t="s">
        <v>1227</v>
      </c>
      <c r="B958" s="11" t="s">
        <v>27</v>
      </c>
      <c r="C958" s="11" t="s">
        <v>130</v>
      </c>
      <c r="D958" s="11" t="s">
        <v>37</v>
      </c>
      <c r="E958" s="11" t="s">
        <v>113</v>
      </c>
      <c r="F958" s="11" t="s">
        <v>79</v>
      </c>
      <c r="G958" s="21" t="n">
        <v>162.65</v>
      </c>
      <c r="H958" s="19" t="n">
        <v>0</v>
      </c>
      <c r="I958" s="21" t="n">
        <v>162.65</v>
      </c>
      <c r="J958" s="22" t="s">
        <v>80</v>
      </c>
      <c r="K958" s="11" t="n">
        <v>36</v>
      </c>
      <c r="L958" s="23" t="n">
        <v>1.4</v>
      </c>
      <c r="M958" s="24" t="b">
        <f aca="false">FALSE()</f>
        <v>0</v>
      </c>
      <c r="N958" s="11"/>
      <c r="O958" s="11" t="str">
        <f aca="false">IF(K958&lt;=StockP33,"Low",IF(K958&lt;=StockP67,"Moderate","High"))</f>
        <v>High</v>
      </c>
      <c r="P958" s="11" t="str">
        <f aca="false">IF(H958=0,"Low",IF(H958&lt;=MarkdownP75,"Moderate","High"))</f>
        <v>Low</v>
      </c>
      <c r="Q958" s="11" t="str">
        <f aca="false">IF(ISBLANK(L958),"Unknown",IF(L958&gt;=4,"Good",IF(L958&lt;=2,"Poor","Neutral")))</f>
        <v>Poor</v>
      </c>
      <c r="R958" s="11" t="str">
        <f aca="false">IF(AND(O958="Low",P958="Low",Q958="Good"),"BUY / PRIORITIZE",IF(AND(O958="High",P958="High",OR(Q958="Poor",M958=TRUE())),"HOLD / REVIEW","MONITOR"))</f>
        <v>MONITOR</v>
      </c>
      <c r="S958" s="11" t="n">
        <f aca="false">K958+(ROW()/10000000)</f>
        <v>36.0000958</v>
      </c>
    </row>
    <row r="959" customFormat="false" ht="15" hidden="false" customHeight="false" outlineLevel="0" collapsed="false">
      <c r="A959" s="11" t="s">
        <v>1228</v>
      </c>
      <c r="B959" s="11" t="s">
        <v>26</v>
      </c>
      <c r="C959" s="11" t="s">
        <v>95</v>
      </c>
      <c r="D959" s="11" t="s">
        <v>35</v>
      </c>
      <c r="E959" s="11" t="s">
        <v>102</v>
      </c>
      <c r="F959" s="11" t="s">
        <v>88</v>
      </c>
      <c r="G959" s="21" t="n">
        <v>28.9</v>
      </c>
      <c r="H959" s="19" t="n">
        <v>0</v>
      </c>
      <c r="I959" s="21" t="n">
        <v>28.9</v>
      </c>
      <c r="J959" s="22" t="s">
        <v>80</v>
      </c>
      <c r="K959" s="11" t="n">
        <v>5</v>
      </c>
      <c r="L959" s="23" t="n">
        <v>4.6</v>
      </c>
      <c r="M959" s="24" t="b">
        <f aca="false">FALSE()</f>
        <v>0</v>
      </c>
      <c r="N959" s="11"/>
      <c r="O959" s="11" t="str">
        <f aca="false">IF(K959&lt;=StockP33,"Low",IF(K959&lt;=StockP67,"Moderate","High"))</f>
        <v>Low</v>
      </c>
      <c r="P959" s="11" t="str">
        <f aca="false">IF(H959=0,"Low",IF(H959&lt;=MarkdownP75,"Moderate","High"))</f>
        <v>Low</v>
      </c>
      <c r="Q959" s="11" t="str">
        <f aca="false">IF(ISBLANK(L959),"Unknown",IF(L959&gt;=4,"Good",IF(L959&lt;=2,"Poor","Neutral")))</f>
        <v>Good</v>
      </c>
      <c r="R959" s="11" t="str">
        <f aca="false">IF(AND(O959="Low",P959="Low",Q959="Good"),"BUY / PRIORITIZE",IF(AND(O959="High",P959="High",OR(Q959="Poor",M959=TRUE())),"HOLD / REVIEW","MONITOR"))</f>
        <v>BUY / PRIORITIZE</v>
      </c>
      <c r="S959" s="11" t="n">
        <f aca="false">K959+(ROW()/10000000)</f>
        <v>5.0000959</v>
      </c>
    </row>
    <row r="960" customFormat="false" ht="15" hidden="false" customHeight="false" outlineLevel="0" collapsed="false">
      <c r="A960" s="11" t="s">
        <v>1229</v>
      </c>
      <c r="B960" s="11" t="s">
        <v>8</v>
      </c>
      <c r="C960" s="11" t="s">
        <v>130</v>
      </c>
      <c r="D960" s="11" t="s">
        <v>34</v>
      </c>
      <c r="E960" s="11"/>
      <c r="F960" s="11" t="s">
        <v>79</v>
      </c>
      <c r="G960" s="21" t="n">
        <v>75.59</v>
      </c>
      <c r="H960" s="19" t="n">
        <v>38.8</v>
      </c>
      <c r="I960" s="21" t="n">
        <v>46.26</v>
      </c>
      <c r="J960" s="22" t="s">
        <v>1230</v>
      </c>
      <c r="K960" s="11" t="n">
        <v>43</v>
      </c>
      <c r="L960" s="23" t="n">
        <v>1.1</v>
      </c>
      <c r="M960" s="24" t="b">
        <f aca="false">FALSE()</f>
        <v>0</v>
      </c>
      <c r="N960" s="11"/>
      <c r="O960" s="11" t="str">
        <f aca="false">IF(K960&lt;=StockP33,"Low",IF(K960&lt;=StockP67,"Moderate","High"))</f>
        <v>High</v>
      </c>
      <c r="P960" s="11" t="str">
        <f aca="false">IF(H960=0,"Low",IF(H960&lt;=MarkdownP75,"Moderate","High"))</f>
        <v>High</v>
      </c>
      <c r="Q960" s="11" t="str">
        <f aca="false">IF(ISBLANK(L960),"Unknown",IF(L960&gt;=4,"Good",IF(L960&lt;=2,"Poor","Neutral")))</f>
        <v>Poor</v>
      </c>
      <c r="R960" s="11" t="str">
        <f aca="false">IF(AND(O960="Low",P960="Low",Q960="Good"),"BUY / PRIORITIZE",IF(AND(O960="High",P960="High",OR(Q960="Poor",M960=TRUE())),"HOLD / REVIEW","MONITOR"))</f>
        <v>HOLD / REVIEW</v>
      </c>
      <c r="S960" s="11" t="n">
        <f aca="false">K960+(ROW()/10000000)</f>
        <v>43.000096</v>
      </c>
    </row>
    <row r="961" customFormat="false" ht="15" hidden="false" customHeight="false" outlineLevel="0" collapsed="false">
      <c r="A961" s="11" t="s">
        <v>1231</v>
      </c>
      <c r="B961" s="11" t="s">
        <v>30</v>
      </c>
      <c r="C961" s="11" t="s">
        <v>72</v>
      </c>
      <c r="D961" s="11" t="s">
        <v>34</v>
      </c>
      <c r="E961" s="11" t="s">
        <v>91</v>
      </c>
      <c r="F961" s="11" t="s">
        <v>124</v>
      </c>
      <c r="G961" s="21" t="n">
        <v>30.9</v>
      </c>
      <c r="H961" s="19" t="n">
        <v>5.5</v>
      </c>
      <c r="I961" s="21" t="n">
        <v>29.2</v>
      </c>
      <c r="J961" s="22" t="s">
        <v>1232</v>
      </c>
      <c r="K961" s="11" t="n">
        <v>25</v>
      </c>
      <c r="L961" s="23" t="n">
        <v>1.4</v>
      </c>
      <c r="M961" s="24" t="b">
        <f aca="false">FALSE()</f>
        <v>0</v>
      </c>
      <c r="N961" s="11"/>
      <c r="O961" s="11" t="str">
        <f aca="false">IF(K961&lt;=StockP33,"Low",IF(K961&lt;=StockP67,"Moderate","High"))</f>
        <v>Moderate</v>
      </c>
      <c r="P961" s="11" t="str">
        <f aca="false">IF(H961=0,"Low",IF(H961&lt;=MarkdownP75,"Moderate","High"))</f>
        <v>Moderate</v>
      </c>
      <c r="Q961" s="11" t="str">
        <f aca="false">IF(ISBLANK(L961),"Unknown",IF(L961&gt;=4,"Good",IF(L961&lt;=2,"Poor","Neutral")))</f>
        <v>Poor</v>
      </c>
      <c r="R961" s="11" t="str">
        <f aca="false">IF(AND(O961="Low",P961="Low",Q961="Good"),"BUY / PRIORITIZE",IF(AND(O961="High",P961="High",OR(Q961="Poor",M961=TRUE())),"HOLD / REVIEW","MONITOR"))</f>
        <v>MONITOR</v>
      </c>
      <c r="S961" s="11" t="n">
        <f aca="false">K961+(ROW()/10000000)</f>
        <v>25.0000961</v>
      </c>
    </row>
    <row r="962" customFormat="false" ht="15" hidden="false" customHeight="false" outlineLevel="0" collapsed="false">
      <c r="A962" s="11" t="s">
        <v>1233</v>
      </c>
      <c r="B962" s="11" t="s">
        <v>28</v>
      </c>
      <c r="C962" s="11" t="s">
        <v>95</v>
      </c>
      <c r="D962" s="11" t="s">
        <v>35</v>
      </c>
      <c r="E962" s="11" t="s">
        <v>91</v>
      </c>
      <c r="F962" s="11" t="s">
        <v>96</v>
      </c>
      <c r="G962" s="21" t="n">
        <v>101.04</v>
      </c>
      <c r="H962" s="19" t="n">
        <v>0</v>
      </c>
      <c r="I962" s="21" t="n">
        <v>101.04</v>
      </c>
      <c r="J962" s="22" t="s">
        <v>80</v>
      </c>
      <c r="K962" s="11" t="n">
        <v>35</v>
      </c>
      <c r="L962" s="23" t="n">
        <v>3.5</v>
      </c>
      <c r="M962" s="24" t="b">
        <f aca="false">FALSE()</f>
        <v>0</v>
      </c>
      <c r="N962" s="11"/>
      <c r="O962" s="11" t="str">
        <f aca="false">IF(K962&lt;=StockP33,"Low",IF(K962&lt;=StockP67,"Moderate","High"))</f>
        <v>High</v>
      </c>
      <c r="P962" s="11" t="str">
        <f aca="false">IF(H962=0,"Low",IF(H962&lt;=MarkdownP75,"Moderate","High"))</f>
        <v>Low</v>
      </c>
      <c r="Q962" s="11" t="str">
        <f aca="false">IF(ISBLANK(L962),"Unknown",IF(L962&gt;=4,"Good",IF(L962&lt;=2,"Poor","Neutral")))</f>
        <v>Neutral</v>
      </c>
      <c r="R962" s="11" t="str">
        <f aca="false">IF(AND(O962="Low",P962="Low",Q962="Good"),"BUY / PRIORITIZE",IF(AND(O962="High",P962="High",OR(Q962="Poor",M962=TRUE())),"HOLD / REVIEW","MONITOR"))</f>
        <v>MONITOR</v>
      </c>
      <c r="S962" s="11" t="n">
        <f aca="false">K962+(ROW()/10000000)</f>
        <v>35.0000962</v>
      </c>
    </row>
    <row r="963" customFormat="false" ht="15" hidden="false" customHeight="false" outlineLevel="0" collapsed="false">
      <c r="A963" s="11" t="s">
        <v>1234</v>
      </c>
      <c r="B963" s="11" t="s">
        <v>27</v>
      </c>
      <c r="C963" s="11" t="s">
        <v>130</v>
      </c>
      <c r="D963" s="11" t="s">
        <v>36</v>
      </c>
      <c r="E963" s="11" t="s">
        <v>91</v>
      </c>
      <c r="F963" s="11" t="s">
        <v>88</v>
      </c>
      <c r="G963" s="21" t="n">
        <v>54.81</v>
      </c>
      <c r="H963" s="19" t="n">
        <v>0</v>
      </c>
      <c r="I963" s="21" t="n">
        <v>54.81</v>
      </c>
      <c r="J963" s="22" t="s">
        <v>80</v>
      </c>
      <c r="K963" s="11" t="n">
        <v>41</v>
      </c>
      <c r="L963" s="23" t="n">
        <v>1.2</v>
      </c>
      <c r="M963" s="24" t="b">
        <f aca="false">TRUE()</f>
        <v>1</v>
      </c>
      <c r="N963" s="11" t="s">
        <v>191</v>
      </c>
      <c r="O963" s="11" t="str">
        <f aca="false">IF(K963&lt;=StockP33,"Low",IF(K963&lt;=StockP67,"Moderate","High"))</f>
        <v>High</v>
      </c>
      <c r="P963" s="11" t="str">
        <f aca="false">IF(H963=0,"Low",IF(H963&lt;=MarkdownP75,"Moderate","High"))</f>
        <v>Low</v>
      </c>
      <c r="Q963" s="11" t="str">
        <f aca="false">IF(ISBLANK(L963),"Unknown",IF(L963&gt;=4,"Good",IF(L963&lt;=2,"Poor","Neutral")))</f>
        <v>Poor</v>
      </c>
      <c r="R963" s="11" t="str">
        <f aca="false">IF(AND(O963="Low",P963="Low",Q963="Good"),"BUY / PRIORITIZE",IF(AND(O963="High",P963="High",OR(Q963="Poor",M963=TRUE())),"HOLD / REVIEW","MONITOR"))</f>
        <v>MONITOR</v>
      </c>
      <c r="S963" s="11" t="n">
        <f aca="false">K963+(ROW()/10000000)</f>
        <v>41.0000963</v>
      </c>
    </row>
    <row r="964" customFormat="false" ht="15" hidden="false" customHeight="false" outlineLevel="0" collapsed="false">
      <c r="A964" s="11" t="s">
        <v>1235</v>
      </c>
      <c r="B964" s="11" t="s">
        <v>29</v>
      </c>
      <c r="C964" s="11" t="s">
        <v>101</v>
      </c>
      <c r="D964" s="11" t="s">
        <v>35</v>
      </c>
      <c r="E964" s="11" t="s">
        <v>113</v>
      </c>
      <c r="F964" s="11" t="s">
        <v>118</v>
      </c>
      <c r="G964" s="21" t="n">
        <v>191.61</v>
      </c>
      <c r="H964" s="19" t="n">
        <v>42.1</v>
      </c>
      <c r="I964" s="21" t="n">
        <v>110.94</v>
      </c>
      <c r="J964" s="22" t="s">
        <v>80</v>
      </c>
      <c r="K964" s="11" t="n">
        <v>28</v>
      </c>
      <c r="L964" s="23" t="n">
        <v>4</v>
      </c>
      <c r="M964" s="24" t="b">
        <f aca="false">FALSE()</f>
        <v>0</v>
      </c>
      <c r="N964" s="11"/>
      <c r="O964" s="11" t="str">
        <f aca="false">IF(K964&lt;=StockP33,"Low",IF(K964&lt;=StockP67,"Moderate","High"))</f>
        <v>Moderate</v>
      </c>
      <c r="P964" s="11" t="str">
        <f aca="false">IF(H964=0,"Low",IF(H964&lt;=MarkdownP75,"Moderate","High"))</f>
        <v>High</v>
      </c>
      <c r="Q964" s="11" t="str">
        <f aca="false">IF(ISBLANK(L964),"Unknown",IF(L964&gt;=4,"Good",IF(L964&lt;=2,"Poor","Neutral")))</f>
        <v>Good</v>
      </c>
      <c r="R964" s="11" t="str">
        <f aca="false">IF(AND(O964="Low",P964="Low",Q964="Good"),"BUY / PRIORITIZE",IF(AND(O964="High",P964="High",OR(Q964="Poor",M964=TRUE())),"HOLD / REVIEW","MONITOR"))</f>
        <v>MONITOR</v>
      </c>
      <c r="S964" s="11" t="n">
        <f aca="false">K964+(ROW()/10000000)</f>
        <v>28.0000964</v>
      </c>
    </row>
    <row r="965" customFormat="false" ht="15" hidden="false" customHeight="false" outlineLevel="0" collapsed="false">
      <c r="A965" s="11" t="s">
        <v>1236</v>
      </c>
      <c r="B965" s="11" t="s">
        <v>30</v>
      </c>
      <c r="C965" s="11" t="s">
        <v>95</v>
      </c>
      <c r="D965" s="11" t="s">
        <v>35</v>
      </c>
      <c r="E965" s="11" t="s">
        <v>102</v>
      </c>
      <c r="F965" s="11" t="s">
        <v>79</v>
      </c>
      <c r="G965" s="21" t="n">
        <v>100.5</v>
      </c>
      <c r="H965" s="19" t="n">
        <v>0</v>
      </c>
      <c r="I965" s="21" t="n">
        <v>100.5</v>
      </c>
      <c r="J965" s="22" t="s">
        <v>80</v>
      </c>
      <c r="K965" s="11" t="n">
        <v>12</v>
      </c>
      <c r="L965" s="23" t="n">
        <v>2.7</v>
      </c>
      <c r="M965" s="24" t="b">
        <f aca="false">TRUE()</f>
        <v>1</v>
      </c>
      <c r="N965" s="11" t="s">
        <v>134</v>
      </c>
      <c r="O965" s="11" t="str">
        <f aca="false">IF(K965&lt;=StockP33,"Low",IF(K965&lt;=StockP67,"Moderate","High"))</f>
        <v>Low</v>
      </c>
      <c r="P965" s="11" t="str">
        <f aca="false">IF(H965=0,"Low",IF(H965&lt;=MarkdownP75,"Moderate","High"))</f>
        <v>Low</v>
      </c>
      <c r="Q965" s="11" t="str">
        <f aca="false">IF(ISBLANK(L965),"Unknown",IF(L965&gt;=4,"Good",IF(L965&lt;=2,"Poor","Neutral")))</f>
        <v>Neutral</v>
      </c>
      <c r="R965" s="11" t="str">
        <f aca="false">IF(AND(O965="Low",P965="Low",Q965="Good"),"BUY / PRIORITIZE",IF(AND(O965="High",P965="High",OR(Q965="Poor",M965=TRUE())),"HOLD / REVIEW","MONITOR"))</f>
        <v>MONITOR</v>
      </c>
      <c r="S965" s="11" t="n">
        <f aca="false">K965+(ROW()/10000000)</f>
        <v>12.0000965</v>
      </c>
    </row>
    <row r="966" customFormat="false" ht="15" hidden="false" customHeight="false" outlineLevel="0" collapsed="false">
      <c r="A966" s="11" t="s">
        <v>1237</v>
      </c>
      <c r="B966" s="11" t="s">
        <v>29</v>
      </c>
      <c r="C966" s="11" t="s">
        <v>95</v>
      </c>
      <c r="D966" s="11" t="s">
        <v>34</v>
      </c>
      <c r="E966" s="11" t="s">
        <v>102</v>
      </c>
      <c r="F966" s="11" t="s">
        <v>98</v>
      </c>
      <c r="G966" s="21" t="n">
        <v>92.35</v>
      </c>
      <c r="H966" s="19" t="n">
        <v>23.6</v>
      </c>
      <c r="I966" s="21" t="n">
        <v>70.56</v>
      </c>
      <c r="J966" s="22" t="s">
        <v>1238</v>
      </c>
      <c r="K966" s="11" t="n">
        <v>32</v>
      </c>
      <c r="L966" s="23" t="n">
        <v>2.2</v>
      </c>
      <c r="M966" s="24" t="b">
        <f aca="false">FALSE()</f>
        <v>0</v>
      </c>
      <c r="N966" s="11"/>
      <c r="O966" s="11" t="str">
        <f aca="false">IF(K966&lt;=StockP33,"Low",IF(K966&lt;=StockP67,"Moderate","High"))</f>
        <v>Moderate</v>
      </c>
      <c r="P966" s="11" t="str">
        <f aca="false">IF(H966=0,"Low",IF(H966&lt;=MarkdownP75,"Moderate","High"))</f>
        <v>High</v>
      </c>
      <c r="Q966" s="11" t="str">
        <f aca="false">IF(ISBLANK(L966),"Unknown",IF(L966&gt;=4,"Good",IF(L966&lt;=2,"Poor","Neutral")))</f>
        <v>Neutral</v>
      </c>
      <c r="R966" s="11" t="str">
        <f aca="false">IF(AND(O966="Low",P966="Low",Q966="Good"),"BUY / PRIORITIZE",IF(AND(O966="High",P966="High",OR(Q966="Poor",M966=TRUE())),"HOLD / REVIEW","MONITOR"))</f>
        <v>MONITOR</v>
      </c>
      <c r="S966" s="11" t="n">
        <f aca="false">K966+(ROW()/10000000)</f>
        <v>32.0000966</v>
      </c>
    </row>
    <row r="967" customFormat="false" ht="15" hidden="false" customHeight="false" outlineLevel="0" collapsed="false">
      <c r="A967" s="11" t="s">
        <v>1239</v>
      </c>
      <c r="B967" s="11" t="s">
        <v>29</v>
      </c>
      <c r="C967" s="11" t="s">
        <v>107</v>
      </c>
      <c r="D967" s="11" t="s">
        <v>35</v>
      </c>
      <c r="E967" s="11" t="s">
        <v>113</v>
      </c>
      <c r="F967" s="11" t="s">
        <v>92</v>
      </c>
      <c r="G967" s="21" t="n">
        <v>161.24</v>
      </c>
      <c r="H967" s="19" t="n">
        <v>56.6</v>
      </c>
      <c r="I967" s="21" t="n">
        <v>69.98</v>
      </c>
      <c r="J967" s="22" t="s">
        <v>80</v>
      </c>
      <c r="K967" s="11" t="n">
        <v>8</v>
      </c>
      <c r="L967" s="23" t="n">
        <v>2.1</v>
      </c>
      <c r="M967" s="24" t="b">
        <f aca="false">FALSE()</f>
        <v>0</v>
      </c>
      <c r="N967" s="11"/>
      <c r="O967" s="11" t="str">
        <f aca="false">IF(K967&lt;=StockP33,"Low",IF(K967&lt;=StockP67,"Moderate","High"))</f>
        <v>Low</v>
      </c>
      <c r="P967" s="11" t="str">
        <f aca="false">IF(H967=0,"Low",IF(H967&lt;=MarkdownP75,"Moderate","High"))</f>
        <v>High</v>
      </c>
      <c r="Q967" s="11" t="str">
        <f aca="false">IF(ISBLANK(L967),"Unknown",IF(L967&gt;=4,"Good",IF(L967&lt;=2,"Poor","Neutral")))</f>
        <v>Neutral</v>
      </c>
      <c r="R967" s="11" t="str">
        <f aca="false">IF(AND(O967="Low",P967="Low",Q967="Good"),"BUY / PRIORITIZE",IF(AND(O967="High",P967="High",OR(Q967="Poor",M967=TRUE())),"HOLD / REVIEW","MONITOR"))</f>
        <v>MONITOR</v>
      </c>
      <c r="S967" s="11" t="n">
        <f aca="false">K967+(ROW()/10000000)</f>
        <v>8.0000967</v>
      </c>
    </row>
    <row r="968" customFormat="false" ht="15" hidden="false" customHeight="false" outlineLevel="0" collapsed="false">
      <c r="A968" s="11" t="s">
        <v>1240</v>
      </c>
      <c r="B968" s="11" t="s">
        <v>27</v>
      </c>
      <c r="C968" s="11" t="s">
        <v>95</v>
      </c>
      <c r="D968" s="11" t="s">
        <v>37</v>
      </c>
      <c r="E968" s="11" t="s">
        <v>110</v>
      </c>
      <c r="F968" s="11" t="s">
        <v>92</v>
      </c>
      <c r="G968" s="21" t="n">
        <v>68.03</v>
      </c>
      <c r="H968" s="19" t="n">
        <v>6.3</v>
      </c>
      <c r="I968" s="21" t="n">
        <v>63.74</v>
      </c>
      <c r="J968" s="22" t="s">
        <v>80</v>
      </c>
      <c r="K968" s="11" t="n">
        <v>43</v>
      </c>
      <c r="L968" s="23" t="n">
        <v>3.4</v>
      </c>
      <c r="M968" s="24" t="b">
        <f aca="false">FALSE()</f>
        <v>0</v>
      </c>
      <c r="N968" s="11"/>
      <c r="O968" s="11" t="str">
        <f aca="false">IF(K968&lt;=StockP33,"Low",IF(K968&lt;=StockP67,"Moderate","High"))</f>
        <v>High</v>
      </c>
      <c r="P968" s="11" t="str">
        <f aca="false">IF(H968=0,"Low",IF(H968&lt;=MarkdownP75,"Moderate","High"))</f>
        <v>Moderate</v>
      </c>
      <c r="Q968" s="11" t="str">
        <f aca="false">IF(ISBLANK(L968),"Unknown",IF(L968&gt;=4,"Good",IF(L968&lt;=2,"Poor","Neutral")))</f>
        <v>Neutral</v>
      </c>
      <c r="R968" s="11" t="str">
        <f aca="false">IF(AND(O968="Low",P968="Low",Q968="Good"),"BUY / PRIORITIZE",IF(AND(O968="High",P968="High",OR(Q968="Poor",M968=TRUE())),"HOLD / REVIEW","MONITOR"))</f>
        <v>MONITOR</v>
      </c>
      <c r="S968" s="11" t="n">
        <f aca="false">K968+(ROW()/10000000)</f>
        <v>43.0000968</v>
      </c>
    </row>
    <row r="969" customFormat="false" ht="15" hidden="false" customHeight="false" outlineLevel="0" collapsed="false">
      <c r="A969" s="11" t="s">
        <v>1241</v>
      </c>
      <c r="B969" s="11" t="s">
        <v>29</v>
      </c>
      <c r="C969" s="11" t="s">
        <v>107</v>
      </c>
      <c r="D969" s="11" t="s">
        <v>36</v>
      </c>
      <c r="E969" s="11" t="s">
        <v>110</v>
      </c>
      <c r="F969" s="11" t="s">
        <v>120</v>
      </c>
      <c r="G969" s="21" t="n">
        <v>121.21</v>
      </c>
      <c r="H969" s="19" t="n">
        <v>47.4</v>
      </c>
      <c r="I969" s="21" t="n">
        <v>63.76</v>
      </c>
      <c r="J969" s="22" t="s">
        <v>80</v>
      </c>
      <c r="K969" s="11" t="n">
        <v>45</v>
      </c>
      <c r="L969" s="23" t="n">
        <v>3</v>
      </c>
      <c r="M969" s="24" t="b">
        <f aca="false">TRUE()</f>
        <v>1</v>
      </c>
      <c r="N969" s="11" t="s">
        <v>178</v>
      </c>
      <c r="O969" s="11" t="str">
        <f aca="false">IF(K969&lt;=StockP33,"Low",IF(K969&lt;=StockP67,"Moderate","High"))</f>
        <v>High</v>
      </c>
      <c r="P969" s="11" t="str">
        <f aca="false">IF(H969=0,"Low",IF(H969&lt;=MarkdownP75,"Moderate","High"))</f>
        <v>High</v>
      </c>
      <c r="Q969" s="11" t="str">
        <f aca="false">IF(ISBLANK(L969),"Unknown",IF(L969&gt;=4,"Good",IF(L969&lt;=2,"Poor","Neutral")))</f>
        <v>Neutral</v>
      </c>
      <c r="R969" s="11" t="str">
        <f aca="false">IF(AND(O969="Low",P969="Low",Q969="Good"),"BUY / PRIORITIZE",IF(AND(O969="High",P969="High",OR(Q969="Poor",M969=TRUE())),"HOLD / REVIEW","MONITOR"))</f>
        <v>HOLD / REVIEW</v>
      </c>
      <c r="S969" s="11" t="n">
        <f aca="false">K969+(ROW()/10000000)</f>
        <v>45.0000969</v>
      </c>
    </row>
    <row r="970" customFormat="false" ht="15" hidden="false" customHeight="false" outlineLevel="0" collapsed="false">
      <c r="A970" s="11" t="s">
        <v>1242</v>
      </c>
      <c r="B970" s="11" t="s">
        <v>30</v>
      </c>
      <c r="C970" s="11" t="s">
        <v>72</v>
      </c>
      <c r="D970" s="11" t="s">
        <v>37</v>
      </c>
      <c r="E970" s="11" t="s">
        <v>78</v>
      </c>
      <c r="F970" s="11" t="s">
        <v>96</v>
      </c>
      <c r="G970" s="21" t="n">
        <v>69.6</v>
      </c>
      <c r="H970" s="19" t="n">
        <v>28.8</v>
      </c>
      <c r="I970" s="21" t="n">
        <v>49.56</v>
      </c>
      <c r="J970" s="22" t="s">
        <v>80</v>
      </c>
      <c r="K970" s="11" t="n">
        <v>42</v>
      </c>
      <c r="L970" s="23" t="n">
        <v>3.7</v>
      </c>
      <c r="M970" s="24" t="b">
        <f aca="false">FALSE()</f>
        <v>0</v>
      </c>
      <c r="N970" s="11"/>
      <c r="O970" s="11" t="str">
        <f aca="false">IF(K970&lt;=StockP33,"Low",IF(K970&lt;=StockP67,"Moderate","High"))</f>
        <v>High</v>
      </c>
      <c r="P970" s="11" t="str">
        <f aca="false">IF(H970=0,"Low",IF(H970&lt;=MarkdownP75,"Moderate","High"))</f>
        <v>High</v>
      </c>
      <c r="Q970" s="11" t="str">
        <f aca="false">IF(ISBLANK(L970),"Unknown",IF(L970&gt;=4,"Good",IF(L970&lt;=2,"Poor","Neutral")))</f>
        <v>Neutral</v>
      </c>
      <c r="R970" s="11" t="str">
        <f aca="false">IF(AND(O970="Low",P970="Low",Q970="Good"),"BUY / PRIORITIZE",IF(AND(O970="High",P970="High",OR(Q970="Poor",M970=TRUE())),"HOLD / REVIEW","MONITOR"))</f>
        <v>MONITOR</v>
      </c>
      <c r="S970" s="11" t="n">
        <f aca="false">K970+(ROW()/10000000)</f>
        <v>42.000097</v>
      </c>
    </row>
    <row r="971" customFormat="false" ht="15" hidden="false" customHeight="false" outlineLevel="0" collapsed="false">
      <c r="A971" s="11" t="s">
        <v>1243</v>
      </c>
      <c r="B971" s="11" t="s">
        <v>28</v>
      </c>
      <c r="C971" s="11" t="s">
        <v>86</v>
      </c>
      <c r="D971" s="11" t="s">
        <v>37</v>
      </c>
      <c r="E971" s="11" t="s">
        <v>110</v>
      </c>
      <c r="F971" s="11" t="s">
        <v>88</v>
      </c>
      <c r="G971" s="21" t="n">
        <v>222.5</v>
      </c>
      <c r="H971" s="19" t="n">
        <v>18.7</v>
      </c>
      <c r="I971" s="21" t="n">
        <v>180.89</v>
      </c>
      <c r="J971" s="22" t="s">
        <v>80</v>
      </c>
      <c r="K971" s="11" t="n">
        <v>47</v>
      </c>
      <c r="L971" s="23"/>
      <c r="M971" s="24" t="b">
        <f aca="false">FALSE()</f>
        <v>0</v>
      </c>
      <c r="N971" s="11"/>
      <c r="O971" s="11" t="str">
        <f aca="false">IF(K971&lt;=StockP33,"Low",IF(K971&lt;=StockP67,"Moderate","High"))</f>
        <v>High</v>
      </c>
      <c r="P971" s="11" t="str">
        <f aca="false">IF(H971=0,"Low",IF(H971&lt;=MarkdownP75,"Moderate","High"))</f>
        <v>Moderate</v>
      </c>
      <c r="Q971" s="11" t="str">
        <f aca="false">IF(ISBLANK(L971),"Unknown",IF(L971&gt;=4,"Good",IF(L971&lt;=2,"Poor","Neutral")))</f>
        <v>Unknown</v>
      </c>
      <c r="R971" s="11" t="str">
        <f aca="false">IF(AND(O971="Low",P971="Low",Q971="Good"),"BUY / PRIORITIZE",IF(AND(O971="High",P971="High",OR(Q971="Poor",M971=TRUE())),"HOLD / REVIEW","MONITOR"))</f>
        <v>MONITOR</v>
      </c>
      <c r="S971" s="11" t="n">
        <f aca="false">K971+(ROW()/10000000)</f>
        <v>47.0000971</v>
      </c>
    </row>
    <row r="972" customFormat="false" ht="15" hidden="false" customHeight="false" outlineLevel="0" collapsed="false">
      <c r="A972" s="11" t="s">
        <v>1244</v>
      </c>
      <c r="B972" s="11" t="s">
        <v>26</v>
      </c>
      <c r="C972" s="11" t="s">
        <v>130</v>
      </c>
      <c r="D972" s="11" t="s">
        <v>36</v>
      </c>
      <c r="E972" s="11" t="s">
        <v>102</v>
      </c>
      <c r="F972" s="11" t="s">
        <v>79</v>
      </c>
      <c r="G972" s="21" t="n">
        <v>25.58</v>
      </c>
      <c r="H972" s="19" t="n">
        <v>54.5</v>
      </c>
      <c r="I972" s="21" t="n">
        <v>11.64</v>
      </c>
      <c r="J972" s="22" t="s">
        <v>80</v>
      </c>
      <c r="K972" s="11" t="n">
        <v>34</v>
      </c>
      <c r="L972" s="23" t="n">
        <v>2.4</v>
      </c>
      <c r="M972" s="24" t="b">
        <f aca="false">FALSE()</f>
        <v>0</v>
      </c>
      <c r="N972" s="11"/>
      <c r="O972" s="11" t="str">
        <f aca="false">IF(K972&lt;=StockP33,"Low",IF(K972&lt;=StockP67,"Moderate","High"))</f>
        <v>High</v>
      </c>
      <c r="P972" s="11" t="str">
        <f aca="false">IF(H972=0,"Low",IF(H972&lt;=MarkdownP75,"Moderate","High"))</f>
        <v>High</v>
      </c>
      <c r="Q972" s="11" t="str">
        <f aca="false">IF(ISBLANK(L972),"Unknown",IF(L972&gt;=4,"Good",IF(L972&lt;=2,"Poor","Neutral")))</f>
        <v>Neutral</v>
      </c>
      <c r="R972" s="11" t="str">
        <f aca="false">IF(AND(O972="Low",P972="Low",Q972="Good"),"BUY / PRIORITIZE",IF(AND(O972="High",P972="High",OR(Q972="Poor",M972=TRUE())),"HOLD / REVIEW","MONITOR"))</f>
        <v>MONITOR</v>
      </c>
      <c r="S972" s="11" t="n">
        <f aca="false">K972+(ROW()/10000000)</f>
        <v>34.0000972</v>
      </c>
    </row>
    <row r="973" customFormat="false" ht="15" hidden="false" customHeight="false" outlineLevel="0" collapsed="false">
      <c r="A973" s="11" t="s">
        <v>1245</v>
      </c>
      <c r="B973" s="11" t="s">
        <v>27</v>
      </c>
      <c r="C973" s="11" t="s">
        <v>95</v>
      </c>
      <c r="D973" s="11" t="s">
        <v>35</v>
      </c>
      <c r="E973" s="11" t="s">
        <v>73</v>
      </c>
      <c r="F973" s="11" t="s">
        <v>96</v>
      </c>
      <c r="G973" s="21" t="n">
        <v>54.46</v>
      </c>
      <c r="H973" s="19" t="n">
        <v>6.6</v>
      </c>
      <c r="I973" s="21" t="n">
        <v>50.87</v>
      </c>
      <c r="J973" s="22" t="s">
        <v>80</v>
      </c>
      <c r="K973" s="11" t="n">
        <v>17</v>
      </c>
      <c r="L973" s="23" t="n">
        <v>1.7</v>
      </c>
      <c r="M973" s="24" t="b">
        <f aca="false">FALSE()</f>
        <v>0</v>
      </c>
      <c r="N973" s="11"/>
      <c r="O973" s="11" t="str">
        <f aca="false">IF(K973&lt;=StockP33,"Low",IF(K973&lt;=StockP67,"Moderate","High"))</f>
        <v>Low</v>
      </c>
      <c r="P973" s="11" t="str">
        <f aca="false">IF(H973=0,"Low",IF(H973&lt;=MarkdownP75,"Moderate","High"))</f>
        <v>Moderate</v>
      </c>
      <c r="Q973" s="11" t="str">
        <f aca="false">IF(ISBLANK(L973),"Unknown",IF(L973&gt;=4,"Good",IF(L973&lt;=2,"Poor","Neutral")))</f>
        <v>Poor</v>
      </c>
      <c r="R973" s="11" t="str">
        <f aca="false">IF(AND(O973="Low",P973="Low",Q973="Good"),"BUY / PRIORITIZE",IF(AND(O973="High",P973="High",OR(Q973="Poor",M973=TRUE())),"HOLD / REVIEW","MONITOR"))</f>
        <v>MONITOR</v>
      </c>
      <c r="S973" s="11" t="n">
        <f aca="false">K973+(ROW()/10000000)</f>
        <v>17.0000973</v>
      </c>
    </row>
    <row r="974" customFormat="false" ht="15" hidden="false" customHeight="false" outlineLevel="0" collapsed="false">
      <c r="A974" s="11" t="s">
        <v>1246</v>
      </c>
      <c r="B974" s="11" t="s">
        <v>26</v>
      </c>
      <c r="C974" s="11" t="s">
        <v>130</v>
      </c>
      <c r="D974" s="11" t="s">
        <v>37</v>
      </c>
      <c r="E974" s="11" t="s">
        <v>91</v>
      </c>
      <c r="F974" s="11" t="s">
        <v>79</v>
      </c>
      <c r="G974" s="21" t="n">
        <v>43.32</v>
      </c>
      <c r="H974" s="19" t="n">
        <v>0</v>
      </c>
      <c r="I974" s="21" t="n">
        <v>43.32</v>
      </c>
      <c r="J974" s="22" t="s">
        <v>80</v>
      </c>
      <c r="K974" s="11" t="n">
        <v>0</v>
      </c>
      <c r="L974" s="23" t="n">
        <v>2.6</v>
      </c>
      <c r="M974" s="24" t="b">
        <f aca="false">FALSE()</f>
        <v>0</v>
      </c>
      <c r="N974" s="11"/>
      <c r="O974" s="11" t="str">
        <f aca="false">IF(K974&lt;=StockP33,"Low",IF(K974&lt;=StockP67,"Moderate","High"))</f>
        <v>Low</v>
      </c>
      <c r="P974" s="11" t="str">
        <f aca="false">IF(H974=0,"Low",IF(H974&lt;=MarkdownP75,"Moderate","High"))</f>
        <v>Low</v>
      </c>
      <c r="Q974" s="11" t="str">
        <f aca="false">IF(ISBLANK(L974),"Unknown",IF(L974&gt;=4,"Good",IF(L974&lt;=2,"Poor","Neutral")))</f>
        <v>Neutral</v>
      </c>
      <c r="R974" s="11" t="str">
        <f aca="false">IF(AND(O974="Low",P974="Low",Q974="Good"),"BUY / PRIORITIZE",IF(AND(O974="High",P974="High",OR(Q974="Poor",M974=TRUE())),"HOLD / REVIEW","MONITOR"))</f>
        <v>MONITOR</v>
      </c>
      <c r="S974" s="11" t="n">
        <f aca="false">K974+(ROW()/10000000)</f>
        <v>9.74E-005</v>
      </c>
    </row>
    <row r="975" customFormat="false" ht="15" hidden="false" customHeight="false" outlineLevel="0" collapsed="false">
      <c r="A975" s="11" t="s">
        <v>1247</v>
      </c>
      <c r="B975" s="11" t="s">
        <v>8</v>
      </c>
      <c r="C975" s="11" t="s">
        <v>130</v>
      </c>
      <c r="D975" s="11" t="s">
        <v>37</v>
      </c>
      <c r="E975" s="11"/>
      <c r="F975" s="11" t="s">
        <v>74</v>
      </c>
      <c r="G975" s="21" t="n">
        <v>75.09</v>
      </c>
      <c r="H975" s="19" t="n">
        <v>0</v>
      </c>
      <c r="I975" s="21" t="n">
        <v>75.09</v>
      </c>
      <c r="J975" s="22" t="s">
        <v>80</v>
      </c>
      <c r="K975" s="11" t="n">
        <v>41</v>
      </c>
      <c r="L975" s="23" t="n">
        <v>3.5</v>
      </c>
      <c r="M975" s="24" t="b">
        <f aca="false">FALSE()</f>
        <v>0</v>
      </c>
      <c r="N975" s="11"/>
      <c r="O975" s="11" t="str">
        <f aca="false">IF(K975&lt;=StockP33,"Low",IF(K975&lt;=StockP67,"Moderate","High"))</f>
        <v>High</v>
      </c>
      <c r="P975" s="11" t="str">
        <f aca="false">IF(H975=0,"Low",IF(H975&lt;=MarkdownP75,"Moderate","High"))</f>
        <v>Low</v>
      </c>
      <c r="Q975" s="11" t="str">
        <f aca="false">IF(ISBLANK(L975),"Unknown",IF(L975&gt;=4,"Good",IF(L975&lt;=2,"Poor","Neutral")))</f>
        <v>Neutral</v>
      </c>
      <c r="R975" s="11" t="str">
        <f aca="false">IF(AND(O975="Low",P975="Low",Q975="Good"),"BUY / PRIORITIZE",IF(AND(O975="High",P975="High",OR(Q975="Poor",M975=TRUE())),"HOLD / REVIEW","MONITOR"))</f>
        <v>MONITOR</v>
      </c>
      <c r="S975" s="11" t="n">
        <f aca="false">K975+(ROW()/10000000)</f>
        <v>41.0000975</v>
      </c>
    </row>
    <row r="976" customFormat="false" ht="15" hidden="false" customHeight="false" outlineLevel="0" collapsed="false">
      <c r="A976" s="11" t="s">
        <v>1248</v>
      </c>
      <c r="B976" s="11" t="s">
        <v>27</v>
      </c>
      <c r="C976" s="11" t="s">
        <v>77</v>
      </c>
      <c r="D976" s="11" t="s">
        <v>34</v>
      </c>
      <c r="E976" s="11" t="s">
        <v>110</v>
      </c>
      <c r="F976" s="11" t="s">
        <v>74</v>
      </c>
      <c r="G976" s="21" t="n">
        <v>167.46</v>
      </c>
      <c r="H976" s="19" t="n">
        <v>0</v>
      </c>
      <c r="I976" s="21" t="n">
        <v>167.46</v>
      </c>
      <c r="J976" s="22" t="s">
        <v>1141</v>
      </c>
      <c r="K976" s="11" t="n">
        <v>4</v>
      </c>
      <c r="L976" s="23" t="n">
        <v>1.3</v>
      </c>
      <c r="M976" s="24" t="b">
        <f aca="false">FALSE()</f>
        <v>0</v>
      </c>
      <c r="N976" s="11"/>
      <c r="O976" s="11" t="str">
        <f aca="false">IF(K976&lt;=StockP33,"Low",IF(K976&lt;=StockP67,"Moderate","High"))</f>
        <v>Low</v>
      </c>
      <c r="P976" s="11" t="str">
        <f aca="false">IF(H976=0,"Low",IF(H976&lt;=MarkdownP75,"Moderate","High"))</f>
        <v>Low</v>
      </c>
      <c r="Q976" s="11" t="str">
        <f aca="false">IF(ISBLANK(L976),"Unknown",IF(L976&gt;=4,"Good",IF(L976&lt;=2,"Poor","Neutral")))</f>
        <v>Poor</v>
      </c>
      <c r="R976" s="11" t="str">
        <f aca="false">IF(AND(O976="Low",P976="Low",Q976="Good"),"BUY / PRIORITIZE",IF(AND(O976="High",P976="High",OR(Q976="Poor",M976=TRUE())),"HOLD / REVIEW","MONITOR"))</f>
        <v>MONITOR</v>
      </c>
      <c r="S976" s="11" t="n">
        <f aca="false">K976+(ROW()/10000000)</f>
        <v>4.0000976</v>
      </c>
    </row>
    <row r="977" customFormat="false" ht="15" hidden="false" customHeight="false" outlineLevel="0" collapsed="false">
      <c r="A977" s="11" t="s">
        <v>1249</v>
      </c>
      <c r="B977" s="11" t="s">
        <v>29</v>
      </c>
      <c r="C977" s="11" t="s">
        <v>86</v>
      </c>
      <c r="D977" s="11" t="s">
        <v>36</v>
      </c>
      <c r="E977" s="11" t="s">
        <v>78</v>
      </c>
      <c r="F977" s="11" t="s">
        <v>96</v>
      </c>
      <c r="G977" s="21" t="n">
        <v>111.24</v>
      </c>
      <c r="H977" s="19" t="n">
        <v>34.3</v>
      </c>
      <c r="I977" s="21" t="n">
        <v>73.08</v>
      </c>
      <c r="J977" s="22" t="s">
        <v>80</v>
      </c>
      <c r="K977" s="11" t="n">
        <v>3</v>
      </c>
      <c r="L977" s="23" t="n">
        <v>2.2</v>
      </c>
      <c r="M977" s="24" t="b">
        <f aca="false">FALSE()</f>
        <v>0</v>
      </c>
      <c r="N977" s="11"/>
      <c r="O977" s="11" t="str">
        <f aca="false">IF(K977&lt;=StockP33,"Low",IF(K977&lt;=StockP67,"Moderate","High"))</f>
        <v>Low</v>
      </c>
      <c r="P977" s="11" t="str">
        <f aca="false">IF(H977=0,"Low",IF(H977&lt;=MarkdownP75,"Moderate","High"))</f>
        <v>High</v>
      </c>
      <c r="Q977" s="11" t="str">
        <f aca="false">IF(ISBLANK(L977),"Unknown",IF(L977&gt;=4,"Good",IF(L977&lt;=2,"Poor","Neutral")))</f>
        <v>Neutral</v>
      </c>
      <c r="R977" s="11" t="str">
        <f aca="false">IF(AND(O977="Low",P977="Low",Q977="Good"),"BUY / PRIORITIZE",IF(AND(O977="High",P977="High",OR(Q977="Poor",M977=TRUE())),"HOLD / REVIEW","MONITOR"))</f>
        <v>MONITOR</v>
      </c>
      <c r="S977" s="11" t="n">
        <f aca="false">K977+(ROW()/10000000)</f>
        <v>3.0000977</v>
      </c>
    </row>
    <row r="978" customFormat="false" ht="15" hidden="false" customHeight="false" outlineLevel="0" collapsed="false">
      <c r="A978" s="11" t="s">
        <v>1250</v>
      </c>
      <c r="B978" s="11" t="s">
        <v>26</v>
      </c>
      <c r="C978" s="11" t="s">
        <v>77</v>
      </c>
      <c r="D978" s="11" t="s">
        <v>36</v>
      </c>
      <c r="E978" s="11" t="s">
        <v>102</v>
      </c>
      <c r="F978" s="11" t="s">
        <v>118</v>
      </c>
      <c r="G978" s="21" t="n">
        <v>59.36</v>
      </c>
      <c r="H978" s="19" t="n">
        <v>0</v>
      </c>
      <c r="I978" s="21" t="n">
        <v>59.36</v>
      </c>
      <c r="J978" s="22" t="s">
        <v>80</v>
      </c>
      <c r="K978" s="11" t="n">
        <v>16</v>
      </c>
      <c r="L978" s="23"/>
      <c r="M978" s="24" t="b">
        <f aca="false">FALSE()</f>
        <v>0</v>
      </c>
      <c r="N978" s="11"/>
      <c r="O978" s="11" t="str">
        <f aca="false">IF(K978&lt;=StockP33,"Low",IF(K978&lt;=StockP67,"Moderate","High"))</f>
        <v>Low</v>
      </c>
      <c r="P978" s="11" t="str">
        <f aca="false">IF(H978=0,"Low",IF(H978&lt;=MarkdownP75,"Moderate","High"))</f>
        <v>Low</v>
      </c>
      <c r="Q978" s="11" t="str">
        <f aca="false">IF(ISBLANK(L978),"Unknown",IF(L978&gt;=4,"Good",IF(L978&lt;=2,"Poor","Neutral")))</f>
        <v>Unknown</v>
      </c>
      <c r="R978" s="11" t="str">
        <f aca="false">IF(AND(O978="Low",P978="Low",Q978="Good"),"BUY / PRIORITIZE",IF(AND(O978="High",P978="High",OR(Q978="Poor",M978=TRUE())),"HOLD / REVIEW","MONITOR"))</f>
        <v>MONITOR</v>
      </c>
      <c r="S978" s="11" t="n">
        <f aca="false">K978+(ROW()/10000000)</f>
        <v>16.0000978</v>
      </c>
    </row>
    <row r="979" customFormat="false" ht="15" hidden="false" customHeight="false" outlineLevel="0" collapsed="false">
      <c r="A979" s="11" t="s">
        <v>1251</v>
      </c>
      <c r="B979" s="11" t="s">
        <v>29</v>
      </c>
      <c r="C979" s="11" t="s">
        <v>86</v>
      </c>
      <c r="D979" s="11" t="s">
        <v>36</v>
      </c>
      <c r="E979" s="11" t="s">
        <v>91</v>
      </c>
      <c r="F979" s="11" t="s">
        <v>118</v>
      </c>
      <c r="G979" s="21" t="n">
        <v>199.46</v>
      </c>
      <c r="H979" s="19" t="n">
        <v>0</v>
      </c>
      <c r="I979" s="21" t="n">
        <v>199.46</v>
      </c>
      <c r="J979" s="22" t="s">
        <v>80</v>
      </c>
      <c r="K979" s="11" t="n">
        <v>15</v>
      </c>
      <c r="L979" s="23" t="n">
        <v>1.4</v>
      </c>
      <c r="M979" s="24" t="b">
        <f aca="false">FALSE()</f>
        <v>0</v>
      </c>
      <c r="N979" s="11"/>
      <c r="O979" s="11" t="str">
        <f aca="false">IF(K979&lt;=StockP33,"Low",IF(K979&lt;=StockP67,"Moderate","High"))</f>
        <v>Low</v>
      </c>
      <c r="P979" s="11" t="str">
        <f aca="false">IF(H979=0,"Low",IF(H979&lt;=MarkdownP75,"Moderate","High"))</f>
        <v>Low</v>
      </c>
      <c r="Q979" s="11" t="str">
        <f aca="false">IF(ISBLANK(L979),"Unknown",IF(L979&gt;=4,"Good",IF(L979&lt;=2,"Poor","Neutral")))</f>
        <v>Poor</v>
      </c>
      <c r="R979" s="11" t="str">
        <f aca="false">IF(AND(O979="Low",P979="Low",Q979="Good"),"BUY / PRIORITIZE",IF(AND(O979="High",P979="High",OR(Q979="Poor",M979=TRUE())),"HOLD / REVIEW","MONITOR"))</f>
        <v>MONITOR</v>
      </c>
      <c r="S979" s="11" t="n">
        <f aca="false">K979+(ROW()/10000000)</f>
        <v>15.0000979</v>
      </c>
    </row>
    <row r="980" customFormat="false" ht="15" hidden="false" customHeight="false" outlineLevel="0" collapsed="false">
      <c r="A980" s="11" t="s">
        <v>1252</v>
      </c>
      <c r="B980" s="11" t="s">
        <v>29</v>
      </c>
      <c r="C980" s="11" t="s">
        <v>130</v>
      </c>
      <c r="D980" s="11" t="s">
        <v>36</v>
      </c>
      <c r="E980" s="11" t="s">
        <v>113</v>
      </c>
      <c r="F980" s="11" t="s">
        <v>88</v>
      </c>
      <c r="G980" s="21" t="n">
        <v>72.75</v>
      </c>
      <c r="H980" s="19" t="n">
        <v>50.2</v>
      </c>
      <c r="I980" s="21" t="n">
        <v>36.23</v>
      </c>
      <c r="J980" s="22" t="s">
        <v>80</v>
      </c>
      <c r="K980" s="11" t="n">
        <v>28</v>
      </c>
      <c r="L980" s="23" t="n">
        <v>3.6</v>
      </c>
      <c r="M980" s="24" t="b">
        <f aca="false">FALSE()</f>
        <v>0</v>
      </c>
      <c r="N980" s="11"/>
      <c r="O980" s="11" t="str">
        <f aca="false">IF(K980&lt;=StockP33,"Low",IF(K980&lt;=StockP67,"Moderate","High"))</f>
        <v>Moderate</v>
      </c>
      <c r="P980" s="11" t="str">
        <f aca="false">IF(H980=0,"Low",IF(H980&lt;=MarkdownP75,"Moderate","High"))</f>
        <v>High</v>
      </c>
      <c r="Q980" s="11" t="str">
        <f aca="false">IF(ISBLANK(L980),"Unknown",IF(L980&gt;=4,"Good",IF(L980&lt;=2,"Poor","Neutral")))</f>
        <v>Neutral</v>
      </c>
      <c r="R980" s="11" t="str">
        <f aca="false">IF(AND(O980="Low",P980="Low",Q980="Good"),"BUY / PRIORITIZE",IF(AND(O980="High",P980="High",OR(Q980="Poor",M980=TRUE())),"HOLD / REVIEW","MONITOR"))</f>
        <v>MONITOR</v>
      </c>
      <c r="S980" s="11" t="n">
        <f aca="false">K980+(ROW()/10000000)</f>
        <v>28.000098</v>
      </c>
    </row>
    <row r="981" customFormat="false" ht="15" hidden="false" customHeight="false" outlineLevel="0" collapsed="false">
      <c r="A981" s="11" t="s">
        <v>1253</v>
      </c>
      <c r="B981" s="11" t="s">
        <v>26</v>
      </c>
      <c r="C981" s="11" t="s">
        <v>95</v>
      </c>
      <c r="D981" s="11" t="s">
        <v>36</v>
      </c>
      <c r="E981" s="11" t="s">
        <v>110</v>
      </c>
      <c r="F981" s="11" t="s">
        <v>79</v>
      </c>
      <c r="G981" s="21" t="n">
        <v>86.52</v>
      </c>
      <c r="H981" s="19" t="n">
        <v>27.6</v>
      </c>
      <c r="I981" s="21" t="n">
        <v>62.64</v>
      </c>
      <c r="J981" s="22" t="s">
        <v>80</v>
      </c>
      <c r="K981" s="11" t="n">
        <v>47</v>
      </c>
      <c r="L981" s="23" t="n">
        <v>1.1</v>
      </c>
      <c r="M981" s="24" t="b">
        <f aca="false">FALSE()</f>
        <v>0</v>
      </c>
      <c r="N981" s="11"/>
      <c r="O981" s="11" t="str">
        <f aca="false">IF(K981&lt;=StockP33,"Low",IF(K981&lt;=StockP67,"Moderate","High"))</f>
        <v>High</v>
      </c>
      <c r="P981" s="11" t="str">
        <f aca="false">IF(H981=0,"Low",IF(H981&lt;=MarkdownP75,"Moderate","High"))</f>
        <v>High</v>
      </c>
      <c r="Q981" s="11" t="str">
        <f aca="false">IF(ISBLANK(L981),"Unknown",IF(L981&gt;=4,"Good",IF(L981&lt;=2,"Poor","Neutral")))</f>
        <v>Poor</v>
      </c>
      <c r="R981" s="11" t="str">
        <f aca="false">IF(AND(O981="Low",P981="Low",Q981="Good"),"BUY / PRIORITIZE",IF(AND(O981="High",P981="High",OR(Q981="Poor",M981=TRUE())),"HOLD / REVIEW","MONITOR"))</f>
        <v>HOLD / REVIEW</v>
      </c>
      <c r="S981" s="11" t="n">
        <f aca="false">K981+(ROW()/10000000)</f>
        <v>47.0000981</v>
      </c>
    </row>
    <row r="982" customFormat="false" ht="15" hidden="false" customHeight="false" outlineLevel="0" collapsed="false">
      <c r="A982" s="11" t="s">
        <v>1254</v>
      </c>
      <c r="B982" s="11" t="s">
        <v>8</v>
      </c>
      <c r="C982" s="11" t="s">
        <v>130</v>
      </c>
      <c r="D982" s="11" t="s">
        <v>34</v>
      </c>
      <c r="E982" s="11"/>
      <c r="F982" s="11" t="s">
        <v>96</v>
      </c>
      <c r="G982" s="21" t="n">
        <v>52.69</v>
      </c>
      <c r="H982" s="19" t="n">
        <v>40.2</v>
      </c>
      <c r="I982" s="21" t="n">
        <v>31.51</v>
      </c>
      <c r="J982" s="22" t="s">
        <v>1255</v>
      </c>
      <c r="K982" s="11" t="n">
        <v>7</v>
      </c>
      <c r="L982" s="23" t="n">
        <v>2.7</v>
      </c>
      <c r="M982" s="24" t="b">
        <f aca="false">FALSE()</f>
        <v>0</v>
      </c>
      <c r="N982" s="11"/>
      <c r="O982" s="11" t="str">
        <f aca="false">IF(K982&lt;=StockP33,"Low",IF(K982&lt;=StockP67,"Moderate","High"))</f>
        <v>Low</v>
      </c>
      <c r="P982" s="11" t="str">
        <f aca="false">IF(H982=0,"Low",IF(H982&lt;=MarkdownP75,"Moderate","High"))</f>
        <v>High</v>
      </c>
      <c r="Q982" s="11" t="str">
        <f aca="false">IF(ISBLANK(L982),"Unknown",IF(L982&gt;=4,"Good",IF(L982&lt;=2,"Poor","Neutral")))</f>
        <v>Neutral</v>
      </c>
      <c r="R982" s="11" t="str">
        <f aca="false">IF(AND(O982="Low",P982="Low",Q982="Good"),"BUY / PRIORITIZE",IF(AND(O982="High",P982="High",OR(Q982="Poor",M982=TRUE())),"HOLD / REVIEW","MONITOR"))</f>
        <v>MONITOR</v>
      </c>
      <c r="S982" s="11" t="n">
        <f aca="false">K982+(ROW()/10000000)</f>
        <v>7.0000982</v>
      </c>
    </row>
    <row r="983" customFormat="false" ht="15" hidden="false" customHeight="false" outlineLevel="0" collapsed="false">
      <c r="A983" s="11" t="s">
        <v>1256</v>
      </c>
      <c r="B983" s="11" t="s">
        <v>28</v>
      </c>
      <c r="C983" s="11" t="s">
        <v>86</v>
      </c>
      <c r="D983" s="11" t="s">
        <v>36</v>
      </c>
      <c r="E983" s="11" t="s">
        <v>78</v>
      </c>
      <c r="F983" s="11" t="s">
        <v>82</v>
      </c>
      <c r="G983" s="21" t="n">
        <v>104.18</v>
      </c>
      <c r="H983" s="19" t="n">
        <v>0</v>
      </c>
      <c r="I983" s="21" t="n">
        <v>104.18</v>
      </c>
      <c r="J983" s="22" t="s">
        <v>80</v>
      </c>
      <c r="K983" s="11" t="n">
        <v>12</v>
      </c>
      <c r="L983" s="23" t="n">
        <v>5</v>
      </c>
      <c r="M983" s="24" t="b">
        <f aca="false">FALSE()</f>
        <v>0</v>
      </c>
      <c r="N983" s="11"/>
      <c r="O983" s="11" t="str">
        <f aca="false">IF(K983&lt;=StockP33,"Low",IF(K983&lt;=StockP67,"Moderate","High"))</f>
        <v>Low</v>
      </c>
      <c r="P983" s="11" t="str">
        <f aca="false">IF(H983=0,"Low",IF(H983&lt;=MarkdownP75,"Moderate","High"))</f>
        <v>Low</v>
      </c>
      <c r="Q983" s="11" t="str">
        <f aca="false">IF(ISBLANK(L983),"Unknown",IF(L983&gt;=4,"Good",IF(L983&lt;=2,"Poor","Neutral")))</f>
        <v>Good</v>
      </c>
      <c r="R983" s="11" t="str">
        <f aca="false">IF(AND(O983="Low",P983="Low",Q983="Good"),"BUY / PRIORITIZE",IF(AND(O983="High",P983="High",OR(Q983="Poor",M983=TRUE())),"HOLD / REVIEW","MONITOR"))</f>
        <v>BUY / PRIORITIZE</v>
      </c>
      <c r="S983" s="11" t="n">
        <f aca="false">K983+(ROW()/10000000)</f>
        <v>12.0000983</v>
      </c>
    </row>
    <row r="984" customFormat="false" ht="15" hidden="false" customHeight="false" outlineLevel="0" collapsed="false">
      <c r="A984" s="11" t="s">
        <v>1257</v>
      </c>
      <c r="B984" s="11" t="s">
        <v>28</v>
      </c>
      <c r="C984" s="11" t="s">
        <v>101</v>
      </c>
      <c r="D984" s="11" t="s">
        <v>37</v>
      </c>
      <c r="E984" s="11" t="s">
        <v>78</v>
      </c>
      <c r="F984" s="11" t="s">
        <v>74</v>
      </c>
      <c r="G984" s="21" t="n">
        <v>132.38</v>
      </c>
      <c r="H984" s="19" t="n">
        <v>58.2</v>
      </c>
      <c r="I984" s="21" t="n">
        <v>55.33</v>
      </c>
      <c r="J984" s="22" t="s">
        <v>80</v>
      </c>
      <c r="K984" s="11" t="n">
        <v>24</v>
      </c>
      <c r="L984" s="23"/>
      <c r="M984" s="24" t="b">
        <f aca="false">FALSE()</f>
        <v>0</v>
      </c>
      <c r="N984" s="11"/>
      <c r="O984" s="11" t="str">
        <f aca="false">IF(K984&lt;=StockP33,"Low",IF(K984&lt;=StockP67,"Moderate","High"))</f>
        <v>Moderate</v>
      </c>
      <c r="P984" s="11" t="str">
        <f aca="false">IF(H984=0,"Low",IF(H984&lt;=MarkdownP75,"Moderate","High"))</f>
        <v>High</v>
      </c>
      <c r="Q984" s="11" t="str">
        <f aca="false">IF(ISBLANK(L984),"Unknown",IF(L984&gt;=4,"Good",IF(L984&lt;=2,"Poor","Neutral")))</f>
        <v>Unknown</v>
      </c>
      <c r="R984" s="11" t="str">
        <f aca="false">IF(AND(O984="Low",P984="Low",Q984="Good"),"BUY / PRIORITIZE",IF(AND(O984="High",P984="High",OR(Q984="Poor",M984=TRUE())),"HOLD / REVIEW","MONITOR"))</f>
        <v>MONITOR</v>
      </c>
      <c r="S984" s="11" t="n">
        <f aca="false">K984+(ROW()/10000000)</f>
        <v>24.0000984</v>
      </c>
    </row>
    <row r="985" customFormat="false" ht="15" hidden="false" customHeight="false" outlineLevel="0" collapsed="false">
      <c r="A985" s="11" t="s">
        <v>1258</v>
      </c>
      <c r="B985" s="11" t="s">
        <v>29</v>
      </c>
      <c r="C985" s="11" t="s">
        <v>101</v>
      </c>
      <c r="D985" s="11" t="s">
        <v>36</v>
      </c>
      <c r="E985" s="11" t="s">
        <v>73</v>
      </c>
      <c r="F985" s="11" t="s">
        <v>79</v>
      </c>
      <c r="G985" s="21" t="n">
        <v>64.4</v>
      </c>
      <c r="H985" s="19" t="n">
        <v>0</v>
      </c>
      <c r="I985" s="21" t="n">
        <v>64.4</v>
      </c>
      <c r="J985" s="22" t="s">
        <v>80</v>
      </c>
      <c r="K985" s="11" t="n">
        <v>40</v>
      </c>
      <c r="L985" s="23" t="n">
        <v>4.9</v>
      </c>
      <c r="M985" s="24" t="b">
        <f aca="false">FALSE()</f>
        <v>0</v>
      </c>
      <c r="N985" s="11"/>
      <c r="O985" s="11" t="str">
        <f aca="false">IF(K985&lt;=StockP33,"Low",IF(K985&lt;=StockP67,"Moderate","High"))</f>
        <v>High</v>
      </c>
      <c r="P985" s="11" t="str">
        <f aca="false">IF(H985=0,"Low",IF(H985&lt;=MarkdownP75,"Moderate","High"))</f>
        <v>Low</v>
      </c>
      <c r="Q985" s="11" t="str">
        <f aca="false">IF(ISBLANK(L985),"Unknown",IF(L985&gt;=4,"Good",IF(L985&lt;=2,"Poor","Neutral")))</f>
        <v>Good</v>
      </c>
      <c r="R985" s="11" t="str">
        <f aca="false">IF(AND(O985="Low",P985="Low",Q985="Good"),"BUY / PRIORITIZE",IF(AND(O985="High",P985="High",OR(Q985="Poor",M985=TRUE())),"HOLD / REVIEW","MONITOR"))</f>
        <v>MONITOR</v>
      </c>
      <c r="S985" s="11" t="n">
        <f aca="false">K985+(ROW()/10000000)</f>
        <v>40.0000985</v>
      </c>
    </row>
    <row r="986" customFormat="false" ht="15" hidden="false" customHeight="false" outlineLevel="0" collapsed="false">
      <c r="A986" s="11" t="s">
        <v>1259</v>
      </c>
      <c r="B986" s="11" t="s">
        <v>26</v>
      </c>
      <c r="C986" s="11" t="s">
        <v>72</v>
      </c>
      <c r="D986" s="11" t="s">
        <v>35</v>
      </c>
      <c r="E986" s="11" t="s">
        <v>73</v>
      </c>
      <c r="F986" s="11" t="s">
        <v>92</v>
      </c>
      <c r="G986" s="21" t="n">
        <v>34.07</v>
      </c>
      <c r="H986" s="19" t="n">
        <v>0</v>
      </c>
      <c r="I986" s="21" t="n">
        <v>34.07</v>
      </c>
      <c r="J986" s="22" t="s">
        <v>80</v>
      </c>
      <c r="K986" s="11" t="n">
        <v>25</v>
      </c>
      <c r="L986" s="23" t="n">
        <v>4.2</v>
      </c>
      <c r="M986" s="24" t="b">
        <f aca="false">TRUE()</f>
        <v>1</v>
      </c>
      <c r="N986" s="11" t="s">
        <v>191</v>
      </c>
      <c r="O986" s="11" t="str">
        <f aca="false">IF(K986&lt;=StockP33,"Low",IF(K986&lt;=StockP67,"Moderate","High"))</f>
        <v>Moderate</v>
      </c>
      <c r="P986" s="11" t="str">
        <f aca="false">IF(H986=0,"Low",IF(H986&lt;=MarkdownP75,"Moderate","High"))</f>
        <v>Low</v>
      </c>
      <c r="Q986" s="11" t="str">
        <f aca="false">IF(ISBLANK(L986),"Unknown",IF(L986&gt;=4,"Good",IF(L986&lt;=2,"Poor","Neutral")))</f>
        <v>Good</v>
      </c>
      <c r="R986" s="11" t="str">
        <f aca="false">IF(AND(O986="Low",P986="Low",Q986="Good"),"BUY / PRIORITIZE",IF(AND(O986="High",P986="High",OR(Q986="Poor",M986=TRUE())),"HOLD / REVIEW","MONITOR"))</f>
        <v>MONITOR</v>
      </c>
      <c r="S986" s="11" t="n">
        <f aca="false">K986+(ROW()/10000000)</f>
        <v>25.0000986</v>
      </c>
    </row>
    <row r="987" customFormat="false" ht="15" hidden="false" customHeight="false" outlineLevel="0" collapsed="false">
      <c r="A987" s="11" t="s">
        <v>1260</v>
      </c>
      <c r="B987" s="11" t="s">
        <v>26</v>
      </c>
      <c r="C987" s="11" t="s">
        <v>72</v>
      </c>
      <c r="D987" s="11" t="s">
        <v>37</v>
      </c>
      <c r="E987" s="11" t="s">
        <v>102</v>
      </c>
      <c r="F987" s="11" t="s">
        <v>74</v>
      </c>
      <c r="G987" s="21" t="n">
        <v>43.33</v>
      </c>
      <c r="H987" s="19" t="n">
        <v>45.3</v>
      </c>
      <c r="I987" s="21" t="n">
        <v>23.7</v>
      </c>
      <c r="J987" s="22" t="s">
        <v>80</v>
      </c>
      <c r="K987" s="11" t="n">
        <v>1</v>
      </c>
      <c r="L987" s="23" t="n">
        <v>3.4</v>
      </c>
      <c r="M987" s="24" t="b">
        <f aca="false">FALSE()</f>
        <v>0</v>
      </c>
      <c r="N987" s="11"/>
      <c r="O987" s="11" t="str">
        <f aca="false">IF(K987&lt;=StockP33,"Low",IF(K987&lt;=StockP67,"Moderate","High"))</f>
        <v>Low</v>
      </c>
      <c r="P987" s="11" t="str">
        <f aca="false">IF(H987=0,"Low",IF(H987&lt;=MarkdownP75,"Moderate","High"))</f>
        <v>High</v>
      </c>
      <c r="Q987" s="11" t="str">
        <f aca="false">IF(ISBLANK(L987),"Unknown",IF(L987&gt;=4,"Good",IF(L987&lt;=2,"Poor","Neutral")))</f>
        <v>Neutral</v>
      </c>
      <c r="R987" s="11" t="str">
        <f aca="false">IF(AND(O987="Low",P987="Low",Q987="Good"),"BUY / PRIORITIZE",IF(AND(O987="High",P987="High",OR(Q987="Poor",M987=TRUE())),"HOLD / REVIEW","MONITOR"))</f>
        <v>MONITOR</v>
      </c>
      <c r="S987" s="11" t="n">
        <f aca="false">K987+(ROW()/10000000)</f>
        <v>1.0000987</v>
      </c>
    </row>
    <row r="988" customFormat="false" ht="15" hidden="false" customHeight="false" outlineLevel="0" collapsed="false">
      <c r="A988" s="11" t="s">
        <v>1261</v>
      </c>
      <c r="B988" s="11" t="s">
        <v>28</v>
      </c>
      <c r="C988" s="11" t="s">
        <v>77</v>
      </c>
      <c r="D988" s="11" t="s">
        <v>34</v>
      </c>
      <c r="E988" s="11" t="s">
        <v>73</v>
      </c>
      <c r="F988" s="11" t="s">
        <v>88</v>
      </c>
      <c r="G988" s="21" t="n">
        <v>122.92</v>
      </c>
      <c r="H988" s="19" t="n">
        <v>0</v>
      </c>
      <c r="I988" s="21" t="n">
        <v>122.92</v>
      </c>
      <c r="J988" s="22" t="s">
        <v>1232</v>
      </c>
      <c r="K988" s="11" t="n">
        <v>41</v>
      </c>
      <c r="L988" s="23" t="n">
        <v>2.9</v>
      </c>
      <c r="M988" s="24" t="b">
        <f aca="false">FALSE()</f>
        <v>0</v>
      </c>
      <c r="N988" s="11"/>
      <c r="O988" s="11" t="str">
        <f aca="false">IF(K988&lt;=StockP33,"Low",IF(K988&lt;=StockP67,"Moderate","High"))</f>
        <v>High</v>
      </c>
      <c r="P988" s="11" t="str">
        <f aca="false">IF(H988=0,"Low",IF(H988&lt;=MarkdownP75,"Moderate","High"))</f>
        <v>Low</v>
      </c>
      <c r="Q988" s="11" t="str">
        <f aca="false">IF(ISBLANK(L988),"Unknown",IF(L988&gt;=4,"Good",IF(L988&lt;=2,"Poor","Neutral")))</f>
        <v>Neutral</v>
      </c>
      <c r="R988" s="11" t="str">
        <f aca="false">IF(AND(O988="Low",P988="Low",Q988="Good"),"BUY / PRIORITIZE",IF(AND(O988="High",P988="High",OR(Q988="Poor",M988=TRUE())),"HOLD / REVIEW","MONITOR"))</f>
        <v>MONITOR</v>
      </c>
      <c r="S988" s="11" t="n">
        <f aca="false">K988+(ROW()/10000000)</f>
        <v>41.0000988</v>
      </c>
    </row>
    <row r="989" customFormat="false" ht="15" hidden="false" customHeight="false" outlineLevel="0" collapsed="false">
      <c r="A989" s="11" t="s">
        <v>1262</v>
      </c>
      <c r="B989" s="11" t="s">
        <v>29</v>
      </c>
      <c r="C989" s="11" t="s">
        <v>72</v>
      </c>
      <c r="D989" s="11" t="s">
        <v>34</v>
      </c>
      <c r="E989" s="11" t="s">
        <v>91</v>
      </c>
      <c r="F989" s="11" t="s">
        <v>92</v>
      </c>
      <c r="G989" s="21" t="n">
        <v>142.84</v>
      </c>
      <c r="H989" s="19" t="n">
        <v>0</v>
      </c>
      <c r="I989" s="21" t="n">
        <v>142.84</v>
      </c>
      <c r="J989" s="22" t="s">
        <v>1263</v>
      </c>
      <c r="K989" s="11" t="n">
        <v>36</v>
      </c>
      <c r="L989" s="23"/>
      <c r="M989" s="24" t="b">
        <f aca="false">FALSE()</f>
        <v>0</v>
      </c>
      <c r="N989" s="11"/>
      <c r="O989" s="11" t="str">
        <f aca="false">IF(K989&lt;=StockP33,"Low",IF(K989&lt;=StockP67,"Moderate","High"))</f>
        <v>High</v>
      </c>
      <c r="P989" s="11" t="str">
        <f aca="false">IF(H989=0,"Low",IF(H989&lt;=MarkdownP75,"Moderate","High"))</f>
        <v>Low</v>
      </c>
      <c r="Q989" s="11" t="str">
        <f aca="false">IF(ISBLANK(L989),"Unknown",IF(L989&gt;=4,"Good",IF(L989&lt;=2,"Poor","Neutral")))</f>
        <v>Unknown</v>
      </c>
      <c r="R989" s="11" t="str">
        <f aca="false">IF(AND(O989="Low",P989="Low",Q989="Good"),"BUY / PRIORITIZE",IF(AND(O989="High",P989="High",OR(Q989="Poor",M989=TRUE())),"HOLD / REVIEW","MONITOR"))</f>
        <v>MONITOR</v>
      </c>
      <c r="S989" s="11" t="n">
        <f aca="false">K989+(ROW()/10000000)</f>
        <v>36.0000989</v>
      </c>
    </row>
    <row r="990" customFormat="false" ht="15" hidden="false" customHeight="false" outlineLevel="0" collapsed="false">
      <c r="A990" s="11" t="s">
        <v>1264</v>
      </c>
      <c r="B990" s="11" t="s">
        <v>29</v>
      </c>
      <c r="C990" s="11" t="s">
        <v>116</v>
      </c>
      <c r="D990" s="11" t="s">
        <v>35</v>
      </c>
      <c r="E990" s="11" t="s">
        <v>102</v>
      </c>
      <c r="F990" s="11" t="s">
        <v>82</v>
      </c>
      <c r="G990" s="21" t="n">
        <v>131.55</v>
      </c>
      <c r="H990" s="19" t="n">
        <v>0</v>
      </c>
      <c r="I990" s="21" t="n">
        <v>131.55</v>
      </c>
      <c r="J990" s="22" t="s">
        <v>80</v>
      </c>
      <c r="K990" s="11" t="n">
        <v>45</v>
      </c>
      <c r="L990" s="23" t="n">
        <v>1.8</v>
      </c>
      <c r="M990" s="24" t="b">
        <f aca="false">FALSE()</f>
        <v>0</v>
      </c>
      <c r="N990" s="11"/>
      <c r="O990" s="11" t="str">
        <f aca="false">IF(K990&lt;=StockP33,"Low",IF(K990&lt;=StockP67,"Moderate","High"))</f>
        <v>High</v>
      </c>
      <c r="P990" s="11" t="str">
        <f aca="false">IF(H990=0,"Low",IF(H990&lt;=MarkdownP75,"Moderate","High"))</f>
        <v>Low</v>
      </c>
      <c r="Q990" s="11" t="str">
        <f aca="false">IF(ISBLANK(L990),"Unknown",IF(L990&gt;=4,"Good",IF(L990&lt;=2,"Poor","Neutral")))</f>
        <v>Poor</v>
      </c>
      <c r="R990" s="11" t="str">
        <f aca="false">IF(AND(O990="Low",P990="Low",Q990="Good"),"BUY / PRIORITIZE",IF(AND(O990="High",P990="High",OR(Q990="Poor",M990=TRUE())),"HOLD / REVIEW","MONITOR"))</f>
        <v>MONITOR</v>
      </c>
      <c r="S990" s="11" t="n">
        <f aca="false">K990+(ROW()/10000000)</f>
        <v>45.000099</v>
      </c>
    </row>
    <row r="991" customFormat="false" ht="15" hidden="false" customHeight="false" outlineLevel="0" collapsed="false">
      <c r="A991" s="11" t="s">
        <v>1265</v>
      </c>
      <c r="B991" s="11" t="s">
        <v>28</v>
      </c>
      <c r="C991" s="11" t="s">
        <v>72</v>
      </c>
      <c r="D991" s="11" t="s">
        <v>34</v>
      </c>
      <c r="E991" s="11" t="s">
        <v>91</v>
      </c>
      <c r="F991" s="11" t="s">
        <v>74</v>
      </c>
      <c r="G991" s="21" t="n">
        <v>192.58</v>
      </c>
      <c r="H991" s="19" t="n">
        <v>0</v>
      </c>
      <c r="I991" s="21" t="n">
        <v>192.58</v>
      </c>
      <c r="J991" s="22" t="s">
        <v>1266</v>
      </c>
      <c r="K991" s="11" t="n">
        <v>16</v>
      </c>
      <c r="L991" s="23" t="n">
        <v>1.2</v>
      </c>
      <c r="M991" s="24" t="b">
        <f aca="false">FALSE()</f>
        <v>0</v>
      </c>
      <c r="N991" s="11"/>
      <c r="O991" s="11" t="str">
        <f aca="false">IF(K991&lt;=StockP33,"Low",IF(K991&lt;=StockP67,"Moderate","High"))</f>
        <v>Low</v>
      </c>
      <c r="P991" s="11" t="str">
        <f aca="false">IF(H991=0,"Low",IF(H991&lt;=MarkdownP75,"Moderate","High"))</f>
        <v>Low</v>
      </c>
      <c r="Q991" s="11" t="str">
        <f aca="false">IF(ISBLANK(L991),"Unknown",IF(L991&gt;=4,"Good",IF(L991&lt;=2,"Poor","Neutral")))</f>
        <v>Poor</v>
      </c>
      <c r="R991" s="11" t="str">
        <f aca="false">IF(AND(O991="Low",P991="Low",Q991="Good"),"BUY / PRIORITIZE",IF(AND(O991="High",P991="High",OR(Q991="Poor",M991=TRUE())),"HOLD / REVIEW","MONITOR"))</f>
        <v>MONITOR</v>
      </c>
      <c r="S991" s="11" t="n">
        <f aca="false">K991+(ROW()/10000000)</f>
        <v>16.0000991</v>
      </c>
    </row>
    <row r="992" customFormat="false" ht="15" hidden="false" customHeight="false" outlineLevel="0" collapsed="false">
      <c r="A992" s="11" t="s">
        <v>1267</v>
      </c>
      <c r="B992" s="11" t="s">
        <v>8</v>
      </c>
      <c r="C992" s="11" t="s">
        <v>107</v>
      </c>
      <c r="D992" s="11" t="s">
        <v>34</v>
      </c>
      <c r="E992" s="11"/>
      <c r="F992" s="11" t="s">
        <v>120</v>
      </c>
      <c r="G992" s="21" t="n">
        <v>33.56</v>
      </c>
      <c r="H992" s="19" t="n">
        <v>0</v>
      </c>
      <c r="I992" s="21" t="n">
        <v>33.56</v>
      </c>
      <c r="J992" s="22" t="s">
        <v>1268</v>
      </c>
      <c r="K992" s="11" t="n">
        <v>24</v>
      </c>
      <c r="L992" s="23" t="n">
        <v>3</v>
      </c>
      <c r="M992" s="24" t="b">
        <f aca="false">FALSE()</f>
        <v>0</v>
      </c>
      <c r="N992" s="11"/>
      <c r="O992" s="11" t="str">
        <f aca="false">IF(K992&lt;=StockP33,"Low",IF(K992&lt;=StockP67,"Moderate","High"))</f>
        <v>Moderate</v>
      </c>
      <c r="P992" s="11" t="str">
        <f aca="false">IF(H992=0,"Low",IF(H992&lt;=MarkdownP75,"Moderate","High"))</f>
        <v>Low</v>
      </c>
      <c r="Q992" s="11" t="str">
        <f aca="false">IF(ISBLANK(L992),"Unknown",IF(L992&gt;=4,"Good",IF(L992&lt;=2,"Poor","Neutral")))</f>
        <v>Neutral</v>
      </c>
      <c r="R992" s="11" t="str">
        <f aca="false">IF(AND(O992="Low",P992="Low",Q992="Good"),"BUY / PRIORITIZE",IF(AND(O992="High",P992="High",OR(Q992="Poor",M992=TRUE())),"HOLD / REVIEW","MONITOR"))</f>
        <v>MONITOR</v>
      </c>
      <c r="S992" s="11" t="n">
        <f aca="false">K992+(ROW()/10000000)</f>
        <v>24.0000992</v>
      </c>
    </row>
    <row r="993" customFormat="false" ht="15" hidden="false" customHeight="false" outlineLevel="0" collapsed="false">
      <c r="A993" s="11" t="s">
        <v>1269</v>
      </c>
      <c r="B993" s="11" t="s">
        <v>8</v>
      </c>
      <c r="C993" s="11" t="s">
        <v>77</v>
      </c>
      <c r="D993" s="11" t="s">
        <v>35</v>
      </c>
      <c r="E993" s="11"/>
      <c r="F993" s="11" t="s">
        <v>96</v>
      </c>
      <c r="G993" s="21" t="n">
        <v>59.1</v>
      </c>
      <c r="H993" s="19" t="n">
        <v>0</v>
      </c>
      <c r="I993" s="21" t="n">
        <v>59.1</v>
      </c>
      <c r="J993" s="22" t="s">
        <v>80</v>
      </c>
      <c r="K993" s="11" t="n">
        <v>29</v>
      </c>
      <c r="L993" s="23" t="n">
        <v>1.3</v>
      </c>
      <c r="M993" s="24" t="b">
        <f aca="false">FALSE()</f>
        <v>0</v>
      </c>
      <c r="N993" s="11"/>
      <c r="O993" s="11" t="str">
        <f aca="false">IF(K993&lt;=StockP33,"Low",IF(K993&lt;=StockP67,"Moderate","High"))</f>
        <v>Moderate</v>
      </c>
      <c r="P993" s="11" t="str">
        <f aca="false">IF(H993=0,"Low",IF(H993&lt;=MarkdownP75,"Moderate","High"))</f>
        <v>Low</v>
      </c>
      <c r="Q993" s="11" t="str">
        <f aca="false">IF(ISBLANK(L993),"Unknown",IF(L993&gt;=4,"Good",IF(L993&lt;=2,"Poor","Neutral")))</f>
        <v>Poor</v>
      </c>
      <c r="R993" s="11" t="str">
        <f aca="false">IF(AND(O993="Low",P993="Low",Q993="Good"),"BUY / PRIORITIZE",IF(AND(O993="High",P993="High",OR(Q993="Poor",M993=TRUE())),"HOLD / REVIEW","MONITOR"))</f>
        <v>MONITOR</v>
      </c>
      <c r="S993" s="11" t="n">
        <f aca="false">K993+(ROW()/10000000)</f>
        <v>29.0000993</v>
      </c>
    </row>
    <row r="994" customFormat="false" ht="15" hidden="false" customHeight="false" outlineLevel="0" collapsed="false">
      <c r="A994" s="11" t="s">
        <v>1270</v>
      </c>
      <c r="B994" s="11" t="s">
        <v>29</v>
      </c>
      <c r="C994" s="11" t="s">
        <v>116</v>
      </c>
      <c r="D994" s="11" t="s">
        <v>36</v>
      </c>
      <c r="E994" s="11" t="s">
        <v>91</v>
      </c>
      <c r="F994" s="11" t="s">
        <v>92</v>
      </c>
      <c r="G994" s="21" t="n">
        <v>109.15</v>
      </c>
      <c r="H994" s="19" t="n">
        <v>20.7</v>
      </c>
      <c r="I994" s="21" t="n">
        <v>86.56</v>
      </c>
      <c r="J994" s="22" t="s">
        <v>80</v>
      </c>
      <c r="K994" s="11" t="n">
        <v>28</v>
      </c>
      <c r="L994" s="23" t="n">
        <v>2</v>
      </c>
      <c r="M994" s="24" t="b">
        <f aca="false">TRUE()</f>
        <v>1</v>
      </c>
      <c r="N994" s="11" t="s">
        <v>178</v>
      </c>
      <c r="O994" s="11" t="str">
        <f aca="false">IF(K994&lt;=StockP33,"Low",IF(K994&lt;=StockP67,"Moderate","High"))</f>
        <v>Moderate</v>
      </c>
      <c r="P994" s="11" t="str">
        <f aca="false">IF(H994=0,"Low",IF(H994&lt;=MarkdownP75,"Moderate","High"))</f>
        <v>Moderate</v>
      </c>
      <c r="Q994" s="11" t="str">
        <f aca="false">IF(ISBLANK(L994),"Unknown",IF(L994&gt;=4,"Good",IF(L994&lt;=2,"Poor","Neutral")))</f>
        <v>Poor</v>
      </c>
      <c r="R994" s="11" t="str">
        <f aca="false">IF(AND(O994="Low",P994="Low",Q994="Good"),"BUY / PRIORITIZE",IF(AND(O994="High",P994="High",OR(Q994="Poor",M994=TRUE())),"HOLD / REVIEW","MONITOR"))</f>
        <v>MONITOR</v>
      </c>
      <c r="S994" s="11" t="n">
        <f aca="false">K994+(ROW()/10000000)</f>
        <v>28.0000994</v>
      </c>
    </row>
    <row r="995" customFormat="false" ht="15" hidden="false" customHeight="false" outlineLevel="0" collapsed="false">
      <c r="A995" s="11" t="s">
        <v>1271</v>
      </c>
      <c r="B995" s="11" t="s">
        <v>26</v>
      </c>
      <c r="C995" s="11" t="s">
        <v>107</v>
      </c>
      <c r="D995" s="11" t="s">
        <v>36</v>
      </c>
      <c r="E995" s="11"/>
      <c r="F995" s="11" t="s">
        <v>111</v>
      </c>
      <c r="G995" s="21" t="n">
        <v>59.1</v>
      </c>
      <c r="H995" s="19" t="n">
        <v>0</v>
      </c>
      <c r="I995" s="21" t="n">
        <v>59.1</v>
      </c>
      <c r="J995" s="22" t="s">
        <v>80</v>
      </c>
      <c r="K995" s="11" t="n">
        <v>47</v>
      </c>
      <c r="L995" s="23" t="n">
        <v>4.6</v>
      </c>
      <c r="M995" s="24" t="b">
        <f aca="false">FALSE()</f>
        <v>0</v>
      </c>
      <c r="N995" s="11"/>
      <c r="O995" s="11" t="str">
        <f aca="false">IF(K995&lt;=StockP33,"Low",IF(K995&lt;=StockP67,"Moderate","High"))</f>
        <v>High</v>
      </c>
      <c r="P995" s="11" t="str">
        <f aca="false">IF(H995=0,"Low",IF(H995&lt;=MarkdownP75,"Moderate","High"))</f>
        <v>Low</v>
      </c>
      <c r="Q995" s="11" t="str">
        <f aca="false">IF(ISBLANK(L995),"Unknown",IF(L995&gt;=4,"Good",IF(L995&lt;=2,"Poor","Neutral")))</f>
        <v>Good</v>
      </c>
      <c r="R995" s="11" t="str">
        <f aca="false">IF(AND(O995="Low",P995="Low",Q995="Good"),"BUY / PRIORITIZE",IF(AND(O995="High",P995="High",OR(Q995="Poor",M995=TRUE())),"HOLD / REVIEW","MONITOR"))</f>
        <v>MONITOR</v>
      </c>
      <c r="S995" s="11" t="n">
        <f aca="false">K995+(ROW()/10000000)</f>
        <v>47.0000995</v>
      </c>
    </row>
    <row r="996" customFormat="false" ht="15" hidden="false" customHeight="false" outlineLevel="0" collapsed="false">
      <c r="A996" s="11" t="s">
        <v>1272</v>
      </c>
      <c r="B996" s="11" t="s">
        <v>29</v>
      </c>
      <c r="C996" s="11" t="s">
        <v>116</v>
      </c>
      <c r="D996" s="11" t="s">
        <v>34</v>
      </c>
      <c r="E996" s="11" t="s">
        <v>113</v>
      </c>
      <c r="F996" s="11" t="s">
        <v>120</v>
      </c>
      <c r="G996" s="21" t="n">
        <v>99.33</v>
      </c>
      <c r="H996" s="19" t="n">
        <v>0</v>
      </c>
      <c r="I996" s="21" t="n">
        <v>99.33</v>
      </c>
      <c r="J996" s="22" t="s">
        <v>1173</v>
      </c>
      <c r="K996" s="11" t="n">
        <v>16</v>
      </c>
      <c r="L996" s="23" t="n">
        <v>3.9</v>
      </c>
      <c r="M996" s="24" t="b">
        <f aca="false">FALSE()</f>
        <v>0</v>
      </c>
      <c r="N996" s="11"/>
      <c r="O996" s="11" t="str">
        <f aca="false">IF(K996&lt;=StockP33,"Low",IF(K996&lt;=StockP67,"Moderate","High"))</f>
        <v>Low</v>
      </c>
      <c r="P996" s="11" t="str">
        <f aca="false">IF(H996=0,"Low",IF(H996&lt;=MarkdownP75,"Moderate","High"))</f>
        <v>Low</v>
      </c>
      <c r="Q996" s="11" t="str">
        <f aca="false">IF(ISBLANK(L996),"Unknown",IF(L996&gt;=4,"Good",IF(L996&lt;=2,"Poor","Neutral")))</f>
        <v>Neutral</v>
      </c>
      <c r="R996" s="11" t="str">
        <f aca="false">IF(AND(O996="Low",P996="Low",Q996="Good"),"BUY / PRIORITIZE",IF(AND(O996="High",P996="High",OR(Q996="Poor",M996=TRUE())),"HOLD / REVIEW","MONITOR"))</f>
        <v>MONITOR</v>
      </c>
      <c r="S996" s="11" t="n">
        <f aca="false">K996+(ROW()/10000000)</f>
        <v>16.0000996</v>
      </c>
    </row>
    <row r="997" customFormat="false" ht="15" hidden="false" customHeight="false" outlineLevel="0" collapsed="false">
      <c r="A997" s="11" t="s">
        <v>1273</v>
      </c>
      <c r="B997" s="11" t="s">
        <v>27</v>
      </c>
      <c r="C997" s="11" t="s">
        <v>107</v>
      </c>
      <c r="D997" s="11" t="s">
        <v>37</v>
      </c>
      <c r="E997" s="11" t="s">
        <v>73</v>
      </c>
      <c r="F997" s="11" t="s">
        <v>118</v>
      </c>
      <c r="G997" s="21" t="n">
        <v>92.75</v>
      </c>
      <c r="H997" s="19" t="n">
        <v>0</v>
      </c>
      <c r="I997" s="21" t="n">
        <v>92.75</v>
      </c>
      <c r="J997" s="22" t="s">
        <v>80</v>
      </c>
      <c r="K997" s="11" t="n">
        <v>29</v>
      </c>
      <c r="L997" s="23"/>
      <c r="M997" s="24" t="b">
        <f aca="false">TRUE()</f>
        <v>1</v>
      </c>
      <c r="N997" s="11" t="s">
        <v>178</v>
      </c>
      <c r="O997" s="11" t="str">
        <f aca="false">IF(K997&lt;=StockP33,"Low",IF(K997&lt;=StockP67,"Moderate","High"))</f>
        <v>Moderate</v>
      </c>
      <c r="P997" s="11" t="str">
        <f aca="false">IF(H997=0,"Low",IF(H997&lt;=MarkdownP75,"Moderate","High"))</f>
        <v>Low</v>
      </c>
      <c r="Q997" s="11" t="str">
        <f aca="false">IF(ISBLANK(L997),"Unknown",IF(L997&gt;=4,"Good",IF(L997&lt;=2,"Poor","Neutral")))</f>
        <v>Unknown</v>
      </c>
      <c r="R997" s="11" t="str">
        <f aca="false">IF(AND(O997="Low",P997="Low",Q997="Good"),"BUY / PRIORITIZE",IF(AND(O997="High",P997="High",OR(Q997="Poor",M997=TRUE())),"HOLD / REVIEW","MONITOR"))</f>
        <v>MONITOR</v>
      </c>
      <c r="S997" s="11" t="n">
        <f aca="false">K997+(ROW()/10000000)</f>
        <v>29.0000997</v>
      </c>
    </row>
    <row r="998" customFormat="false" ht="15" hidden="false" customHeight="false" outlineLevel="0" collapsed="false">
      <c r="A998" s="11" t="s">
        <v>1274</v>
      </c>
      <c r="B998" s="11" t="s">
        <v>30</v>
      </c>
      <c r="C998" s="11" t="s">
        <v>72</v>
      </c>
      <c r="D998" s="11" t="s">
        <v>35</v>
      </c>
      <c r="E998" s="11" t="s">
        <v>91</v>
      </c>
      <c r="F998" s="11" t="s">
        <v>111</v>
      </c>
      <c r="G998" s="21" t="n">
        <v>116.82</v>
      </c>
      <c r="H998" s="19" t="n">
        <v>0</v>
      </c>
      <c r="I998" s="21" t="n">
        <v>116.82</v>
      </c>
      <c r="J998" s="22" t="s">
        <v>80</v>
      </c>
      <c r="K998" s="11" t="n">
        <v>34</v>
      </c>
      <c r="L998" s="23"/>
      <c r="M998" s="24" t="b">
        <f aca="false">FALSE()</f>
        <v>0</v>
      </c>
      <c r="N998" s="11"/>
      <c r="O998" s="11" t="str">
        <f aca="false">IF(K998&lt;=StockP33,"Low",IF(K998&lt;=StockP67,"Moderate","High"))</f>
        <v>High</v>
      </c>
      <c r="P998" s="11" t="str">
        <f aca="false">IF(H998=0,"Low",IF(H998&lt;=MarkdownP75,"Moderate","High"))</f>
        <v>Low</v>
      </c>
      <c r="Q998" s="11" t="str">
        <f aca="false">IF(ISBLANK(L998),"Unknown",IF(L998&gt;=4,"Good",IF(L998&lt;=2,"Poor","Neutral")))</f>
        <v>Unknown</v>
      </c>
      <c r="R998" s="11" t="str">
        <f aca="false">IF(AND(O998="Low",P998="Low",Q998="Good"),"BUY / PRIORITIZE",IF(AND(O998="High",P998="High",OR(Q998="Poor",M998=TRUE())),"HOLD / REVIEW","MONITOR"))</f>
        <v>MONITOR</v>
      </c>
      <c r="S998" s="11" t="n">
        <f aca="false">K998+(ROW()/10000000)</f>
        <v>34.0000998</v>
      </c>
    </row>
    <row r="999" customFormat="false" ht="15" hidden="false" customHeight="false" outlineLevel="0" collapsed="false">
      <c r="A999" s="11" t="s">
        <v>1275</v>
      </c>
      <c r="B999" s="11" t="s">
        <v>28</v>
      </c>
      <c r="C999" s="11" t="s">
        <v>107</v>
      </c>
      <c r="D999" s="11" t="s">
        <v>35</v>
      </c>
      <c r="E999" s="11" t="s">
        <v>73</v>
      </c>
      <c r="F999" s="11" t="s">
        <v>98</v>
      </c>
      <c r="G999" s="21" t="n">
        <v>129.78</v>
      </c>
      <c r="H999" s="19" t="n">
        <v>9.5</v>
      </c>
      <c r="I999" s="21" t="n">
        <v>117.45</v>
      </c>
      <c r="J999" s="22" t="s">
        <v>80</v>
      </c>
      <c r="K999" s="11" t="n">
        <v>17</v>
      </c>
      <c r="L999" s="23" t="n">
        <v>4</v>
      </c>
      <c r="M999" s="24" t="b">
        <f aca="false">FALSE()</f>
        <v>0</v>
      </c>
      <c r="N999" s="11"/>
      <c r="O999" s="11" t="str">
        <f aca="false">IF(K999&lt;=StockP33,"Low",IF(K999&lt;=StockP67,"Moderate","High"))</f>
        <v>Low</v>
      </c>
      <c r="P999" s="11" t="str">
        <f aca="false">IF(H999=0,"Low",IF(H999&lt;=MarkdownP75,"Moderate","High"))</f>
        <v>Moderate</v>
      </c>
      <c r="Q999" s="11" t="str">
        <f aca="false">IF(ISBLANK(L999),"Unknown",IF(L999&gt;=4,"Good",IF(L999&lt;=2,"Poor","Neutral")))</f>
        <v>Good</v>
      </c>
      <c r="R999" s="11" t="str">
        <f aca="false">IF(AND(O999="Low",P999="Low",Q999="Good"),"BUY / PRIORITIZE",IF(AND(O999="High",P999="High",OR(Q999="Poor",M999=TRUE())),"HOLD / REVIEW","MONITOR"))</f>
        <v>MONITOR</v>
      </c>
      <c r="S999" s="11" t="n">
        <f aca="false">K999+(ROW()/10000000)</f>
        <v>17.0000999</v>
      </c>
    </row>
    <row r="1000" customFormat="false" ht="15" hidden="false" customHeight="false" outlineLevel="0" collapsed="false">
      <c r="A1000" s="11" t="s">
        <v>1276</v>
      </c>
      <c r="B1000" s="11" t="s">
        <v>27</v>
      </c>
      <c r="C1000" s="11" t="s">
        <v>86</v>
      </c>
      <c r="D1000" s="11" t="s">
        <v>34</v>
      </c>
      <c r="E1000" s="11" t="s">
        <v>110</v>
      </c>
      <c r="F1000" s="11" t="s">
        <v>124</v>
      </c>
      <c r="G1000" s="21" t="n">
        <v>135.69</v>
      </c>
      <c r="H1000" s="19" t="n">
        <v>3</v>
      </c>
      <c r="I1000" s="21" t="n">
        <v>131.62</v>
      </c>
      <c r="J1000" s="22" t="s">
        <v>1032</v>
      </c>
      <c r="K1000" s="11" t="n">
        <v>16</v>
      </c>
      <c r="L1000" s="23"/>
      <c r="M1000" s="24" t="b">
        <f aca="false">FALSE()</f>
        <v>0</v>
      </c>
      <c r="N1000" s="11"/>
      <c r="O1000" s="11" t="str">
        <f aca="false">IF(K1000&lt;=StockP33,"Low",IF(K1000&lt;=StockP67,"Moderate","High"))</f>
        <v>Low</v>
      </c>
      <c r="P1000" s="11" t="str">
        <f aca="false">IF(H1000=0,"Low",IF(H1000&lt;=MarkdownP75,"Moderate","High"))</f>
        <v>Moderate</v>
      </c>
      <c r="Q1000" s="11" t="str">
        <f aca="false">IF(ISBLANK(L1000),"Unknown",IF(L1000&gt;=4,"Good",IF(L1000&lt;=2,"Poor","Neutral")))</f>
        <v>Unknown</v>
      </c>
      <c r="R1000" s="11" t="str">
        <f aca="false">IF(AND(O1000="Low",P1000="Low",Q1000="Good"),"BUY / PRIORITIZE",IF(AND(O1000="High",P1000="High",OR(Q1000="Poor",M1000=TRUE())),"HOLD / REVIEW","MONITOR"))</f>
        <v>MONITOR</v>
      </c>
      <c r="S1000" s="11" t="n">
        <f aca="false">K1000+(ROW()/10000000)</f>
        <v>16.0001</v>
      </c>
    </row>
    <row r="1001" customFormat="false" ht="15" hidden="false" customHeight="false" outlineLevel="0" collapsed="false">
      <c r="A1001" s="11" t="s">
        <v>1277</v>
      </c>
      <c r="B1001" s="11" t="s">
        <v>27</v>
      </c>
      <c r="C1001" s="11" t="s">
        <v>116</v>
      </c>
      <c r="D1001" s="11" t="s">
        <v>36</v>
      </c>
      <c r="E1001" s="11"/>
      <c r="F1001" s="11" t="s">
        <v>74</v>
      </c>
      <c r="G1001" s="21" t="n">
        <v>48.14</v>
      </c>
      <c r="H1001" s="19" t="n">
        <v>28.3</v>
      </c>
      <c r="I1001" s="21" t="n">
        <v>34.52</v>
      </c>
      <c r="J1001" s="22" t="s">
        <v>80</v>
      </c>
      <c r="K1001" s="11" t="n">
        <v>41</v>
      </c>
      <c r="L1001" s="23"/>
      <c r="M1001" s="24" t="b">
        <f aca="false">FALSE()</f>
        <v>0</v>
      </c>
      <c r="N1001" s="11"/>
      <c r="O1001" s="11" t="str">
        <f aca="false">IF(K1001&lt;=StockP33,"Low",IF(K1001&lt;=StockP67,"Moderate","High"))</f>
        <v>High</v>
      </c>
      <c r="P1001" s="11" t="str">
        <f aca="false">IF(H1001=0,"Low",IF(H1001&lt;=MarkdownP75,"Moderate","High"))</f>
        <v>High</v>
      </c>
      <c r="Q1001" s="11" t="str">
        <f aca="false">IF(ISBLANK(L1001),"Unknown",IF(L1001&gt;=4,"Good",IF(L1001&lt;=2,"Poor","Neutral")))</f>
        <v>Unknown</v>
      </c>
      <c r="R1001" s="11" t="str">
        <f aca="false">IF(AND(O1001="Low",P1001="Low",Q1001="Good"),"BUY / PRIORITIZE",IF(AND(O1001="High",P1001="High",OR(Q1001="Poor",M1001=TRUE())),"HOLD / REVIEW","MONITOR"))</f>
        <v>MONITOR</v>
      </c>
      <c r="S1001" s="11" t="n">
        <f aca="false">K1001+(ROW()/10000000)</f>
        <v>41.0001001</v>
      </c>
    </row>
    <row r="1002" customFormat="false" ht="15" hidden="false" customHeight="false" outlineLevel="0" collapsed="false">
      <c r="A1002" s="11" t="s">
        <v>1278</v>
      </c>
      <c r="B1002" s="11" t="s">
        <v>27</v>
      </c>
      <c r="C1002" s="11" t="s">
        <v>95</v>
      </c>
      <c r="D1002" s="11" t="s">
        <v>36</v>
      </c>
      <c r="E1002" s="11" t="s">
        <v>110</v>
      </c>
      <c r="F1002" s="11" t="s">
        <v>96</v>
      </c>
      <c r="G1002" s="21" t="n">
        <v>142.96</v>
      </c>
      <c r="H1002" s="19" t="n">
        <v>47.7</v>
      </c>
      <c r="I1002" s="21" t="n">
        <v>74.77</v>
      </c>
      <c r="J1002" s="22" t="s">
        <v>80</v>
      </c>
      <c r="K1002" s="11" t="n">
        <v>7</v>
      </c>
      <c r="L1002" s="23"/>
      <c r="M1002" s="24" t="b">
        <f aca="false">FALSE()</f>
        <v>0</v>
      </c>
      <c r="N1002" s="11"/>
      <c r="O1002" s="11" t="str">
        <f aca="false">IF(K1002&lt;=StockP33,"Low",IF(K1002&lt;=StockP67,"Moderate","High"))</f>
        <v>Low</v>
      </c>
      <c r="P1002" s="11" t="str">
        <f aca="false">IF(H1002=0,"Low",IF(H1002&lt;=MarkdownP75,"Moderate","High"))</f>
        <v>High</v>
      </c>
      <c r="Q1002" s="11" t="str">
        <f aca="false">IF(ISBLANK(L1002),"Unknown",IF(L1002&gt;=4,"Good",IF(L1002&lt;=2,"Poor","Neutral")))</f>
        <v>Unknown</v>
      </c>
      <c r="R1002" s="11" t="str">
        <f aca="false">IF(AND(O1002="Low",P1002="Low",Q1002="Good"),"BUY / PRIORITIZE",IF(AND(O1002="High",P1002="High",OR(Q1002="Poor",M1002=TRUE())),"HOLD / REVIEW","MONITOR"))</f>
        <v>MONITOR</v>
      </c>
      <c r="S1002" s="11" t="n">
        <f aca="false">K1002+(ROW()/10000000)</f>
        <v>7.0001002</v>
      </c>
    </row>
    <row r="1003" customFormat="false" ht="15" hidden="false" customHeight="false" outlineLevel="0" collapsed="false">
      <c r="A1003" s="11" t="s">
        <v>1279</v>
      </c>
      <c r="B1003" s="11" t="s">
        <v>30</v>
      </c>
      <c r="C1003" s="11" t="s">
        <v>130</v>
      </c>
      <c r="D1003" s="11" t="s">
        <v>34</v>
      </c>
      <c r="E1003" s="11" t="s">
        <v>78</v>
      </c>
      <c r="F1003" s="11" t="s">
        <v>111</v>
      </c>
      <c r="G1003" s="21" t="n">
        <v>51.72</v>
      </c>
      <c r="H1003" s="19" t="n">
        <v>0</v>
      </c>
      <c r="I1003" s="21" t="n">
        <v>51.72</v>
      </c>
      <c r="J1003" s="22" t="s">
        <v>1263</v>
      </c>
      <c r="K1003" s="11" t="n">
        <v>50</v>
      </c>
      <c r="L1003" s="23"/>
      <c r="M1003" s="24" t="b">
        <f aca="false">FALSE()</f>
        <v>0</v>
      </c>
      <c r="N1003" s="11"/>
      <c r="O1003" s="11" t="str">
        <f aca="false">IF(K1003&lt;=StockP33,"Low",IF(K1003&lt;=StockP67,"Moderate","High"))</f>
        <v>High</v>
      </c>
      <c r="P1003" s="11" t="str">
        <f aca="false">IF(H1003=0,"Low",IF(H1003&lt;=MarkdownP75,"Moderate","High"))</f>
        <v>Low</v>
      </c>
      <c r="Q1003" s="11" t="str">
        <f aca="false">IF(ISBLANK(L1003),"Unknown",IF(L1003&gt;=4,"Good",IF(L1003&lt;=2,"Poor","Neutral")))</f>
        <v>Unknown</v>
      </c>
      <c r="R1003" s="11" t="str">
        <f aca="false">IF(AND(O1003="Low",P1003="Low",Q1003="Good"),"BUY / PRIORITIZE",IF(AND(O1003="High",P1003="High",OR(Q1003="Poor",M1003=TRUE())),"HOLD / REVIEW","MONITOR"))</f>
        <v>MONITOR</v>
      </c>
      <c r="S1003" s="11" t="n">
        <f aca="false">K1003+(ROW()/10000000)</f>
        <v>50.0001003</v>
      </c>
    </row>
    <row r="1004" customFormat="false" ht="15" hidden="false" customHeight="false" outlineLevel="0" collapsed="false">
      <c r="A1004" s="11" t="s">
        <v>1280</v>
      </c>
      <c r="B1004" s="11" t="s">
        <v>8</v>
      </c>
      <c r="C1004" s="11" t="s">
        <v>72</v>
      </c>
      <c r="D1004" s="11" t="s">
        <v>36</v>
      </c>
      <c r="E1004" s="11"/>
      <c r="F1004" s="11" t="s">
        <v>124</v>
      </c>
      <c r="G1004" s="21" t="n">
        <v>18.3</v>
      </c>
      <c r="H1004" s="19" t="n">
        <v>38.3</v>
      </c>
      <c r="I1004" s="21" t="n">
        <v>11.29</v>
      </c>
      <c r="J1004" s="22" t="s">
        <v>80</v>
      </c>
      <c r="K1004" s="11" t="n">
        <v>14</v>
      </c>
      <c r="L1004" s="23" t="n">
        <v>1.1</v>
      </c>
      <c r="M1004" s="24" t="b">
        <f aca="false">FALSE()</f>
        <v>0</v>
      </c>
      <c r="N1004" s="11"/>
      <c r="O1004" s="11" t="str">
        <f aca="false">IF(K1004&lt;=StockP33,"Low",IF(K1004&lt;=StockP67,"Moderate","High"))</f>
        <v>Low</v>
      </c>
      <c r="P1004" s="11" t="str">
        <f aca="false">IF(H1004=0,"Low",IF(H1004&lt;=MarkdownP75,"Moderate","High"))</f>
        <v>High</v>
      </c>
      <c r="Q1004" s="11" t="str">
        <f aca="false">IF(ISBLANK(L1004),"Unknown",IF(L1004&gt;=4,"Good",IF(L1004&lt;=2,"Poor","Neutral")))</f>
        <v>Poor</v>
      </c>
      <c r="R1004" s="11" t="str">
        <f aca="false">IF(AND(O1004="Low",P1004="Low",Q1004="Good"),"BUY / PRIORITIZE",IF(AND(O1004="High",P1004="High",OR(Q1004="Poor",M1004=TRUE())),"HOLD / REVIEW","MONITOR"))</f>
        <v>MONITOR</v>
      </c>
      <c r="S1004" s="11" t="n">
        <f aca="false">K1004+(ROW()/10000000)</f>
        <v>14.0001004</v>
      </c>
    </row>
    <row r="1005" customFormat="false" ht="15" hidden="false" customHeight="false" outlineLevel="0" collapsed="false">
      <c r="A1005" s="11" t="s">
        <v>1281</v>
      </c>
      <c r="B1005" s="11" t="s">
        <v>28</v>
      </c>
      <c r="C1005" s="11" t="s">
        <v>95</v>
      </c>
      <c r="D1005" s="11" t="s">
        <v>34</v>
      </c>
      <c r="E1005" s="11" t="s">
        <v>78</v>
      </c>
      <c r="F1005" s="11" t="s">
        <v>118</v>
      </c>
      <c r="G1005" s="21" t="n">
        <v>214.99</v>
      </c>
      <c r="H1005" s="19" t="n">
        <v>29</v>
      </c>
      <c r="I1005" s="21" t="n">
        <v>152.64</v>
      </c>
      <c r="J1005" s="22" t="s">
        <v>247</v>
      </c>
      <c r="K1005" s="11" t="n">
        <v>32</v>
      </c>
      <c r="L1005" s="23" t="n">
        <v>2.8</v>
      </c>
      <c r="M1005" s="24" t="b">
        <f aca="false">TRUE()</f>
        <v>1</v>
      </c>
      <c r="N1005" s="11" t="s">
        <v>191</v>
      </c>
      <c r="O1005" s="11" t="str">
        <f aca="false">IF(K1005&lt;=StockP33,"Low",IF(K1005&lt;=StockP67,"Moderate","High"))</f>
        <v>Moderate</v>
      </c>
      <c r="P1005" s="11" t="str">
        <f aca="false">IF(H1005=0,"Low",IF(H1005&lt;=MarkdownP75,"Moderate","High"))</f>
        <v>High</v>
      </c>
      <c r="Q1005" s="11" t="str">
        <f aca="false">IF(ISBLANK(L1005),"Unknown",IF(L1005&gt;=4,"Good",IF(L1005&lt;=2,"Poor","Neutral")))</f>
        <v>Neutral</v>
      </c>
      <c r="R1005" s="11" t="str">
        <f aca="false">IF(AND(O1005="Low",P1005="Low",Q1005="Good"),"BUY / PRIORITIZE",IF(AND(O1005="High",P1005="High",OR(Q1005="Poor",M1005=TRUE())),"HOLD / REVIEW","MONITOR"))</f>
        <v>MONITOR</v>
      </c>
      <c r="S1005" s="11" t="n">
        <f aca="false">K1005+(ROW()/10000000)</f>
        <v>32.0001005</v>
      </c>
    </row>
    <row r="1006" customFormat="false" ht="15" hidden="false" customHeight="false" outlineLevel="0" collapsed="false">
      <c r="A1006" s="11" t="s">
        <v>1282</v>
      </c>
      <c r="B1006" s="11" t="s">
        <v>8</v>
      </c>
      <c r="C1006" s="11" t="s">
        <v>116</v>
      </c>
      <c r="D1006" s="11" t="s">
        <v>34</v>
      </c>
      <c r="E1006" s="11"/>
      <c r="F1006" s="11" t="s">
        <v>74</v>
      </c>
      <c r="G1006" s="21" t="n">
        <v>20.77</v>
      </c>
      <c r="H1006" s="19" t="n">
        <v>0</v>
      </c>
      <c r="I1006" s="21" t="n">
        <v>20.77</v>
      </c>
      <c r="J1006" s="22" t="s">
        <v>1283</v>
      </c>
      <c r="K1006" s="11" t="n">
        <v>31</v>
      </c>
      <c r="L1006" s="23" t="n">
        <v>2</v>
      </c>
      <c r="M1006" s="24" t="b">
        <f aca="false">FALSE()</f>
        <v>0</v>
      </c>
      <c r="N1006" s="11"/>
      <c r="O1006" s="11" t="str">
        <f aca="false">IF(K1006&lt;=StockP33,"Low",IF(K1006&lt;=StockP67,"Moderate","High"))</f>
        <v>Moderate</v>
      </c>
      <c r="P1006" s="11" t="str">
        <f aca="false">IF(H1006=0,"Low",IF(H1006&lt;=MarkdownP75,"Moderate","High"))</f>
        <v>Low</v>
      </c>
      <c r="Q1006" s="11" t="str">
        <f aca="false">IF(ISBLANK(L1006),"Unknown",IF(L1006&gt;=4,"Good",IF(L1006&lt;=2,"Poor","Neutral")))</f>
        <v>Poor</v>
      </c>
      <c r="R1006" s="11" t="str">
        <f aca="false">IF(AND(O1006="Low",P1006="Low",Q1006="Good"),"BUY / PRIORITIZE",IF(AND(O1006="High",P1006="High",OR(Q1006="Poor",M1006=TRUE())),"HOLD / REVIEW","MONITOR"))</f>
        <v>MONITOR</v>
      </c>
      <c r="S1006" s="11" t="n">
        <f aca="false">K1006+(ROW()/10000000)</f>
        <v>31.0001006</v>
      </c>
    </row>
    <row r="1007" customFormat="false" ht="15" hidden="false" customHeight="false" outlineLevel="0" collapsed="false">
      <c r="A1007" s="11" t="s">
        <v>1284</v>
      </c>
      <c r="B1007" s="11" t="s">
        <v>8</v>
      </c>
      <c r="C1007" s="11" t="s">
        <v>116</v>
      </c>
      <c r="D1007" s="11" t="s">
        <v>35</v>
      </c>
      <c r="E1007" s="11"/>
      <c r="F1007" s="11" t="s">
        <v>79</v>
      </c>
      <c r="G1007" s="21" t="n">
        <v>77.96</v>
      </c>
      <c r="H1007" s="19" t="n">
        <v>0</v>
      </c>
      <c r="I1007" s="21" t="n">
        <v>77.96</v>
      </c>
      <c r="J1007" s="22" t="s">
        <v>80</v>
      </c>
      <c r="K1007" s="11" t="n">
        <v>39</v>
      </c>
      <c r="L1007" s="23" t="n">
        <v>4.8</v>
      </c>
      <c r="M1007" s="24" t="b">
        <f aca="false">FALSE()</f>
        <v>0</v>
      </c>
      <c r="N1007" s="11"/>
      <c r="O1007" s="11" t="str">
        <f aca="false">IF(K1007&lt;=StockP33,"Low",IF(K1007&lt;=StockP67,"Moderate","High"))</f>
        <v>High</v>
      </c>
      <c r="P1007" s="11" t="str">
        <f aca="false">IF(H1007=0,"Low",IF(H1007&lt;=MarkdownP75,"Moderate","High"))</f>
        <v>Low</v>
      </c>
      <c r="Q1007" s="11" t="str">
        <f aca="false">IF(ISBLANK(L1007),"Unknown",IF(L1007&gt;=4,"Good",IF(L1007&lt;=2,"Poor","Neutral")))</f>
        <v>Good</v>
      </c>
      <c r="R1007" s="11" t="str">
        <f aca="false">IF(AND(O1007="Low",P1007="Low",Q1007="Good"),"BUY / PRIORITIZE",IF(AND(O1007="High",P1007="High",OR(Q1007="Poor",M1007=TRUE())),"HOLD / REVIEW","MONITOR"))</f>
        <v>MONITOR</v>
      </c>
      <c r="S1007" s="11" t="n">
        <f aca="false">K1007+(ROW()/10000000)</f>
        <v>39.0001007</v>
      </c>
    </row>
    <row r="1008" customFormat="false" ht="15" hidden="false" customHeight="false" outlineLevel="0" collapsed="false">
      <c r="A1008" s="11" t="s">
        <v>1285</v>
      </c>
      <c r="B1008" s="11" t="s">
        <v>8</v>
      </c>
      <c r="C1008" s="11" t="s">
        <v>72</v>
      </c>
      <c r="D1008" s="11" t="s">
        <v>36</v>
      </c>
      <c r="E1008" s="11"/>
      <c r="F1008" s="11" t="s">
        <v>120</v>
      </c>
      <c r="G1008" s="21" t="n">
        <v>73.33</v>
      </c>
      <c r="H1008" s="19" t="n">
        <v>34.6</v>
      </c>
      <c r="I1008" s="21" t="n">
        <v>47.96</v>
      </c>
      <c r="J1008" s="22" t="s">
        <v>80</v>
      </c>
      <c r="K1008" s="11" t="n">
        <v>45</v>
      </c>
      <c r="L1008" s="23" t="n">
        <v>2.1</v>
      </c>
      <c r="M1008" s="24" t="b">
        <f aca="false">FALSE()</f>
        <v>0</v>
      </c>
      <c r="N1008" s="11"/>
      <c r="O1008" s="11" t="str">
        <f aca="false">IF(K1008&lt;=StockP33,"Low",IF(K1008&lt;=StockP67,"Moderate","High"))</f>
        <v>High</v>
      </c>
      <c r="P1008" s="11" t="str">
        <f aca="false">IF(H1008=0,"Low",IF(H1008&lt;=MarkdownP75,"Moderate","High"))</f>
        <v>High</v>
      </c>
      <c r="Q1008" s="11" t="str">
        <f aca="false">IF(ISBLANK(L1008),"Unknown",IF(L1008&gt;=4,"Good",IF(L1008&lt;=2,"Poor","Neutral")))</f>
        <v>Neutral</v>
      </c>
      <c r="R1008" s="11" t="str">
        <f aca="false">IF(AND(O1008="Low",P1008="Low",Q1008="Good"),"BUY / PRIORITIZE",IF(AND(O1008="High",P1008="High",OR(Q1008="Poor",M1008=TRUE())),"HOLD / REVIEW","MONITOR"))</f>
        <v>MONITOR</v>
      </c>
      <c r="S1008" s="11" t="n">
        <f aca="false">K1008+(ROW()/10000000)</f>
        <v>45.0001008</v>
      </c>
    </row>
    <row r="1009" customFormat="false" ht="15" hidden="false" customHeight="false" outlineLevel="0" collapsed="false">
      <c r="A1009" s="11" t="s">
        <v>1286</v>
      </c>
      <c r="B1009" s="11" t="s">
        <v>8</v>
      </c>
      <c r="C1009" s="11" t="s">
        <v>130</v>
      </c>
      <c r="D1009" s="11" t="s">
        <v>36</v>
      </c>
      <c r="E1009" s="11"/>
      <c r="F1009" s="11" t="s">
        <v>120</v>
      </c>
      <c r="G1009" s="21" t="n">
        <v>75.22</v>
      </c>
      <c r="H1009" s="19" t="n">
        <v>25.9</v>
      </c>
      <c r="I1009" s="21" t="n">
        <v>55.74</v>
      </c>
      <c r="J1009" s="22" t="s">
        <v>80</v>
      </c>
      <c r="K1009" s="11" t="n">
        <v>31</v>
      </c>
      <c r="L1009" s="23" t="n">
        <v>1.9</v>
      </c>
      <c r="M1009" s="24" t="b">
        <f aca="false">TRUE()</f>
        <v>1</v>
      </c>
      <c r="N1009" s="11" t="s">
        <v>89</v>
      </c>
      <c r="O1009" s="11" t="str">
        <f aca="false">IF(K1009&lt;=StockP33,"Low",IF(K1009&lt;=StockP67,"Moderate","High"))</f>
        <v>Moderate</v>
      </c>
      <c r="P1009" s="11" t="str">
        <f aca="false">IF(H1009=0,"Low",IF(H1009&lt;=MarkdownP75,"Moderate","High"))</f>
        <v>High</v>
      </c>
      <c r="Q1009" s="11" t="str">
        <f aca="false">IF(ISBLANK(L1009),"Unknown",IF(L1009&gt;=4,"Good",IF(L1009&lt;=2,"Poor","Neutral")))</f>
        <v>Poor</v>
      </c>
      <c r="R1009" s="11" t="str">
        <f aca="false">IF(AND(O1009="Low",P1009="Low",Q1009="Good"),"BUY / PRIORITIZE",IF(AND(O1009="High",P1009="High",OR(Q1009="Poor",M1009=TRUE())),"HOLD / REVIEW","MONITOR"))</f>
        <v>MONITOR</v>
      </c>
      <c r="S1009" s="11" t="n">
        <f aca="false">K1009+(ROW()/10000000)</f>
        <v>31.0001009</v>
      </c>
    </row>
    <row r="1010" customFormat="false" ht="15" hidden="false" customHeight="false" outlineLevel="0" collapsed="false">
      <c r="A1010" s="11" t="s">
        <v>1287</v>
      </c>
      <c r="B1010" s="11" t="s">
        <v>26</v>
      </c>
      <c r="C1010" s="11" t="s">
        <v>116</v>
      </c>
      <c r="D1010" s="11" t="s">
        <v>36</v>
      </c>
      <c r="E1010" s="11" t="s">
        <v>110</v>
      </c>
      <c r="F1010" s="11" t="s">
        <v>82</v>
      </c>
      <c r="G1010" s="21" t="n">
        <v>46.65</v>
      </c>
      <c r="H1010" s="19" t="n">
        <v>24.2</v>
      </c>
      <c r="I1010" s="21" t="n">
        <v>35.36</v>
      </c>
      <c r="J1010" s="22" t="s">
        <v>80</v>
      </c>
      <c r="K1010" s="11" t="n">
        <v>8</v>
      </c>
      <c r="L1010" s="23" t="n">
        <v>3.2</v>
      </c>
      <c r="M1010" s="24" t="b">
        <f aca="false">FALSE()</f>
        <v>0</v>
      </c>
      <c r="N1010" s="11"/>
      <c r="O1010" s="11" t="str">
        <f aca="false">IF(K1010&lt;=StockP33,"Low",IF(K1010&lt;=StockP67,"Moderate","High"))</f>
        <v>Low</v>
      </c>
      <c r="P1010" s="11" t="str">
        <f aca="false">IF(H1010=0,"Low",IF(H1010&lt;=MarkdownP75,"Moderate","High"))</f>
        <v>High</v>
      </c>
      <c r="Q1010" s="11" t="str">
        <f aca="false">IF(ISBLANK(L1010),"Unknown",IF(L1010&gt;=4,"Good",IF(L1010&lt;=2,"Poor","Neutral")))</f>
        <v>Neutral</v>
      </c>
      <c r="R1010" s="11" t="str">
        <f aca="false">IF(AND(O1010="Low",P1010="Low",Q1010="Good"),"BUY / PRIORITIZE",IF(AND(O1010="High",P1010="High",OR(Q1010="Poor",M1010=TRUE())),"HOLD / REVIEW","MONITOR"))</f>
        <v>MONITOR</v>
      </c>
      <c r="S1010" s="11" t="n">
        <f aca="false">K1010+(ROW()/10000000)</f>
        <v>8.000101</v>
      </c>
    </row>
    <row r="1011" customFormat="false" ht="15" hidden="false" customHeight="false" outlineLevel="0" collapsed="false">
      <c r="A1011" s="11" t="s">
        <v>1288</v>
      </c>
      <c r="B1011" s="11" t="s">
        <v>27</v>
      </c>
      <c r="C1011" s="11" t="s">
        <v>95</v>
      </c>
      <c r="D1011" s="11" t="s">
        <v>36</v>
      </c>
      <c r="E1011" s="11" t="s">
        <v>102</v>
      </c>
      <c r="F1011" s="11" t="s">
        <v>79</v>
      </c>
      <c r="G1011" s="21" t="n">
        <v>108.19</v>
      </c>
      <c r="H1011" s="19" t="n">
        <v>0</v>
      </c>
      <c r="I1011" s="21" t="n">
        <v>108.19</v>
      </c>
      <c r="J1011" s="22" t="s">
        <v>80</v>
      </c>
      <c r="K1011" s="11" t="n">
        <v>21</v>
      </c>
      <c r="L1011" s="23"/>
      <c r="M1011" s="24" t="b">
        <f aca="false">FALSE()</f>
        <v>0</v>
      </c>
      <c r="N1011" s="11"/>
      <c r="O1011" s="11" t="str">
        <f aca="false">IF(K1011&lt;=StockP33,"Low",IF(K1011&lt;=StockP67,"Moderate","High"))</f>
        <v>Moderate</v>
      </c>
      <c r="P1011" s="11" t="str">
        <f aca="false">IF(H1011=0,"Low",IF(H1011&lt;=MarkdownP75,"Moderate","High"))</f>
        <v>Low</v>
      </c>
      <c r="Q1011" s="11" t="str">
        <f aca="false">IF(ISBLANK(L1011),"Unknown",IF(L1011&gt;=4,"Good",IF(L1011&lt;=2,"Poor","Neutral")))</f>
        <v>Unknown</v>
      </c>
      <c r="R1011" s="11" t="str">
        <f aca="false">IF(AND(O1011="Low",P1011="Low",Q1011="Good"),"BUY / PRIORITIZE",IF(AND(O1011="High",P1011="High",OR(Q1011="Poor",M1011=TRUE())),"HOLD / REVIEW","MONITOR"))</f>
        <v>MONITOR</v>
      </c>
      <c r="S1011" s="11" t="n">
        <f aca="false">K1011+(ROW()/10000000)</f>
        <v>21.0001011</v>
      </c>
    </row>
    <row r="1012" customFormat="false" ht="15" hidden="false" customHeight="false" outlineLevel="0" collapsed="false">
      <c r="A1012" s="11" t="s">
        <v>1289</v>
      </c>
      <c r="B1012" s="11" t="s">
        <v>27</v>
      </c>
      <c r="C1012" s="11" t="s">
        <v>72</v>
      </c>
      <c r="D1012" s="11" t="s">
        <v>34</v>
      </c>
      <c r="E1012" s="11" t="s">
        <v>78</v>
      </c>
      <c r="F1012" s="11" t="s">
        <v>74</v>
      </c>
      <c r="G1012" s="21" t="n">
        <v>62.82</v>
      </c>
      <c r="H1012" s="19" t="n">
        <v>0</v>
      </c>
      <c r="I1012" s="21" t="n">
        <v>62.82</v>
      </c>
      <c r="J1012" s="22" t="s">
        <v>577</v>
      </c>
      <c r="K1012" s="11" t="n">
        <v>36</v>
      </c>
      <c r="L1012" s="23" t="n">
        <v>2.1</v>
      </c>
      <c r="M1012" s="24" t="b">
        <f aca="false">FALSE()</f>
        <v>0</v>
      </c>
      <c r="N1012" s="11"/>
      <c r="O1012" s="11" t="str">
        <f aca="false">IF(K1012&lt;=StockP33,"Low",IF(K1012&lt;=StockP67,"Moderate","High"))</f>
        <v>High</v>
      </c>
      <c r="P1012" s="11" t="str">
        <f aca="false">IF(H1012=0,"Low",IF(H1012&lt;=MarkdownP75,"Moderate","High"))</f>
        <v>Low</v>
      </c>
      <c r="Q1012" s="11" t="str">
        <f aca="false">IF(ISBLANK(L1012),"Unknown",IF(L1012&gt;=4,"Good",IF(L1012&lt;=2,"Poor","Neutral")))</f>
        <v>Neutral</v>
      </c>
      <c r="R1012" s="11" t="str">
        <f aca="false">IF(AND(O1012="Low",P1012="Low",Q1012="Good"),"BUY / PRIORITIZE",IF(AND(O1012="High",P1012="High",OR(Q1012="Poor",M1012=TRUE())),"HOLD / REVIEW","MONITOR"))</f>
        <v>MONITOR</v>
      </c>
      <c r="S1012" s="11" t="n">
        <f aca="false">K1012+(ROW()/10000000)</f>
        <v>36.0001012</v>
      </c>
    </row>
    <row r="1013" customFormat="false" ht="15" hidden="false" customHeight="false" outlineLevel="0" collapsed="false">
      <c r="A1013" s="11" t="s">
        <v>1290</v>
      </c>
      <c r="B1013" s="11" t="s">
        <v>30</v>
      </c>
      <c r="C1013" s="11" t="s">
        <v>72</v>
      </c>
      <c r="D1013" s="11" t="s">
        <v>35</v>
      </c>
      <c r="E1013" s="11" t="s">
        <v>91</v>
      </c>
      <c r="F1013" s="11" t="s">
        <v>79</v>
      </c>
      <c r="G1013" s="21" t="n">
        <v>57.32</v>
      </c>
      <c r="H1013" s="19" t="n">
        <v>57.4</v>
      </c>
      <c r="I1013" s="21" t="n">
        <v>24.42</v>
      </c>
      <c r="J1013" s="22" t="s">
        <v>80</v>
      </c>
      <c r="K1013" s="11" t="n">
        <v>46</v>
      </c>
      <c r="L1013" s="23" t="n">
        <v>3.1</v>
      </c>
      <c r="M1013" s="24" t="b">
        <f aca="false">FALSE()</f>
        <v>0</v>
      </c>
      <c r="N1013" s="11"/>
      <c r="O1013" s="11" t="str">
        <f aca="false">IF(K1013&lt;=StockP33,"Low",IF(K1013&lt;=StockP67,"Moderate","High"))</f>
        <v>High</v>
      </c>
      <c r="P1013" s="11" t="str">
        <f aca="false">IF(H1013=0,"Low",IF(H1013&lt;=MarkdownP75,"Moderate","High"))</f>
        <v>High</v>
      </c>
      <c r="Q1013" s="11" t="str">
        <f aca="false">IF(ISBLANK(L1013),"Unknown",IF(L1013&gt;=4,"Good",IF(L1013&lt;=2,"Poor","Neutral")))</f>
        <v>Neutral</v>
      </c>
      <c r="R1013" s="11" t="str">
        <f aca="false">IF(AND(O1013="Low",P1013="Low",Q1013="Good"),"BUY / PRIORITIZE",IF(AND(O1013="High",P1013="High",OR(Q1013="Poor",M1013=TRUE())),"HOLD / REVIEW","MONITOR"))</f>
        <v>MONITOR</v>
      </c>
      <c r="S1013" s="11" t="n">
        <f aca="false">K1013+(ROW()/10000000)</f>
        <v>46.0001013</v>
      </c>
    </row>
    <row r="1014" customFormat="false" ht="15" hidden="false" customHeight="false" outlineLevel="0" collapsed="false">
      <c r="A1014" s="11" t="s">
        <v>1291</v>
      </c>
      <c r="B1014" s="11" t="s">
        <v>28</v>
      </c>
      <c r="C1014" s="11" t="s">
        <v>101</v>
      </c>
      <c r="D1014" s="11" t="s">
        <v>37</v>
      </c>
      <c r="E1014" s="11" t="s">
        <v>102</v>
      </c>
      <c r="F1014" s="11" t="s">
        <v>98</v>
      </c>
      <c r="G1014" s="21" t="n">
        <v>153.59</v>
      </c>
      <c r="H1014" s="19" t="n">
        <v>0</v>
      </c>
      <c r="I1014" s="21" t="n">
        <v>153.59</v>
      </c>
      <c r="J1014" s="22" t="s">
        <v>80</v>
      </c>
      <c r="K1014" s="11" t="n">
        <v>31</v>
      </c>
      <c r="L1014" s="23" t="n">
        <v>2.9</v>
      </c>
      <c r="M1014" s="24" t="b">
        <f aca="false">TRUE()</f>
        <v>1</v>
      </c>
      <c r="N1014" s="11" t="s">
        <v>134</v>
      </c>
      <c r="O1014" s="11" t="str">
        <f aca="false">IF(K1014&lt;=StockP33,"Low",IF(K1014&lt;=StockP67,"Moderate","High"))</f>
        <v>Moderate</v>
      </c>
      <c r="P1014" s="11" t="str">
        <f aca="false">IF(H1014=0,"Low",IF(H1014&lt;=MarkdownP75,"Moderate","High"))</f>
        <v>Low</v>
      </c>
      <c r="Q1014" s="11" t="str">
        <f aca="false">IF(ISBLANK(L1014),"Unknown",IF(L1014&gt;=4,"Good",IF(L1014&lt;=2,"Poor","Neutral")))</f>
        <v>Neutral</v>
      </c>
      <c r="R1014" s="11" t="str">
        <f aca="false">IF(AND(O1014="Low",P1014="Low",Q1014="Good"),"BUY / PRIORITIZE",IF(AND(O1014="High",P1014="High",OR(Q1014="Poor",M1014=TRUE())),"HOLD / REVIEW","MONITOR"))</f>
        <v>MONITOR</v>
      </c>
      <c r="S1014" s="11" t="n">
        <f aca="false">K1014+(ROW()/10000000)</f>
        <v>31.0001014</v>
      </c>
    </row>
    <row r="1015" customFormat="false" ht="15" hidden="false" customHeight="false" outlineLevel="0" collapsed="false">
      <c r="A1015" s="11" t="s">
        <v>1292</v>
      </c>
      <c r="B1015" s="11" t="s">
        <v>29</v>
      </c>
      <c r="C1015" s="11" t="s">
        <v>95</v>
      </c>
      <c r="D1015" s="11" t="s">
        <v>37</v>
      </c>
      <c r="E1015" s="11" t="s">
        <v>73</v>
      </c>
      <c r="F1015" s="11" t="s">
        <v>120</v>
      </c>
      <c r="G1015" s="21" t="n">
        <v>101.14</v>
      </c>
      <c r="H1015" s="19" t="n">
        <v>0</v>
      </c>
      <c r="I1015" s="21" t="n">
        <v>101.14</v>
      </c>
      <c r="J1015" s="22" t="s">
        <v>80</v>
      </c>
      <c r="K1015" s="11" t="n">
        <v>43</v>
      </c>
      <c r="L1015" s="23" t="n">
        <v>2.8</v>
      </c>
      <c r="M1015" s="24" t="b">
        <f aca="false">FALSE()</f>
        <v>0</v>
      </c>
      <c r="N1015" s="11"/>
      <c r="O1015" s="11" t="str">
        <f aca="false">IF(K1015&lt;=StockP33,"Low",IF(K1015&lt;=StockP67,"Moderate","High"))</f>
        <v>High</v>
      </c>
      <c r="P1015" s="11" t="str">
        <f aca="false">IF(H1015=0,"Low",IF(H1015&lt;=MarkdownP75,"Moderate","High"))</f>
        <v>Low</v>
      </c>
      <c r="Q1015" s="11" t="str">
        <f aca="false">IF(ISBLANK(L1015),"Unknown",IF(L1015&gt;=4,"Good",IF(L1015&lt;=2,"Poor","Neutral")))</f>
        <v>Neutral</v>
      </c>
      <c r="R1015" s="11" t="str">
        <f aca="false">IF(AND(O1015="Low",P1015="Low",Q1015="Good"),"BUY / PRIORITIZE",IF(AND(O1015="High",P1015="High",OR(Q1015="Poor",M1015=TRUE())),"HOLD / REVIEW","MONITOR"))</f>
        <v>MONITOR</v>
      </c>
      <c r="S1015" s="11" t="n">
        <f aca="false">K1015+(ROW()/10000000)</f>
        <v>43.0001015</v>
      </c>
    </row>
    <row r="1016" customFormat="false" ht="15" hidden="false" customHeight="false" outlineLevel="0" collapsed="false">
      <c r="A1016" s="11" t="s">
        <v>1293</v>
      </c>
      <c r="B1016" s="11" t="s">
        <v>26</v>
      </c>
      <c r="C1016" s="11" t="s">
        <v>107</v>
      </c>
      <c r="D1016" s="11" t="s">
        <v>34</v>
      </c>
      <c r="E1016" s="11" t="s">
        <v>102</v>
      </c>
      <c r="F1016" s="11" t="s">
        <v>124</v>
      </c>
      <c r="G1016" s="21" t="n">
        <v>43.89</v>
      </c>
      <c r="H1016" s="19" t="n">
        <v>15.6</v>
      </c>
      <c r="I1016" s="21" t="n">
        <v>37.04</v>
      </c>
      <c r="J1016" s="22" t="s">
        <v>1294</v>
      </c>
      <c r="K1016" s="11" t="n">
        <v>31</v>
      </c>
      <c r="L1016" s="23" t="n">
        <v>1.7</v>
      </c>
      <c r="M1016" s="24" t="b">
        <f aca="false">TRUE()</f>
        <v>1</v>
      </c>
      <c r="N1016" s="11" t="s">
        <v>191</v>
      </c>
      <c r="O1016" s="11" t="str">
        <f aca="false">IF(K1016&lt;=StockP33,"Low",IF(K1016&lt;=StockP67,"Moderate","High"))</f>
        <v>Moderate</v>
      </c>
      <c r="P1016" s="11" t="str">
        <f aca="false">IF(H1016=0,"Low",IF(H1016&lt;=MarkdownP75,"Moderate","High"))</f>
        <v>Moderate</v>
      </c>
      <c r="Q1016" s="11" t="str">
        <f aca="false">IF(ISBLANK(L1016),"Unknown",IF(L1016&gt;=4,"Good",IF(L1016&lt;=2,"Poor","Neutral")))</f>
        <v>Poor</v>
      </c>
      <c r="R1016" s="11" t="str">
        <f aca="false">IF(AND(O1016="Low",P1016="Low",Q1016="Good"),"BUY / PRIORITIZE",IF(AND(O1016="High",P1016="High",OR(Q1016="Poor",M1016=TRUE())),"HOLD / REVIEW","MONITOR"))</f>
        <v>MONITOR</v>
      </c>
      <c r="S1016" s="11" t="n">
        <f aca="false">K1016+(ROW()/10000000)</f>
        <v>31.0001016</v>
      </c>
    </row>
    <row r="1017" customFormat="false" ht="15" hidden="false" customHeight="false" outlineLevel="0" collapsed="false">
      <c r="A1017" s="11" t="s">
        <v>1295</v>
      </c>
      <c r="B1017" s="11" t="s">
        <v>28</v>
      </c>
      <c r="C1017" s="11" t="s">
        <v>72</v>
      </c>
      <c r="D1017" s="11" t="s">
        <v>37</v>
      </c>
      <c r="E1017" s="11" t="s">
        <v>91</v>
      </c>
      <c r="F1017" s="11" t="s">
        <v>92</v>
      </c>
      <c r="G1017" s="21" t="n">
        <v>130.16</v>
      </c>
      <c r="H1017" s="19" t="n">
        <v>47.5</v>
      </c>
      <c r="I1017" s="21" t="n">
        <v>68.33</v>
      </c>
      <c r="J1017" s="22" t="s">
        <v>80</v>
      </c>
      <c r="K1017" s="11" t="n">
        <v>21</v>
      </c>
      <c r="L1017" s="23"/>
      <c r="M1017" s="24" t="b">
        <f aca="false">FALSE()</f>
        <v>0</v>
      </c>
      <c r="N1017" s="11"/>
      <c r="O1017" s="11" t="str">
        <f aca="false">IF(K1017&lt;=StockP33,"Low",IF(K1017&lt;=StockP67,"Moderate","High"))</f>
        <v>Moderate</v>
      </c>
      <c r="P1017" s="11" t="str">
        <f aca="false">IF(H1017=0,"Low",IF(H1017&lt;=MarkdownP75,"Moderate","High"))</f>
        <v>High</v>
      </c>
      <c r="Q1017" s="11" t="str">
        <f aca="false">IF(ISBLANK(L1017),"Unknown",IF(L1017&gt;=4,"Good",IF(L1017&lt;=2,"Poor","Neutral")))</f>
        <v>Unknown</v>
      </c>
      <c r="R1017" s="11" t="str">
        <f aca="false">IF(AND(O1017="Low",P1017="Low",Q1017="Good"),"BUY / PRIORITIZE",IF(AND(O1017="High",P1017="High",OR(Q1017="Poor",M1017=TRUE())),"HOLD / REVIEW","MONITOR"))</f>
        <v>MONITOR</v>
      </c>
      <c r="S1017" s="11" t="n">
        <f aca="false">K1017+(ROW()/10000000)</f>
        <v>21.0001017</v>
      </c>
    </row>
    <row r="1018" customFormat="false" ht="15" hidden="false" customHeight="false" outlineLevel="0" collapsed="false">
      <c r="A1018" s="11" t="s">
        <v>1296</v>
      </c>
      <c r="B1018" s="11" t="s">
        <v>27</v>
      </c>
      <c r="C1018" s="11" t="s">
        <v>116</v>
      </c>
      <c r="D1018" s="11" t="s">
        <v>37</v>
      </c>
      <c r="E1018" s="11" t="s">
        <v>78</v>
      </c>
      <c r="F1018" s="11" t="s">
        <v>82</v>
      </c>
      <c r="G1018" s="21" t="n">
        <v>153.12</v>
      </c>
      <c r="H1018" s="19" t="n">
        <v>0</v>
      </c>
      <c r="I1018" s="21" t="n">
        <v>153.12</v>
      </c>
      <c r="J1018" s="22" t="s">
        <v>80</v>
      </c>
      <c r="K1018" s="11" t="n">
        <v>27</v>
      </c>
      <c r="L1018" s="23" t="n">
        <v>3.3</v>
      </c>
      <c r="M1018" s="24" t="b">
        <f aca="false">FALSE()</f>
        <v>0</v>
      </c>
      <c r="N1018" s="11"/>
      <c r="O1018" s="11" t="str">
        <f aca="false">IF(K1018&lt;=StockP33,"Low",IF(K1018&lt;=StockP67,"Moderate","High"))</f>
        <v>Moderate</v>
      </c>
      <c r="P1018" s="11" t="str">
        <f aca="false">IF(H1018=0,"Low",IF(H1018&lt;=MarkdownP75,"Moderate","High"))</f>
        <v>Low</v>
      </c>
      <c r="Q1018" s="11" t="str">
        <f aca="false">IF(ISBLANK(L1018),"Unknown",IF(L1018&gt;=4,"Good",IF(L1018&lt;=2,"Poor","Neutral")))</f>
        <v>Neutral</v>
      </c>
      <c r="R1018" s="11" t="str">
        <f aca="false">IF(AND(O1018="Low",P1018="Low",Q1018="Good"),"BUY / PRIORITIZE",IF(AND(O1018="High",P1018="High",OR(Q1018="Poor",M1018=TRUE())),"HOLD / REVIEW","MONITOR"))</f>
        <v>MONITOR</v>
      </c>
      <c r="S1018" s="11" t="n">
        <f aca="false">K1018+(ROW()/10000000)</f>
        <v>27.0001018</v>
      </c>
    </row>
    <row r="1019" customFormat="false" ht="15" hidden="false" customHeight="false" outlineLevel="0" collapsed="false">
      <c r="A1019" s="11" t="s">
        <v>1297</v>
      </c>
      <c r="B1019" s="11" t="s">
        <v>30</v>
      </c>
      <c r="C1019" s="11" t="s">
        <v>130</v>
      </c>
      <c r="D1019" s="11" t="s">
        <v>35</v>
      </c>
      <c r="E1019" s="11" t="s">
        <v>102</v>
      </c>
      <c r="F1019" s="11" t="s">
        <v>96</v>
      </c>
      <c r="G1019" s="21" t="n">
        <v>37.12</v>
      </c>
      <c r="H1019" s="19" t="n">
        <v>12.1</v>
      </c>
      <c r="I1019" s="21" t="n">
        <v>32.63</v>
      </c>
      <c r="J1019" s="22" t="s">
        <v>80</v>
      </c>
      <c r="K1019" s="11" t="n">
        <v>43</v>
      </c>
      <c r="L1019" s="23" t="n">
        <v>3.2</v>
      </c>
      <c r="M1019" s="24" t="b">
        <f aca="false">FALSE()</f>
        <v>0</v>
      </c>
      <c r="N1019" s="11"/>
      <c r="O1019" s="11" t="str">
        <f aca="false">IF(K1019&lt;=StockP33,"Low",IF(K1019&lt;=StockP67,"Moderate","High"))</f>
        <v>High</v>
      </c>
      <c r="P1019" s="11" t="str">
        <f aca="false">IF(H1019=0,"Low",IF(H1019&lt;=MarkdownP75,"Moderate","High"))</f>
        <v>Moderate</v>
      </c>
      <c r="Q1019" s="11" t="str">
        <f aca="false">IF(ISBLANK(L1019),"Unknown",IF(L1019&gt;=4,"Good",IF(L1019&lt;=2,"Poor","Neutral")))</f>
        <v>Neutral</v>
      </c>
      <c r="R1019" s="11" t="str">
        <f aca="false">IF(AND(O1019="Low",P1019="Low",Q1019="Good"),"BUY / PRIORITIZE",IF(AND(O1019="High",P1019="High",OR(Q1019="Poor",M1019=TRUE())),"HOLD / REVIEW","MONITOR"))</f>
        <v>MONITOR</v>
      </c>
      <c r="S1019" s="11" t="n">
        <f aca="false">K1019+(ROW()/10000000)</f>
        <v>43.0001019</v>
      </c>
    </row>
    <row r="1020" customFormat="false" ht="15" hidden="false" customHeight="false" outlineLevel="0" collapsed="false">
      <c r="A1020" s="11" t="s">
        <v>1298</v>
      </c>
      <c r="B1020" s="11" t="s">
        <v>30</v>
      </c>
      <c r="C1020" s="11" t="s">
        <v>95</v>
      </c>
      <c r="D1020" s="11" t="s">
        <v>35</v>
      </c>
      <c r="E1020" s="11" t="s">
        <v>102</v>
      </c>
      <c r="F1020" s="11" t="s">
        <v>120</v>
      </c>
      <c r="G1020" s="21" t="n">
        <v>41.05</v>
      </c>
      <c r="H1020" s="19" t="n">
        <v>0</v>
      </c>
      <c r="I1020" s="21" t="n">
        <v>41.05</v>
      </c>
      <c r="J1020" s="22" t="s">
        <v>80</v>
      </c>
      <c r="K1020" s="11" t="n">
        <v>24</v>
      </c>
      <c r="L1020" s="23"/>
      <c r="M1020" s="24" t="b">
        <f aca="false">FALSE()</f>
        <v>0</v>
      </c>
      <c r="N1020" s="11"/>
      <c r="O1020" s="11" t="str">
        <f aca="false">IF(K1020&lt;=StockP33,"Low",IF(K1020&lt;=StockP67,"Moderate","High"))</f>
        <v>Moderate</v>
      </c>
      <c r="P1020" s="11" t="str">
        <f aca="false">IF(H1020=0,"Low",IF(H1020&lt;=MarkdownP75,"Moderate","High"))</f>
        <v>Low</v>
      </c>
      <c r="Q1020" s="11" t="str">
        <f aca="false">IF(ISBLANK(L1020),"Unknown",IF(L1020&gt;=4,"Good",IF(L1020&lt;=2,"Poor","Neutral")))</f>
        <v>Unknown</v>
      </c>
      <c r="R1020" s="11" t="str">
        <f aca="false">IF(AND(O1020="Low",P1020="Low",Q1020="Good"),"BUY / PRIORITIZE",IF(AND(O1020="High",P1020="High",OR(Q1020="Poor",M1020=TRUE())),"HOLD / REVIEW","MONITOR"))</f>
        <v>MONITOR</v>
      </c>
      <c r="S1020" s="11" t="n">
        <f aca="false">K1020+(ROW()/10000000)</f>
        <v>24.000102</v>
      </c>
    </row>
    <row r="1021" customFormat="false" ht="15" hidden="false" customHeight="false" outlineLevel="0" collapsed="false">
      <c r="A1021" s="11" t="s">
        <v>1299</v>
      </c>
      <c r="B1021" s="11" t="s">
        <v>29</v>
      </c>
      <c r="C1021" s="11" t="s">
        <v>130</v>
      </c>
      <c r="D1021" s="11" t="s">
        <v>36</v>
      </c>
      <c r="E1021" s="11" t="s">
        <v>113</v>
      </c>
      <c r="F1021" s="11" t="s">
        <v>118</v>
      </c>
      <c r="G1021" s="21" t="n">
        <v>61.04</v>
      </c>
      <c r="H1021" s="19" t="n">
        <v>0</v>
      </c>
      <c r="I1021" s="21" t="n">
        <v>61.04</v>
      </c>
      <c r="J1021" s="22" t="s">
        <v>80</v>
      </c>
      <c r="K1021" s="11" t="n">
        <v>43</v>
      </c>
      <c r="L1021" s="23" t="n">
        <v>1.9</v>
      </c>
      <c r="M1021" s="24" t="b">
        <f aca="false">FALSE()</f>
        <v>0</v>
      </c>
      <c r="N1021" s="11"/>
      <c r="O1021" s="11" t="str">
        <f aca="false">IF(K1021&lt;=StockP33,"Low",IF(K1021&lt;=StockP67,"Moderate","High"))</f>
        <v>High</v>
      </c>
      <c r="P1021" s="11" t="str">
        <f aca="false">IF(H1021=0,"Low",IF(H1021&lt;=MarkdownP75,"Moderate","High"))</f>
        <v>Low</v>
      </c>
      <c r="Q1021" s="11" t="str">
        <f aca="false">IF(ISBLANK(L1021),"Unknown",IF(L1021&gt;=4,"Good",IF(L1021&lt;=2,"Poor","Neutral")))</f>
        <v>Poor</v>
      </c>
      <c r="R1021" s="11" t="str">
        <f aca="false">IF(AND(O1021="Low",P1021="Low",Q1021="Good"),"BUY / PRIORITIZE",IF(AND(O1021="High",P1021="High",OR(Q1021="Poor",M1021=TRUE())),"HOLD / REVIEW","MONITOR"))</f>
        <v>MONITOR</v>
      </c>
      <c r="S1021" s="11" t="n">
        <f aca="false">K1021+(ROW()/10000000)</f>
        <v>43.0001021</v>
      </c>
    </row>
    <row r="1022" customFormat="false" ht="15" hidden="false" customHeight="false" outlineLevel="0" collapsed="false">
      <c r="A1022" s="11" t="s">
        <v>1300</v>
      </c>
      <c r="B1022" s="11" t="s">
        <v>30</v>
      </c>
      <c r="C1022" s="11" t="s">
        <v>107</v>
      </c>
      <c r="D1022" s="11" t="s">
        <v>35</v>
      </c>
      <c r="E1022" s="11" t="s">
        <v>91</v>
      </c>
      <c r="F1022" s="11" t="s">
        <v>82</v>
      </c>
      <c r="G1022" s="21" t="n">
        <v>97.17</v>
      </c>
      <c r="H1022" s="19" t="n">
        <v>0</v>
      </c>
      <c r="I1022" s="21" t="n">
        <v>97.17</v>
      </c>
      <c r="J1022" s="22" t="s">
        <v>80</v>
      </c>
      <c r="K1022" s="11" t="n">
        <v>35</v>
      </c>
      <c r="L1022" s="23" t="n">
        <v>3</v>
      </c>
      <c r="M1022" s="24" t="b">
        <f aca="false">FALSE()</f>
        <v>0</v>
      </c>
      <c r="N1022" s="11"/>
      <c r="O1022" s="11" t="str">
        <f aca="false">IF(K1022&lt;=StockP33,"Low",IF(K1022&lt;=StockP67,"Moderate","High"))</f>
        <v>High</v>
      </c>
      <c r="P1022" s="11" t="str">
        <f aca="false">IF(H1022=0,"Low",IF(H1022&lt;=MarkdownP75,"Moderate","High"))</f>
        <v>Low</v>
      </c>
      <c r="Q1022" s="11" t="str">
        <f aca="false">IF(ISBLANK(L1022),"Unknown",IF(L1022&gt;=4,"Good",IF(L1022&lt;=2,"Poor","Neutral")))</f>
        <v>Neutral</v>
      </c>
      <c r="R1022" s="11" t="str">
        <f aca="false">IF(AND(O1022="Low",P1022="Low",Q1022="Good"),"BUY / PRIORITIZE",IF(AND(O1022="High",P1022="High",OR(Q1022="Poor",M1022=TRUE())),"HOLD / REVIEW","MONITOR"))</f>
        <v>MONITOR</v>
      </c>
      <c r="S1022" s="11" t="n">
        <f aca="false">K1022+(ROW()/10000000)</f>
        <v>35.0001022</v>
      </c>
    </row>
    <row r="1023" customFormat="false" ht="15" hidden="false" customHeight="false" outlineLevel="0" collapsed="false">
      <c r="A1023" s="11" t="s">
        <v>1301</v>
      </c>
      <c r="B1023" s="11" t="s">
        <v>8</v>
      </c>
      <c r="C1023" s="11" t="s">
        <v>77</v>
      </c>
      <c r="D1023" s="11" t="s">
        <v>35</v>
      </c>
      <c r="E1023" s="11"/>
      <c r="F1023" s="11" t="s">
        <v>74</v>
      </c>
      <c r="G1023" s="21" t="n">
        <v>63.45</v>
      </c>
      <c r="H1023" s="19" t="n">
        <v>0</v>
      </c>
      <c r="I1023" s="21" t="n">
        <v>63.45</v>
      </c>
      <c r="J1023" s="22" t="s">
        <v>80</v>
      </c>
      <c r="K1023" s="11" t="n">
        <v>4</v>
      </c>
      <c r="L1023" s="23" t="n">
        <v>3.9</v>
      </c>
      <c r="M1023" s="24" t="b">
        <f aca="false">FALSE()</f>
        <v>0</v>
      </c>
      <c r="N1023" s="11"/>
      <c r="O1023" s="11" t="str">
        <f aca="false">IF(K1023&lt;=StockP33,"Low",IF(K1023&lt;=StockP67,"Moderate","High"))</f>
        <v>Low</v>
      </c>
      <c r="P1023" s="11" t="str">
        <f aca="false">IF(H1023=0,"Low",IF(H1023&lt;=MarkdownP75,"Moderate","High"))</f>
        <v>Low</v>
      </c>
      <c r="Q1023" s="11" t="str">
        <f aca="false">IF(ISBLANK(L1023),"Unknown",IF(L1023&gt;=4,"Good",IF(L1023&lt;=2,"Poor","Neutral")))</f>
        <v>Neutral</v>
      </c>
      <c r="R1023" s="11" t="str">
        <f aca="false">IF(AND(O1023="Low",P1023="Low",Q1023="Good"),"BUY / PRIORITIZE",IF(AND(O1023="High",P1023="High",OR(Q1023="Poor",M1023=TRUE())),"HOLD / REVIEW","MONITOR"))</f>
        <v>MONITOR</v>
      </c>
      <c r="S1023" s="11" t="n">
        <f aca="false">K1023+(ROW()/10000000)</f>
        <v>4.0001023</v>
      </c>
    </row>
    <row r="1024" customFormat="false" ht="15" hidden="false" customHeight="false" outlineLevel="0" collapsed="false">
      <c r="A1024" s="11" t="s">
        <v>1302</v>
      </c>
      <c r="B1024" s="11" t="s">
        <v>30</v>
      </c>
      <c r="C1024" s="11" t="s">
        <v>95</v>
      </c>
      <c r="D1024" s="11" t="s">
        <v>36</v>
      </c>
      <c r="E1024" s="11"/>
      <c r="F1024" s="11" t="s">
        <v>92</v>
      </c>
      <c r="G1024" s="21" t="n">
        <v>117.39</v>
      </c>
      <c r="H1024" s="19" t="n">
        <v>0</v>
      </c>
      <c r="I1024" s="21" t="n">
        <v>117.39</v>
      </c>
      <c r="J1024" s="22" t="s">
        <v>80</v>
      </c>
      <c r="K1024" s="11" t="n">
        <v>14</v>
      </c>
      <c r="L1024" s="23" t="n">
        <v>3.2</v>
      </c>
      <c r="M1024" s="24" t="b">
        <f aca="false">FALSE()</f>
        <v>0</v>
      </c>
      <c r="N1024" s="11"/>
      <c r="O1024" s="11" t="str">
        <f aca="false">IF(K1024&lt;=StockP33,"Low",IF(K1024&lt;=StockP67,"Moderate","High"))</f>
        <v>Low</v>
      </c>
      <c r="P1024" s="11" t="str">
        <f aca="false">IF(H1024=0,"Low",IF(H1024&lt;=MarkdownP75,"Moderate","High"))</f>
        <v>Low</v>
      </c>
      <c r="Q1024" s="11" t="str">
        <f aca="false">IF(ISBLANK(L1024),"Unknown",IF(L1024&gt;=4,"Good",IF(L1024&lt;=2,"Poor","Neutral")))</f>
        <v>Neutral</v>
      </c>
      <c r="R1024" s="11" t="str">
        <f aca="false">IF(AND(O1024="Low",P1024="Low",Q1024="Good"),"BUY / PRIORITIZE",IF(AND(O1024="High",P1024="High",OR(Q1024="Poor",M1024=TRUE())),"HOLD / REVIEW","MONITOR"))</f>
        <v>MONITOR</v>
      </c>
      <c r="S1024" s="11" t="n">
        <f aca="false">K1024+(ROW()/10000000)</f>
        <v>14.0001024</v>
      </c>
    </row>
    <row r="1025" customFormat="false" ht="15" hidden="false" customHeight="false" outlineLevel="0" collapsed="false">
      <c r="A1025" s="11" t="s">
        <v>1303</v>
      </c>
      <c r="B1025" s="11" t="s">
        <v>30</v>
      </c>
      <c r="C1025" s="11" t="s">
        <v>86</v>
      </c>
      <c r="D1025" s="11" t="s">
        <v>34</v>
      </c>
      <c r="E1025" s="11" t="s">
        <v>91</v>
      </c>
      <c r="F1025" s="11" t="s">
        <v>124</v>
      </c>
      <c r="G1025" s="21" t="n">
        <v>32.89</v>
      </c>
      <c r="H1025" s="19" t="n">
        <v>0</v>
      </c>
      <c r="I1025" s="21" t="n">
        <v>32.89</v>
      </c>
      <c r="J1025" s="22" t="s">
        <v>1304</v>
      </c>
      <c r="K1025" s="11" t="n">
        <v>6</v>
      </c>
      <c r="L1025" s="23" t="n">
        <v>4.6</v>
      </c>
      <c r="M1025" s="24" t="b">
        <f aca="false">FALSE()</f>
        <v>0</v>
      </c>
      <c r="N1025" s="11"/>
      <c r="O1025" s="11" t="str">
        <f aca="false">IF(K1025&lt;=StockP33,"Low",IF(K1025&lt;=StockP67,"Moderate","High"))</f>
        <v>Low</v>
      </c>
      <c r="P1025" s="11" t="str">
        <f aca="false">IF(H1025=0,"Low",IF(H1025&lt;=MarkdownP75,"Moderate","High"))</f>
        <v>Low</v>
      </c>
      <c r="Q1025" s="11" t="str">
        <f aca="false">IF(ISBLANK(L1025),"Unknown",IF(L1025&gt;=4,"Good",IF(L1025&lt;=2,"Poor","Neutral")))</f>
        <v>Good</v>
      </c>
      <c r="R1025" s="11" t="str">
        <f aca="false">IF(AND(O1025="Low",P1025="Low",Q1025="Good"),"BUY / PRIORITIZE",IF(AND(O1025="High",P1025="High",OR(Q1025="Poor",M1025=TRUE())),"HOLD / REVIEW","MONITOR"))</f>
        <v>BUY / PRIORITIZE</v>
      </c>
      <c r="S1025" s="11" t="n">
        <f aca="false">K1025+(ROW()/10000000)</f>
        <v>6.0001025</v>
      </c>
    </row>
    <row r="1026" customFormat="false" ht="15" hidden="false" customHeight="false" outlineLevel="0" collapsed="false">
      <c r="A1026" s="11" t="s">
        <v>1305</v>
      </c>
      <c r="B1026" s="11" t="s">
        <v>26</v>
      </c>
      <c r="C1026" s="11" t="s">
        <v>107</v>
      </c>
      <c r="D1026" s="11" t="s">
        <v>34</v>
      </c>
      <c r="E1026" s="11" t="s">
        <v>78</v>
      </c>
      <c r="F1026" s="11" t="s">
        <v>96</v>
      </c>
      <c r="G1026" s="21" t="n">
        <v>102.6</v>
      </c>
      <c r="H1026" s="19" t="n">
        <v>38.6</v>
      </c>
      <c r="I1026" s="21" t="n">
        <v>63</v>
      </c>
      <c r="J1026" s="22" t="s">
        <v>196</v>
      </c>
      <c r="K1026" s="11" t="n">
        <v>14</v>
      </c>
      <c r="L1026" s="23" t="n">
        <v>4</v>
      </c>
      <c r="M1026" s="24" t="b">
        <f aca="false">FALSE()</f>
        <v>0</v>
      </c>
      <c r="N1026" s="11"/>
      <c r="O1026" s="11" t="str">
        <f aca="false">IF(K1026&lt;=StockP33,"Low",IF(K1026&lt;=StockP67,"Moderate","High"))</f>
        <v>Low</v>
      </c>
      <c r="P1026" s="11" t="str">
        <f aca="false">IF(H1026=0,"Low",IF(H1026&lt;=MarkdownP75,"Moderate","High"))</f>
        <v>High</v>
      </c>
      <c r="Q1026" s="11" t="str">
        <f aca="false">IF(ISBLANK(L1026),"Unknown",IF(L1026&gt;=4,"Good",IF(L1026&lt;=2,"Poor","Neutral")))</f>
        <v>Good</v>
      </c>
      <c r="R1026" s="11" t="str">
        <f aca="false">IF(AND(O1026="Low",P1026="Low",Q1026="Good"),"BUY / PRIORITIZE",IF(AND(O1026="High",P1026="High",OR(Q1026="Poor",M1026=TRUE())),"HOLD / REVIEW","MONITOR"))</f>
        <v>MONITOR</v>
      </c>
      <c r="S1026" s="11" t="n">
        <f aca="false">K1026+(ROW()/10000000)</f>
        <v>14.0001026</v>
      </c>
    </row>
    <row r="1027" customFormat="false" ht="15" hidden="false" customHeight="false" outlineLevel="0" collapsed="false">
      <c r="A1027" s="11" t="s">
        <v>1306</v>
      </c>
      <c r="B1027" s="11" t="s">
        <v>29</v>
      </c>
      <c r="C1027" s="11" t="s">
        <v>116</v>
      </c>
      <c r="D1027" s="11" t="s">
        <v>34</v>
      </c>
      <c r="E1027" s="11" t="s">
        <v>102</v>
      </c>
      <c r="F1027" s="11" t="s">
        <v>118</v>
      </c>
      <c r="G1027" s="21" t="n">
        <v>155.92</v>
      </c>
      <c r="H1027" s="19" t="n">
        <v>32.2</v>
      </c>
      <c r="I1027" s="21" t="n">
        <v>105.71</v>
      </c>
      <c r="J1027" s="22" t="s">
        <v>1193</v>
      </c>
      <c r="K1027" s="11" t="n">
        <v>5</v>
      </c>
      <c r="L1027" s="23" t="n">
        <v>2</v>
      </c>
      <c r="M1027" s="24" t="b">
        <f aca="false">FALSE()</f>
        <v>0</v>
      </c>
      <c r="N1027" s="11"/>
      <c r="O1027" s="11" t="str">
        <f aca="false">IF(K1027&lt;=StockP33,"Low",IF(K1027&lt;=StockP67,"Moderate","High"))</f>
        <v>Low</v>
      </c>
      <c r="P1027" s="11" t="str">
        <f aca="false">IF(H1027=0,"Low",IF(H1027&lt;=MarkdownP75,"Moderate","High"))</f>
        <v>High</v>
      </c>
      <c r="Q1027" s="11" t="str">
        <f aca="false">IF(ISBLANK(L1027),"Unknown",IF(L1027&gt;=4,"Good",IF(L1027&lt;=2,"Poor","Neutral")))</f>
        <v>Poor</v>
      </c>
      <c r="R1027" s="11" t="str">
        <f aca="false">IF(AND(O1027="Low",P1027="Low",Q1027="Good"),"BUY / PRIORITIZE",IF(AND(O1027="High",P1027="High",OR(Q1027="Poor",M1027=TRUE())),"HOLD / REVIEW","MONITOR"))</f>
        <v>MONITOR</v>
      </c>
      <c r="S1027" s="11" t="n">
        <f aca="false">K1027+(ROW()/10000000)</f>
        <v>5.0001027</v>
      </c>
    </row>
    <row r="1028" customFormat="false" ht="15" hidden="false" customHeight="false" outlineLevel="0" collapsed="false">
      <c r="A1028" s="11" t="s">
        <v>1307</v>
      </c>
      <c r="B1028" s="11" t="s">
        <v>28</v>
      </c>
      <c r="C1028" s="11" t="s">
        <v>116</v>
      </c>
      <c r="D1028" s="11" t="s">
        <v>36</v>
      </c>
      <c r="E1028" s="11" t="s">
        <v>78</v>
      </c>
      <c r="F1028" s="11" t="s">
        <v>120</v>
      </c>
      <c r="G1028" s="21" t="n">
        <v>178.39</v>
      </c>
      <c r="H1028" s="19" t="n">
        <v>0</v>
      </c>
      <c r="I1028" s="21" t="n">
        <v>178.39</v>
      </c>
      <c r="J1028" s="22" t="s">
        <v>80</v>
      </c>
      <c r="K1028" s="11" t="n">
        <v>29</v>
      </c>
      <c r="L1028" s="23" t="n">
        <v>4.2</v>
      </c>
      <c r="M1028" s="24" t="b">
        <f aca="false">FALSE()</f>
        <v>0</v>
      </c>
      <c r="N1028" s="11"/>
      <c r="O1028" s="11" t="str">
        <f aca="false">IF(K1028&lt;=StockP33,"Low",IF(K1028&lt;=StockP67,"Moderate","High"))</f>
        <v>Moderate</v>
      </c>
      <c r="P1028" s="11" t="str">
        <f aca="false">IF(H1028=0,"Low",IF(H1028&lt;=MarkdownP75,"Moderate","High"))</f>
        <v>Low</v>
      </c>
      <c r="Q1028" s="11" t="str">
        <f aca="false">IF(ISBLANK(L1028),"Unknown",IF(L1028&gt;=4,"Good",IF(L1028&lt;=2,"Poor","Neutral")))</f>
        <v>Good</v>
      </c>
      <c r="R1028" s="11" t="str">
        <f aca="false">IF(AND(O1028="Low",P1028="Low",Q1028="Good"),"BUY / PRIORITIZE",IF(AND(O1028="High",P1028="High",OR(Q1028="Poor",M1028=TRUE())),"HOLD / REVIEW","MONITOR"))</f>
        <v>MONITOR</v>
      </c>
      <c r="S1028" s="11" t="n">
        <f aca="false">K1028+(ROW()/10000000)</f>
        <v>29.0001028</v>
      </c>
    </row>
    <row r="1029" customFormat="false" ht="15" hidden="false" customHeight="false" outlineLevel="0" collapsed="false">
      <c r="A1029" s="11" t="s">
        <v>1308</v>
      </c>
      <c r="B1029" s="11" t="s">
        <v>28</v>
      </c>
      <c r="C1029" s="11" t="s">
        <v>101</v>
      </c>
      <c r="D1029" s="11" t="s">
        <v>34</v>
      </c>
      <c r="E1029" s="11" t="s">
        <v>73</v>
      </c>
      <c r="F1029" s="11" t="s">
        <v>92</v>
      </c>
      <c r="G1029" s="21" t="n">
        <v>151.1</v>
      </c>
      <c r="H1029" s="19" t="n">
        <v>0</v>
      </c>
      <c r="I1029" s="21" t="n">
        <v>151.1</v>
      </c>
      <c r="J1029" s="22" t="s">
        <v>1309</v>
      </c>
      <c r="K1029" s="11" t="n">
        <v>24</v>
      </c>
      <c r="L1029" s="23" t="n">
        <v>2.4</v>
      </c>
      <c r="M1029" s="24" t="b">
        <f aca="false">FALSE()</f>
        <v>0</v>
      </c>
      <c r="N1029" s="11"/>
      <c r="O1029" s="11" t="str">
        <f aca="false">IF(K1029&lt;=StockP33,"Low",IF(K1029&lt;=StockP67,"Moderate","High"))</f>
        <v>Moderate</v>
      </c>
      <c r="P1029" s="11" t="str">
        <f aca="false">IF(H1029=0,"Low",IF(H1029&lt;=MarkdownP75,"Moderate","High"))</f>
        <v>Low</v>
      </c>
      <c r="Q1029" s="11" t="str">
        <f aca="false">IF(ISBLANK(L1029),"Unknown",IF(L1029&gt;=4,"Good",IF(L1029&lt;=2,"Poor","Neutral")))</f>
        <v>Neutral</v>
      </c>
      <c r="R1029" s="11" t="str">
        <f aca="false">IF(AND(O1029="Low",P1029="Low",Q1029="Good"),"BUY / PRIORITIZE",IF(AND(O1029="High",P1029="High",OR(Q1029="Poor",M1029=TRUE())),"HOLD / REVIEW","MONITOR"))</f>
        <v>MONITOR</v>
      </c>
      <c r="S1029" s="11" t="n">
        <f aca="false">K1029+(ROW()/10000000)</f>
        <v>24.0001029</v>
      </c>
    </row>
    <row r="1030" customFormat="false" ht="15" hidden="false" customHeight="false" outlineLevel="0" collapsed="false">
      <c r="A1030" s="11" t="s">
        <v>1310</v>
      </c>
      <c r="B1030" s="11" t="s">
        <v>30</v>
      </c>
      <c r="C1030" s="11" t="s">
        <v>130</v>
      </c>
      <c r="D1030" s="11" t="s">
        <v>35</v>
      </c>
      <c r="E1030" s="11" t="s">
        <v>102</v>
      </c>
      <c r="F1030" s="11" t="s">
        <v>111</v>
      </c>
      <c r="G1030" s="21" t="n">
        <v>91.03</v>
      </c>
      <c r="H1030" s="19" t="n">
        <v>55.4</v>
      </c>
      <c r="I1030" s="21" t="n">
        <v>40.6</v>
      </c>
      <c r="J1030" s="22" t="s">
        <v>80</v>
      </c>
      <c r="K1030" s="11" t="n">
        <v>2</v>
      </c>
      <c r="L1030" s="23" t="n">
        <v>2.5</v>
      </c>
      <c r="M1030" s="24" t="b">
        <f aca="false">FALSE()</f>
        <v>0</v>
      </c>
      <c r="N1030" s="11"/>
      <c r="O1030" s="11" t="str">
        <f aca="false">IF(K1030&lt;=StockP33,"Low",IF(K1030&lt;=StockP67,"Moderate","High"))</f>
        <v>Low</v>
      </c>
      <c r="P1030" s="11" t="str">
        <f aca="false">IF(H1030=0,"Low",IF(H1030&lt;=MarkdownP75,"Moderate","High"))</f>
        <v>High</v>
      </c>
      <c r="Q1030" s="11" t="str">
        <f aca="false">IF(ISBLANK(L1030),"Unknown",IF(L1030&gt;=4,"Good",IF(L1030&lt;=2,"Poor","Neutral")))</f>
        <v>Neutral</v>
      </c>
      <c r="R1030" s="11" t="str">
        <f aca="false">IF(AND(O1030="Low",P1030="Low",Q1030="Good"),"BUY / PRIORITIZE",IF(AND(O1030="High",P1030="High",OR(Q1030="Poor",M1030=TRUE())),"HOLD / REVIEW","MONITOR"))</f>
        <v>MONITOR</v>
      </c>
      <c r="S1030" s="11" t="n">
        <f aca="false">K1030+(ROW()/10000000)</f>
        <v>2.000103</v>
      </c>
    </row>
    <row r="1031" customFormat="false" ht="15" hidden="false" customHeight="false" outlineLevel="0" collapsed="false">
      <c r="A1031" s="11" t="s">
        <v>1311</v>
      </c>
      <c r="B1031" s="11" t="s">
        <v>30</v>
      </c>
      <c r="C1031" s="11" t="s">
        <v>101</v>
      </c>
      <c r="D1031" s="11" t="s">
        <v>36</v>
      </c>
      <c r="E1031" s="11" t="s">
        <v>113</v>
      </c>
      <c r="F1031" s="11" t="s">
        <v>92</v>
      </c>
      <c r="G1031" s="21" t="n">
        <v>89.03</v>
      </c>
      <c r="H1031" s="19" t="n">
        <v>41.3</v>
      </c>
      <c r="I1031" s="21" t="n">
        <v>52.26</v>
      </c>
      <c r="J1031" s="22" t="s">
        <v>80</v>
      </c>
      <c r="K1031" s="11" t="n">
        <v>50</v>
      </c>
      <c r="L1031" s="23"/>
      <c r="M1031" s="24" t="b">
        <f aca="false">FALSE()</f>
        <v>0</v>
      </c>
      <c r="N1031" s="11"/>
      <c r="O1031" s="11" t="str">
        <f aca="false">IF(K1031&lt;=StockP33,"Low",IF(K1031&lt;=StockP67,"Moderate","High"))</f>
        <v>High</v>
      </c>
      <c r="P1031" s="11" t="str">
        <f aca="false">IF(H1031=0,"Low",IF(H1031&lt;=MarkdownP75,"Moderate","High"))</f>
        <v>High</v>
      </c>
      <c r="Q1031" s="11" t="str">
        <f aca="false">IF(ISBLANK(L1031),"Unknown",IF(L1031&gt;=4,"Good",IF(L1031&lt;=2,"Poor","Neutral")))</f>
        <v>Unknown</v>
      </c>
      <c r="R1031" s="11" t="str">
        <f aca="false">IF(AND(O1031="Low",P1031="Low",Q1031="Good"),"BUY / PRIORITIZE",IF(AND(O1031="High",P1031="High",OR(Q1031="Poor",M1031=TRUE())),"HOLD / REVIEW","MONITOR"))</f>
        <v>MONITOR</v>
      </c>
      <c r="S1031" s="11" t="n">
        <f aca="false">K1031+(ROW()/10000000)</f>
        <v>50.0001031</v>
      </c>
    </row>
    <row r="1032" customFormat="false" ht="15" hidden="false" customHeight="false" outlineLevel="0" collapsed="false">
      <c r="A1032" s="11" t="s">
        <v>1312</v>
      </c>
      <c r="B1032" s="11" t="s">
        <v>27</v>
      </c>
      <c r="C1032" s="11" t="s">
        <v>107</v>
      </c>
      <c r="D1032" s="11" t="s">
        <v>35</v>
      </c>
      <c r="E1032" s="11" t="s">
        <v>91</v>
      </c>
      <c r="F1032" s="11" t="s">
        <v>98</v>
      </c>
      <c r="G1032" s="21" t="n">
        <v>147.58</v>
      </c>
      <c r="H1032" s="19" t="n">
        <v>0</v>
      </c>
      <c r="I1032" s="21" t="n">
        <v>147.58</v>
      </c>
      <c r="J1032" s="22" t="s">
        <v>80</v>
      </c>
      <c r="K1032" s="11" t="n">
        <v>10</v>
      </c>
      <c r="L1032" s="23" t="n">
        <v>4.3</v>
      </c>
      <c r="M1032" s="24" t="b">
        <f aca="false">FALSE()</f>
        <v>0</v>
      </c>
      <c r="N1032" s="11"/>
      <c r="O1032" s="11" t="str">
        <f aca="false">IF(K1032&lt;=StockP33,"Low",IF(K1032&lt;=StockP67,"Moderate","High"))</f>
        <v>Low</v>
      </c>
      <c r="P1032" s="11" t="str">
        <f aca="false">IF(H1032=0,"Low",IF(H1032&lt;=MarkdownP75,"Moderate","High"))</f>
        <v>Low</v>
      </c>
      <c r="Q1032" s="11" t="str">
        <f aca="false">IF(ISBLANK(L1032),"Unknown",IF(L1032&gt;=4,"Good",IF(L1032&lt;=2,"Poor","Neutral")))</f>
        <v>Good</v>
      </c>
      <c r="R1032" s="11" t="str">
        <f aca="false">IF(AND(O1032="Low",P1032="Low",Q1032="Good"),"BUY / PRIORITIZE",IF(AND(O1032="High",P1032="High",OR(Q1032="Poor",M1032=TRUE())),"HOLD / REVIEW","MONITOR"))</f>
        <v>BUY / PRIORITIZE</v>
      </c>
      <c r="S1032" s="11" t="n">
        <f aca="false">K1032+(ROW()/10000000)</f>
        <v>10.0001032</v>
      </c>
    </row>
    <row r="1033" customFormat="false" ht="15" hidden="false" customHeight="false" outlineLevel="0" collapsed="false">
      <c r="A1033" s="11" t="s">
        <v>1313</v>
      </c>
      <c r="B1033" s="11" t="s">
        <v>27</v>
      </c>
      <c r="C1033" s="11" t="s">
        <v>86</v>
      </c>
      <c r="D1033" s="11" t="s">
        <v>35</v>
      </c>
      <c r="E1033" s="11" t="s">
        <v>73</v>
      </c>
      <c r="F1033" s="11" t="s">
        <v>96</v>
      </c>
      <c r="G1033" s="21" t="n">
        <v>79.98</v>
      </c>
      <c r="H1033" s="19" t="n">
        <v>0</v>
      </c>
      <c r="I1033" s="21" t="n">
        <v>79.98</v>
      </c>
      <c r="J1033" s="22" t="s">
        <v>80</v>
      </c>
      <c r="K1033" s="11" t="n">
        <v>25</v>
      </c>
      <c r="L1033" s="23" t="n">
        <v>1.5</v>
      </c>
      <c r="M1033" s="24" t="b">
        <f aca="false">FALSE()</f>
        <v>0</v>
      </c>
      <c r="N1033" s="11"/>
      <c r="O1033" s="11" t="str">
        <f aca="false">IF(K1033&lt;=StockP33,"Low",IF(K1033&lt;=StockP67,"Moderate","High"))</f>
        <v>Moderate</v>
      </c>
      <c r="P1033" s="11" t="str">
        <f aca="false">IF(H1033=0,"Low",IF(H1033&lt;=MarkdownP75,"Moderate","High"))</f>
        <v>Low</v>
      </c>
      <c r="Q1033" s="11" t="str">
        <f aca="false">IF(ISBLANK(L1033),"Unknown",IF(L1033&gt;=4,"Good",IF(L1033&lt;=2,"Poor","Neutral")))</f>
        <v>Poor</v>
      </c>
      <c r="R1033" s="11" t="str">
        <f aca="false">IF(AND(O1033="Low",P1033="Low",Q1033="Good"),"BUY / PRIORITIZE",IF(AND(O1033="High",P1033="High",OR(Q1033="Poor",M1033=TRUE())),"HOLD / REVIEW","MONITOR"))</f>
        <v>MONITOR</v>
      </c>
      <c r="S1033" s="11" t="n">
        <f aca="false">K1033+(ROW()/10000000)</f>
        <v>25.0001033</v>
      </c>
    </row>
    <row r="1034" customFormat="false" ht="15" hidden="false" customHeight="false" outlineLevel="0" collapsed="false">
      <c r="A1034" s="11" t="s">
        <v>1314</v>
      </c>
      <c r="B1034" s="11" t="s">
        <v>27</v>
      </c>
      <c r="C1034" s="11" t="s">
        <v>101</v>
      </c>
      <c r="D1034" s="11" t="s">
        <v>36</v>
      </c>
      <c r="E1034" s="11" t="s">
        <v>110</v>
      </c>
      <c r="F1034" s="11" t="s">
        <v>111</v>
      </c>
      <c r="G1034" s="21" t="n">
        <v>86.38</v>
      </c>
      <c r="H1034" s="19" t="n">
        <v>0</v>
      </c>
      <c r="I1034" s="21" t="n">
        <v>86.38</v>
      </c>
      <c r="J1034" s="22" t="s">
        <v>80</v>
      </c>
      <c r="K1034" s="11" t="n">
        <v>40</v>
      </c>
      <c r="L1034" s="23" t="n">
        <v>2.7</v>
      </c>
      <c r="M1034" s="24" t="b">
        <f aca="false">FALSE()</f>
        <v>0</v>
      </c>
      <c r="N1034" s="11"/>
      <c r="O1034" s="11" t="str">
        <f aca="false">IF(K1034&lt;=StockP33,"Low",IF(K1034&lt;=StockP67,"Moderate","High"))</f>
        <v>High</v>
      </c>
      <c r="P1034" s="11" t="str">
        <f aca="false">IF(H1034=0,"Low",IF(H1034&lt;=MarkdownP75,"Moderate","High"))</f>
        <v>Low</v>
      </c>
      <c r="Q1034" s="11" t="str">
        <f aca="false">IF(ISBLANK(L1034),"Unknown",IF(L1034&gt;=4,"Good",IF(L1034&lt;=2,"Poor","Neutral")))</f>
        <v>Neutral</v>
      </c>
      <c r="R1034" s="11" t="str">
        <f aca="false">IF(AND(O1034="Low",P1034="Low",Q1034="Good"),"BUY / PRIORITIZE",IF(AND(O1034="High",P1034="High",OR(Q1034="Poor",M1034=TRUE())),"HOLD / REVIEW","MONITOR"))</f>
        <v>MONITOR</v>
      </c>
      <c r="S1034" s="11" t="n">
        <f aca="false">K1034+(ROW()/10000000)</f>
        <v>40.0001034</v>
      </c>
    </row>
    <row r="1035" customFormat="false" ht="15" hidden="false" customHeight="false" outlineLevel="0" collapsed="false">
      <c r="A1035" s="11" t="s">
        <v>1315</v>
      </c>
      <c r="B1035" s="11" t="s">
        <v>30</v>
      </c>
      <c r="C1035" s="11" t="s">
        <v>86</v>
      </c>
      <c r="D1035" s="11" t="s">
        <v>35</v>
      </c>
      <c r="E1035" s="11" t="s">
        <v>102</v>
      </c>
      <c r="F1035" s="11" t="s">
        <v>124</v>
      </c>
      <c r="G1035" s="21" t="n">
        <v>47.29</v>
      </c>
      <c r="H1035" s="19" t="n">
        <v>40.4</v>
      </c>
      <c r="I1035" s="21" t="n">
        <v>28.18</v>
      </c>
      <c r="J1035" s="22" t="s">
        <v>80</v>
      </c>
      <c r="K1035" s="11" t="n">
        <v>26</v>
      </c>
      <c r="L1035" s="23" t="n">
        <v>4.4</v>
      </c>
      <c r="M1035" s="24" t="b">
        <f aca="false">FALSE()</f>
        <v>0</v>
      </c>
      <c r="N1035" s="11"/>
      <c r="O1035" s="11" t="str">
        <f aca="false">IF(K1035&lt;=StockP33,"Low",IF(K1035&lt;=StockP67,"Moderate","High"))</f>
        <v>Moderate</v>
      </c>
      <c r="P1035" s="11" t="str">
        <f aca="false">IF(H1035=0,"Low",IF(H1035&lt;=MarkdownP75,"Moderate","High"))</f>
        <v>High</v>
      </c>
      <c r="Q1035" s="11" t="str">
        <f aca="false">IF(ISBLANK(L1035),"Unknown",IF(L1035&gt;=4,"Good",IF(L1035&lt;=2,"Poor","Neutral")))</f>
        <v>Good</v>
      </c>
      <c r="R1035" s="11" t="str">
        <f aca="false">IF(AND(O1035="Low",P1035="Low",Q1035="Good"),"BUY / PRIORITIZE",IF(AND(O1035="High",P1035="High",OR(Q1035="Poor",M1035=TRUE())),"HOLD / REVIEW","MONITOR"))</f>
        <v>MONITOR</v>
      </c>
      <c r="S1035" s="11" t="n">
        <f aca="false">K1035+(ROW()/10000000)</f>
        <v>26.0001035</v>
      </c>
    </row>
    <row r="1036" customFormat="false" ht="15" hidden="false" customHeight="false" outlineLevel="0" collapsed="false">
      <c r="A1036" s="11" t="s">
        <v>1316</v>
      </c>
      <c r="B1036" s="11" t="s">
        <v>28</v>
      </c>
      <c r="C1036" s="11" t="s">
        <v>130</v>
      </c>
      <c r="D1036" s="11" t="s">
        <v>34</v>
      </c>
      <c r="E1036" s="11" t="s">
        <v>78</v>
      </c>
      <c r="F1036" s="11" t="s">
        <v>118</v>
      </c>
      <c r="G1036" s="21" t="n">
        <v>196.54</v>
      </c>
      <c r="H1036" s="19" t="n">
        <v>22.6</v>
      </c>
      <c r="I1036" s="21" t="n">
        <v>152.12</v>
      </c>
      <c r="J1036" s="22" t="s">
        <v>1219</v>
      </c>
      <c r="K1036" s="11" t="n">
        <v>33</v>
      </c>
      <c r="L1036" s="23" t="n">
        <v>1.4</v>
      </c>
      <c r="M1036" s="24" t="b">
        <f aca="false">FALSE()</f>
        <v>0</v>
      </c>
      <c r="N1036" s="11"/>
      <c r="O1036" s="11" t="str">
        <f aca="false">IF(K1036&lt;=StockP33,"Low",IF(K1036&lt;=StockP67,"Moderate","High"))</f>
        <v>Moderate</v>
      </c>
      <c r="P1036" s="11" t="str">
        <f aca="false">IF(H1036=0,"Low",IF(H1036&lt;=MarkdownP75,"Moderate","High"))</f>
        <v>High</v>
      </c>
      <c r="Q1036" s="11" t="str">
        <f aca="false">IF(ISBLANK(L1036),"Unknown",IF(L1036&gt;=4,"Good",IF(L1036&lt;=2,"Poor","Neutral")))</f>
        <v>Poor</v>
      </c>
      <c r="R1036" s="11" t="str">
        <f aca="false">IF(AND(O1036="Low",P1036="Low",Q1036="Good"),"BUY / PRIORITIZE",IF(AND(O1036="High",P1036="High",OR(Q1036="Poor",M1036=TRUE())),"HOLD / REVIEW","MONITOR"))</f>
        <v>MONITOR</v>
      </c>
      <c r="S1036" s="11" t="n">
        <f aca="false">K1036+(ROW()/10000000)</f>
        <v>33.0001036</v>
      </c>
    </row>
    <row r="1037" customFormat="false" ht="15" hidden="false" customHeight="false" outlineLevel="0" collapsed="false">
      <c r="A1037" s="11" t="s">
        <v>1317</v>
      </c>
      <c r="B1037" s="11" t="s">
        <v>30</v>
      </c>
      <c r="C1037" s="11" t="s">
        <v>72</v>
      </c>
      <c r="D1037" s="11" t="s">
        <v>34</v>
      </c>
      <c r="E1037" s="11" t="s">
        <v>102</v>
      </c>
      <c r="F1037" s="11" t="s">
        <v>92</v>
      </c>
      <c r="G1037" s="21" t="n">
        <v>72.72</v>
      </c>
      <c r="H1037" s="19" t="n">
        <v>0</v>
      </c>
      <c r="I1037" s="21" t="n">
        <v>72.72</v>
      </c>
      <c r="J1037" s="22" t="s">
        <v>863</v>
      </c>
      <c r="K1037" s="11" t="n">
        <v>23</v>
      </c>
      <c r="L1037" s="23" t="n">
        <v>1.6</v>
      </c>
      <c r="M1037" s="24" t="b">
        <f aca="false">FALSE()</f>
        <v>0</v>
      </c>
      <c r="N1037" s="11"/>
      <c r="O1037" s="11" t="str">
        <f aca="false">IF(K1037&lt;=StockP33,"Low",IF(K1037&lt;=StockP67,"Moderate","High"))</f>
        <v>Moderate</v>
      </c>
      <c r="P1037" s="11" t="str">
        <f aca="false">IF(H1037=0,"Low",IF(H1037&lt;=MarkdownP75,"Moderate","High"))</f>
        <v>Low</v>
      </c>
      <c r="Q1037" s="11" t="str">
        <f aca="false">IF(ISBLANK(L1037),"Unknown",IF(L1037&gt;=4,"Good",IF(L1037&lt;=2,"Poor","Neutral")))</f>
        <v>Poor</v>
      </c>
      <c r="R1037" s="11" t="str">
        <f aca="false">IF(AND(O1037="Low",P1037="Low",Q1037="Good"),"BUY / PRIORITIZE",IF(AND(O1037="High",P1037="High",OR(Q1037="Poor",M1037=TRUE())),"HOLD / REVIEW","MONITOR"))</f>
        <v>MONITOR</v>
      </c>
      <c r="S1037" s="11" t="n">
        <f aca="false">K1037+(ROW()/10000000)</f>
        <v>23.0001037</v>
      </c>
    </row>
    <row r="1038" customFormat="false" ht="15" hidden="false" customHeight="false" outlineLevel="0" collapsed="false">
      <c r="A1038" s="11" t="s">
        <v>1318</v>
      </c>
      <c r="B1038" s="11" t="s">
        <v>30</v>
      </c>
      <c r="C1038" s="11" t="s">
        <v>116</v>
      </c>
      <c r="D1038" s="11" t="s">
        <v>35</v>
      </c>
      <c r="E1038" s="11" t="s">
        <v>102</v>
      </c>
      <c r="F1038" s="11" t="s">
        <v>111</v>
      </c>
      <c r="G1038" s="21" t="n">
        <v>115.5</v>
      </c>
      <c r="H1038" s="19" t="n">
        <v>0</v>
      </c>
      <c r="I1038" s="21" t="n">
        <v>115.5</v>
      </c>
      <c r="J1038" s="22" t="s">
        <v>80</v>
      </c>
      <c r="K1038" s="11" t="n">
        <v>36</v>
      </c>
      <c r="L1038" s="23"/>
      <c r="M1038" s="24" t="b">
        <f aca="false">TRUE()</f>
        <v>1</v>
      </c>
      <c r="N1038" s="11" t="s">
        <v>140</v>
      </c>
      <c r="O1038" s="11" t="str">
        <f aca="false">IF(K1038&lt;=StockP33,"Low",IF(K1038&lt;=StockP67,"Moderate","High"))</f>
        <v>High</v>
      </c>
      <c r="P1038" s="11" t="str">
        <f aca="false">IF(H1038=0,"Low",IF(H1038&lt;=MarkdownP75,"Moderate","High"))</f>
        <v>Low</v>
      </c>
      <c r="Q1038" s="11" t="str">
        <f aca="false">IF(ISBLANK(L1038),"Unknown",IF(L1038&gt;=4,"Good",IF(L1038&lt;=2,"Poor","Neutral")))</f>
        <v>Unknown</v>
      </c>
      <c r="R1038" s="11" t="str">
        <f aca="false">IF(AND(O1038="Low",P1038="Low",Q1038="Good"),"BUY / PRIORITIZE",IF(AND(O1038="High",P1038="High",OR(Q1038="Poor",M1038=TRUE())),"HOLD / REVIEW","MONITOR"))</f>
        <v>MONITOR</v>
      </c>
      <c r="S1038" s="11" t="n">
        <f aca="false">K1038+(ROW()/10000000)</f>
        <v>36.0001038</v>
      </c>
    </row>
    <row r="1039" customFormat="false" ht="15" hidden="false" customHeight="false" outlineLevel="0" collapsed="false">
      <c r="A1039" s="11" t="s">
        <v>1319</v>
      </c>
      <c r="B1039" s="11" t="s">
        <v>8</v>
      </c>
      <c r="C1039" s="11" t="s">
        <v>101</v>
      </c>
      <c r="D1039" s="11" t="s">
        <v>35</v>
      </c>
      <c r="E1039" s="11"/>
      <c r="F1039" s="11" t="s">
        <v>92</v>
      </c>
      <c r="G1039" s="21" t="n">
        <v>68.22</v>
      </c>
      <c r="H1039" s="19" t="n">
        <v>8.1</v>
      </c>
      <c r="I1039" s="21" t="n">
        <v>62.69</v>
      </c>
      <c r="J1039" s="22" t="s">
        <v>80</v>
      </c>
      <c r="K1039" s="11" t="n">
        <v>28</v>
      </c>
      <c r="L1039" s="23" t="n">
        <v>4</v>
      </c>
      <c r="M1039" s="24" t="b">
        <f aca="false">FALSE()</f>
        <v>0</v>
      </c>
      <c r="N1039" s="11"/>
      <c r="O1039" s="11" t="str">
        <f aca="false">IF(K1039&lt;=StockP33,"Low",IF(K1039&lt;=StockP67,"Moderate","High"))</f>
        <v>Moderate</v>
      </c>
      <c r="P1039" s="11" t="str">
        <f aca="false">IF(H1039=0,"Low",IF(H1039&lt;=MarkdownP75,"Moderate","High"))</f>
        <v>Moderate</v>
      </c>
      <c r="Q1039" s="11" t="str">
        <f aca="false">IF(ISBLANK(L1039),"Unknown",IF(L1039&gt;=4,"Good",IF(L1039&lt;=2,"Poor","Neutral")))</f>
        <v>Good</v>
      </c>
      <c r="R1039" s="11" t="str">
        <f aca="false">IF(AND(O1039="Low",P1039="Low",Q1039="Good"),"BUY / PRIORITIZE",IF(AND(O1039="High",P1039="High",OR(Q1039="Poor",M1039=TRUE())),"HOLD / REVIEW","MONITOR"))</f>
        <v>MONITOR</v>
      </c>
      <c r="S1039" s="11" t="n">
        <f aca="false">K1039+(ROW()/10000000)</f>
        <v>28.0001039</v>
      </c>
    </row>
    <row r="1040" customFormat="false" ht="15" hidden="false" customHeight="false" outlineLevel="0" collapsed="false">
      <c r="A1040" s="11" t="s">
        <v>1320</v>
      </c>
      <c r="B1040" s="11" t="s">
        <v>30</v>
      </c>
      <c r="C1040" s="11" t="s">
        <v>95</v>
      </c>
      <c r="D1040" s="11" t="s">
        <v>36</v>
      </c>
      <c r="E1040" s="11" t="s">
        <v>102</v>
      </c>
      <c r="F1040" s="11" t="s">
        <v>82</v>
      </c>
      <c r="G1040" s="21" t="n">
        <v>91.03</v>
      </c>
      <c r="H1040" s="19" t="n">
        <v>0</v>
      </c>
      <c r="I1040" s="21" t="n">
        <v>91.03</v>
      </c>
      <c r="J1040" s="22" t="s">
        <v>80</v>
      </c>
      <c r="K1040" s="11" t="n">
        <v>20</v>
      </c>
      <c r="L1040" s="23" t="n">
        <v>2.1</v>
      </c>
      <c r="M1040" s="24" t="b">
        <f aca="false">FALSE()</f>
        <v>0</v>
      </c>
      <c r="N1040" s="11"/>
      <c r="O1040" s="11" t="str">
        <f aca="false">IF(K1040&lt;=StockP33,"Low",IF(K1040&lt;=StockP67,"Moderate","High"))</f>
        <v>Moderate</v>
      </c>
      <c r="P1040" s="11" t="str">
        <f aca="false">IF(H1040=0,"Low",IF(H1040&lt;=MarkdownP75,"Moderate","High"))</f>
        <v>Low</v>
      </c>
      <c r="Q1040" s="11" t="str">
        <f aca="false">IF(ISBLANK(L1040),"Unknown",IF(L1040&gt;=4,"Good",IF(L1040&lt;=2,"Poor","Neutral")))</f>
        <v>Neutral</v>
      </c>
      <c r="R1040" s="11" t="str">
        <f aca="false">IF(AND(O1040="Low",P1040="Low",Q1040="Good"),"BUY / PRIORITIZE",IF(AND(O1040="High",P1040="High",OR(Q1040="Poor",M1040=TRUE())),"HOLD / REVIEW","MONITOR"))</f>
        <v>MONITOR</v>
      </c>
      <c r="S1040" s="11" t="n">
        <f aca="false">K1040+(ROW()/10000000)</f>
        <v>20.000104</v>
      </c>
    </row>
    <row r="1041" customFormat="false" ht="15" hidden="false" customHeight="false" outlineLevel="0" collapsed="false">
      <c r="A1041" s="11" t="s">
        <v>1321</v>
      </c>
      <c r="B1041" s="11" t="s">
        <v>28</v>
      </c>
      <c r="C1041" s="11" t="s">
        <v>130</v>
      </c>
      <c r="D1041" s="11" t="s">
        <v>36</v>
      </c>
      <c r="E1041" s="11" t="s">
        <v>102</v>
      </c>
      <c r="F1041" s="11" t="s">
        <v>120</v>
      </c>
      <c r="G1041" s="21" t="n">
        <v>100.39</v>
      </c>
      <c r="H1041" s="19" t="n">
        <v>16.5</v>
      </c>
      <c r="I1041" s="21" t="n">
        <v>83.83</v>
      </c>
      <c r="J1041" s="22" t="s">
        <v>80</v>
      </c>
      <c r="K1041" s="11" t="n">
        <v>17</v>
      </c>
      <c r="L1041" s="23" t="n">
        <v>4.6</v>
      </c>
      <c r="M1041" s="24" t="b">
        <f aca="false">FALSE()</f>
        <v>0</v>
      </c>
      <c r="N1041" s="11"/>
      <c r="O1041" s="11" t="str">
        <f aca="false">IF(K1041&lt;=StockP33,"Low",IF(K1041&lt;=StockP67,"Moderate","High"))</f>
        <v>Low</v>
      </c>
      <c r="P1041" s="11" t="str">
        <f aca="false">IF(H1041=0,"Low",IF(H1041&lt;=MarkdownP75,"Moderate","High"))</f>
        <v>Moderate</v>
      </c>
      <c r="Q1041" s="11" t="str">
        <f aca="false">IF(ISBLANK(L1041),"Unknown",IF(L1041&gt;=4,"Good",IF(L1041&lt;=2,"Poor","Neutral")))</f>
        <v>Good</v>
      </c>
      <c r="R1041" s="11" t="str">
        <f aca="false">IF(AND(O1041="Low",P1041="Low",Q1041="Good"),"BUY / PRIORITIZE",IF(AND(O1041="High",P1041="High",OR(Q1041="Poor",M1041=TRUE())),"HOLD / REVIEW","MONITOR"))</f>
        <v>MONITOR</v>
      </c>
      <c r="S1041" s="11" t="n">
        <f aca="false">K1041+(ROW()/10000000)</f>
        <v>17.0001041</v>
      </c>
    </row>
    <row r="1042" customFormat="false" ht="15" hidden="false" customHeight="false" outlineLevel="0" collapsed="false">
      <c r="A1042" s="11" t="s">
        <v>1322</v>
      </c>
      <c r="B1042" s="11" t="s">
        <v>30</v>
      </c>
      <c r="C1042" s="11" t="s">
        <v>116</v>
      </c>
      <c r="D1042" s="11" t="s">
        <v>36</v>
      </c>
      <c r="E1042" s="11" t="s">
        <v>110</v>
      </c>
      <c r="F1042" s="11" t="s">
        <v>118</v>
      </c>
      <c r="G1042" s="21" t="n">
        <v>100.03</v>
      </c>
      <c r="H1042" s="19" t="n">
        <v>0</v>
      </c>
      <c r="I1042" s="21" t="n">
        <v>100.03</v>
      </c>
      <c r="J1042" s="22" t="s">
        <v>80</v>
      </c>
      <c r="K1042" s="11" t="n">
        <v>39</v>
      </c>
      <c r="L1042" s="23" t="n">
        <v>1.2</v>
      </c>
      <c r="M1042" s="24" t="b">
        <f aca="false">FALSE()</f>
        <v>0</v>
      </c>
      <c r="N1042" s="11"/>
      <c r="O1042" s="11" t="str">
        <f aca="false">IF(K1042&lt;=StockP33,"Low",IF(K1042&lt;=StockP67,"Moderate","High"))</f>
        <v>High</v>
      </c>
      <c r="P1042" s="11" t="str">
        <f aca="false">IF(H1042=0,"Low",IF(H1042&lt;=MarkdownP75,"Moderate","High"))</f>
        <v>Low</v>
      </c>
      <c r="Q1042" s="11" t="str">
        <f aca="false">IF(ISBLANK(L1042),"Unknown",IF(L1042&gt;=4,"Good",IF(L1042&lt;=2,"Poor","Neutral")))</f>
        <v>Poor</v>
      </c>
      <c r="R1042" s="11" t="str">
        <f aca="false">IF(AND(O1042="Low",P1042="Low",Q1042="Good"),"BUY / PRIORITIZE",IF(AND(O1042="High",P1042="High",OR(Q1042="Poor",M1042=TRUE())),"HOLD / REVIEW","MONITOR"))</f>
        <v>MONITOR</v>
      </c>
      <c r="S1042" s="11" t="n">
        <f aca="false">K1042+(ROW()/10000000)</f>
        <v>39.0001042</v>
      </c>
    </row>
    <row r="1043" customFormat="false" ht="15" hidden="false" customHeight="false" outlineLevel="0" collapsed="false">
      <c r="A1043" s="11" t="s">
        <v>1323</v>
      </c>
      <c r="B1043" s="11" t="s">
        <v>8</v>
      </c>
      <c r="C1043" s="11" t="s">
        <v>116</v>
      </c>
      <c r="D1043" s="11" t="s">
        <v>34</v>
      </c>
      <c r="E1043" s="11"/>
      <c r="F1043" s="11" t="s">
        <v>88</v>
      </c>
      <c r="G1043" s="21" t="n">
        <v>50.14</v>
      </c>
      <c r="H1043" s="19" t="n">
        <v>29.2</v>
      </c>
      <c r="I1043" s="21" t="n">
        <v>35.5</v>
      </c>
      <c r="J1043" s="22" t="s">
        <v>1324</v>
      </c>
      <c r="K1043" s="11" t="n">
        <v>33</v>
      </c>
      <c r="L1043" s="23" t="n">
        <v>4.4</v>
      </c>
      <c r="M1043" s="24" t="b">
        <f aca="false">FALSE()</f>
        <v>0</v>
      </c>
      <c r="N1043" s="11"/>
      <c r="O1043" s="11" t="str">
        <f aca="false">IF(K1043&lt;=StockP33,"Low",IF(K1043&lt;=StockP67,"Moderate","High"))</f>
        <v>Moderate</v>
      </c>
      <c r="P1043" s="11" t="str">
        <f aca="false">IF(H1043=0,"Low",IF(H1043&lt;=MarkdownP75,"Moderate","High"))</f>
        <v>High</v>
      </c>
      <c r="Q1043" s="11" t="str">
        <f aca="false">IF(ISBLANK(L1043),"Unknown",IF(L1043&gt;=4,"Good",IF(L1043&lt;=2,"Poor","Neutral")))</f>
        <v>Good</v>
      </c>
      <c r="R1043" s="11" t="str">
        <f aca="false">IF(AND(O1043="Low",P1043="Low",Q1043="Good"),"BUY / PRIORITIZE",IF(AND(O1043="High",P1043="High",OR(Q1043="Poor",M1043=TRUE())),"HOLD / REVIEW","MONITOR"))</f>
        <v>MONITOR</v>
      </c>
      <c r="S1043" s="11" t="n">
        <f aca="false">K1043+(ROW()/10000000)</f>
        <v>33.0001043</v>
      </c>
    </row>
    <row r="1044" customFormat="false" ht="15" hidden="false" customHeight="false" outlineLevel="0" collapsed="false">
      <c r="A1044" s="11" t="s">
        <v>1325</v>
      </c>
      <c r="B1044" s="11" t="s">
        <v>26</v>
      </c>
      <c r="C1044" s="11" t="s">
        <v>72</v>
      </c>
      <c r="D1044" s="11" t="s">
        <v>35</v>
      </c>
      <c r="E1044" s="11" t="s">
        <v>73</v>
      </c>
      <c r="F1044" s="11" t="s">
        <v>82</v>
      </c>
      <c r="G1044" s="21" t="n">
        <v>33.13</v>
      </c>
      <c r="H1044" s="19" t="n">
        <v>0</v>
      </c>
      <c r="I1044" s="21" t="n">
        <v>33.13</v>
      </c>
      <c r="J1044" s="22" t="s">
        <v>80</v>
      </c>
      <c r="K1044" s="11" t="n">
        <v>41</v>
      </c>
      <c r="L1044" s="23" t="n">
        <v>3.3</v>
      </c>
      <c r="M1044" s="24" t="b">
        <f aca="false">FALSE()</f>
        <v>0</v>
      </c>
      <c r="N1044" s="11"/>
      <c r="O1044" s="11" t="str">
        <f aca="false">IF(K1044&lt;=StockP33,"Low",IF(K1044&lt;=StockP67,"Moderate","High"))</f>
        <v>High</v>
      </c>
      <c r="P1044" s="11" t="str">
        <f aca="false">IF(H1044=0,"Low",IF(H1044&lt;=MarkdownP75,"Moderate","High"))</f>
        <v>Low</v>
      </c>
      <c r="Q1044" s="11" t="str">
        <f aca="false">IF(ISBLANK(L1044),"Unknown",IF(L1044&gt;=4,"Good",IF(L1044&lt;=2,"Poor","Neutral")))</f>
        <v>Neutral</v>
      </c>
      <c r="R1044" s="11" t="str">
        <f aca="false">IF(AND(O1044="Low",P1044="Low",Q1044="Good"),"BUY / PRIORITIZE",IF(AND(O1044="High",P1044="High",OR(Q1044="Poor",M1044=TRUE())),"HOLD / REVIEW","MONITOR"))</f>
        <v>MONITOR</v>
      </c>
      <c r="S1044" s="11" t="n">
        <f aca="false">K1044+(ROW()/10000000)</f>
        <v>41.0001044</v>
      </c>
    </row>
    <row r="1045" customFormat="false" ht="15" hidden="false" customHeight="false" outlineLevel="0" collapsed="false">
      <c r="A1045" s="11" t="s">
        <v>1326</v>
      </c>
      <c r="B1045" s="11" t="s">
        <v>8</v>
      </c>
      <c r="C1045" s="11" t="s">
        <v>101</v>
      </c>
      <c r="D1045" s="11" t="s">
        <v>34</v>
      </c>
      <c r="E1045" s="11"/>
      <c r="F1045" s="11" t="s">
        <v>118</v>
      </c>
      <c r="G1045" s="21" t="n">
        <v>67.67</v>
      </c>
      <c r="H1045" s="19" t="n">
        <v>0</v>
      </c>
      <c r="I1045" s="21" t="n">
        <v>67.67</v>
      </c>
      <c r="J1045" s="22" t="s">
        <v>708</v>
      </c>
      <c r="K1045" s="11" t="n">
        <v>7</v>
      </c>
      <c r="L1045" s="23" t="n">
        <v>3.3</v>
      </c>
      <c r="M1045" s="24" t="b">
        <f aca="false">FALSE()</f>
        <v>0</v>
      </c>
      <c r="N1045" s="11"/>
      <c r="O1045" s="11" t="str">
        <f aca="false">IF(K1045&lt;=StockP33,"Low",IF(K1045&lt;=StockP67,"Moderate","High"))</f>
        <v>Low</v>
      </c>
      <c r="P1045" s="11" t="str">
        <f aca="false">IF(H1045=0,"Low",IF(H1045&lt;=MarkdownP75,"Moderate","High"))</f>
        <v>Low</v>
      </c>
      <c r="Q1045" s="11" t="str">
        <f aca="false">IF(ISBLANK(L1045),"Unknown",IF(L1045&gt;=4,"Good",IF(L1045&lt;=2,"Poor","Neutral")))</f>
        <v>Neutral</v>
      </c>
      <c r="R1045" s="11" t="str">
        <f aca="false">IF(AND(O1045="Low",P1045="Low",Q1045="Good"),"BUY / PRIORITIZE",IF(AND(O1045="High",P1045="High",OR(Q1045="Poor",M1045=TRUE())),"HOLD / REVIEW","MONITOR"))</f>
        <v>MONITOR</v>
      </c>
      <c r="S1045" s="11" t="n">
        <f aca="false">K1045+(ROW()/10000000)</f>
        <v>7.0001045</v>
      </c>
    </row>
    <row r="1046" customFormat="false" ht="15" hidden="false" customHeight="false" outlineLevel="0" collapsed="false">
      <c r="A1046" s="11" t="s">
        <v>1327</v>
      </c>
      <c r="B1046" s="11" t="s">
        <v>26</v>
      </c>
      <c r="C1046" s="11" t="s">
        <v>86</v>
      </c>
      <c r="D1046" s="11" t="s">
        <v>35</v>
      </c>
      <c r="E1046" s="11" t="s">
        <v>91</v>
      </c>
      <c r="F1046" s="11" t="s">
        <v>82</v>
      </c>
      <c r="G1046" s="21" t="n">
        <v>93.94</v>
      </c>
      <c r="H1046" s="19" t="n">
        <v>56.3</v>
      </c>
      <c r="I1046" s="21" t="n">
        <v>41.05</v>
      </c>
      <c r="J1046" s="22" t="s">
        <v>80</v>
      </c>
      <c r="K1046" s="11" t="n">
        <v>36</v>
      </c>
      <c r="L1046" s="23" t="n">
        <v>1.1</v>
      </c>
      <c r="M1046" s="24" t="b">
        <f aca="false">FALSE()</f>
        <v>0</v>
      </c>
      <c r="N1046" s="11"/>
      <c r="O1046" s="11" t="str">
        <f aca="false">IF(K1046&lt;=StockP33,"Low",IF(K1046&lt;=StockP67,"Moderate","High"))</f>
        <v>High</v>
      </c>
      <c r="P1046" s="11" t="str">
        <f aca="false">IF(H1046=0,"Low",IF(H1046&lt;=MarkdownP75,"Moderate","High"))</f>
        <v>High</v>
      </c>
      <c r="Q1046" s="11" t="str">
        <f aca="false">IF(ISBLANK(L1046),"Unknown",IF(L1046&gt;=4,"Good",IF(L1046&lt;=2,"Poor","Neutral")))</f>
        <v>Poor</v>
      </c>
      <c r="R1046" s="11" t="str">
        <f aca="false">IF(AND(O1046="Low",P1046="Low",Q1046="Good"),"BUY / PRIORITIZE",IF(AND(O1046="High",P1046="High",OR(Q1046="Poor",M1046=TRUE())),"HOLD / REVIEW","MONITOR"))</f>
        <v>HOLD / REVIEW</v>
      </c>
      <c r="S1046" s="11" t="n">
        <f aca="false">K1046+(ROW()/10000000)</f>
        <v>36.0001046</v>
      </c>
    </row>
    <row r="1047" customFormat="false" ht="15" hidden="false" customHeight="false" outlineLevel="0" collapsed="false">
      <c r="A1047" s="11" t="s">
        <v>1328</v>
      </c>
      <c r="B1047" s="11" t="s">
        <v>30</v>
      </c>
      <c r="C1047" s="11" t="s">
        <v>86</v>
      </c>
      <c r="D1047" s="11" t="s">
        <v>36</v>
      </c>
      <c r="E1047" s="11" t="s">
        <v>110</v>
      </c>
      <c r="F1047" s="11" t="s">
        <v>82</v>
      </c>
      <c r="G1047" s="21" t="n">
        <v>34.56</v>
      </c>
      <c r="H1047" s="19" t="n">
        <v>11.2</v>
      </c>
      <c r="I1047" s="21" t="n">
        <v>30.69</v>
      </c>
      <c r="J1047" s="22" t="s">
        <v>80</v>
      </c>
      <c r="K1047" s="11" t="n">
        <v>46</v>
      </c>
      <c r="L1047" s="23" t="n">
        <v>3.4</v>
      </c>
      <c r="M1047" s="24" t="b">
        <f aca="false">FALSE()</f>
        <v>0</v>
      </c>
      <c r="N1047" s="11"/>
      <c r="O1047" s="11" t="str">
        <f aca="false">IF(K1047&lt;=StockP33,"Low",IF(K1047&lt;=StockP67,"Moderate","High"))</f>
        <v>High</v>
      </c>
      <c r="P1047" s="11" t="str">
        <f aca="false">IF(H1047=0,"Low",IF(H1047&lt;=MarkdownP75,"Moderate","High"))</f>
        <v>Moderate</v>
      </c>
      <c r="Q1047" s="11" t="str">
        <f aca="false">IF(ISBLANK(L1047),"Unknown",IF(L1047&gt;=4,"Good",IF(L1047&lt;=2,"Poor","Neutral")))</f>
        <v>Neutral</v>
      </c>
      <c r="R1047" s="11" t="str">
        <f aca="false">IF(AND(O1047="Low",P1047="Low",Q1047="Good"),"BUY / PRIORITIZE",IF(AND(O1047="High",P1047="High",OR(Q1047="Poor",M1047=TRUE())),"HOLD / REVIEW","MONITOR"))</f>
        <v>MONITOR</v>
      </c>
      <c r="S1047" s="11" t="n">
        <f aca="false">K1047+(ROW()/10000000)</f>
        <v>46.0001047</v>
      </c>
    </row>
    <row r="1048" customFormat="false" ht="15" hidden="false" customHeight="false" outlineLevel="0" collapsed="false">
      <c r="A1048" s="11" t="s">
        <v>1329</v>
      </c>
      <c r="B1048" s="11" t="s">
        <v>28</v>
      </c>
      <c r="C1048" s="11" t="s">
        <v>107</v>
      </c>
      <c r="D1048" s="11" t="s">
        <v>35</v>
      </c>
      <c r="E1048" s="11" t="s">
        <v>113</v>
      </c>
      <c r="F1048" s="11" t="s">
        <v>82</v>
      </c>
      <c r="G1048" s="21" t="n">
        <v>235.33</v>
      </c>
      <c r="H1048" s="19" t="n">
        <v>0</v>
      </c>
      <c r="I1048" s="21" t="n">
        <v>235.33</v>
      </c>
      <c r="J1048" s="22" t="s">
        <v>80</v>
      </c>
      <c r="K1048" s="11" t="n">
        <v>11</v>
      </c>
      <c r="L1048" s="23" t="n">
        <v>4.7</v>
      </c>
      <c r="M1048" s="24" t="b">
        <f aca="false">TRUE()</f>
        <v>1</v>
      </c>
      <c r="N1048" s="11" t="s">
        <v>128</v>
      </c>
      <c r="O1048" s="11" t="str">
        <f aca="false">IF(K1048&lt;=StockP33,"Low",IF(K1048&lt;=StockP67,"Moderate","High"))</f>
        <v>Low</v>
      </c>
      <c r="P1048" s="11" t="str">
        <f aca="false">IF(H1048=0,"Low",IF(H1048&lt;=MarkdownP75,"Moderate","High"))</f>
        <v>Low</v>
      </c>
      <c r="Q1048" s="11" t="str">
        <f aca="false">IF(ISBLANK(L1048),"Unknown",IF(L1048&gt;=4,"Good",IF(L1048&lt;=2,"Poor","Neutral")))</f>
        <v>Good</v>
      </c>
      <c r="R1048" s="11" t="str">
        <f aca="false">IF(AND(O1048="Low",P1048="Low",Q1048="Good"),"BUY / PRIORITIZE",IF(AND(O1048="High",P1048="High",OR(Q1048="Poor",M1048=TRUE())),"HOLD / REVIEW","MONITOR"))</f>
        <v>BUY / PRIORITIZE</v>
      </c>
      <c r="S1048" s="11" t="n">
        <f aca="false">K1048+(ROW()/10000000)</f>
        <v>11.0001048</v>
      </c>
    </row>
    <row r="1049" customFormat="false" ht="15" hidden="false" customHeight="false" outlineLevel="0" collapsed="false">
      <c r="A1049" s="11" t="s">
        <v>1330</v>
      </c>
      <c r="B1049" s="11" t="s">
        <v>30</v>
      </c>
      <c r="C1049" s="11" t="s">
        <v>77</v>
      </c>
      <c r="D1049" s="11" t="s">
        <v>34</v>
      </c>
      <c r="E1049" s="11" t="s">
        <v>110</v>
      </c>
      <c r="F1049" s="11" t="s">
        <v>74</v>
      </c>
      <c r="G1049" s="21" t="n">
        <v>25.45</v>
      </c>
      <c r="H1049" s="19" t="n">
        <v>0</v>
      </c>
      <c r="I1049" s="21" t="n">
        <v>25.45</v>
      </c>
      <c r="J1049" s="22" t="s">
        <v>1331</v>
      </c>
      <c r="K1049" s="11" t="n">
        <v>29</v>
      </c>
      <c r="L1049" s="23" t="n">
        <v>3.7</v>
      </c>
      <c r="M1049" s="24" t="b">
        <f aca="false">FALSE()</f>
        <v>0</v>
      </c>
      <c r="N1049" s="11"/>
      <c r="O1049" s="11" t="str">
        <f aca="false">IF(K1049&lt;=StockP33,"Low",IF(K1049&lt;=StockP67,"Moderate","High"))</f>
        <v>Moderate</v>
      </c>
      <c r="P1049" s="11" t="str">
        <f aca="false">IF(H1049=0,"Low",IF(H1049&lt;=MarkdownP75,"Moderate","High"))</f>
        <v>Low</v>
      </c>
      <c r="Q1049" s="11" t="str">
        <f aca="false">IF(ISBLANK(L1049),"Unknown",IF(L1049&gt;=4,"Good",IF(L1049&lt;=2,"Poor","Neutral")))</f>
        <v>Neutral</v>
      </c>
      <c r="R1049" s="11" t="str">
        <f aca="false">IF(AND(O1049="Low",P1049="Low",Q1049="Good"),"BUY / PRIORITIZE",IF(AND(O1049="High",P1049="High",OR(Q1049="Poor",M1049=TRUE())),"HOLD / REVIEW","MONITOR"))</f>
        <v>MONITOR</v>
      </c>
      <c r="S1049" s="11" t="n">
        <f aca="false">K1049+(ROW()/10000000)</f>
        <v>29.0001049</v>
      </c>
    </row>
    <row r="1050" customFormat="false" ht="15" hidden="false" customHeight="false" outlineLevel="0" collapsed="false">
      <c r="A1050" s="11" t="s">
        <v>1332</v>
      </c>
      <c r="B1050" s="11" t="s">
        <v>30</v>
      </c>
      <c r="C1050" s="11" t="s">
        <v>116</v>
      </c>
      <c r="D1050" s="11" t="s">
        <v>37</v>
      </c>
      <c r="E1050" s="11" t="s">
        <v>73</v>
      </c>
      <c r="F1050" s="11" t="s">
        <v>92</v>
      </c>
      <c r="G1050" s="21" t="n">
        <v>71.44</v>
      </c>
      <c r="H1050" s="19" t="n">
        <v>0</v>
      </c>
      <c r="I1050" s="21" t="n">
        <v>71.44</v>
      </c>
      <c r="J1050" s="22" t="s">
        <v>80</v>
      </c>
      <c r="K1050" s="11" t="n">
        <v>18</v>
      </c>
      <c r="L1050" s="23" t="n">
        <v>4.3</v>
      </c>
      <c r="M1050" s="24" t="b">
        <f aca="false">FALSE()</f>
        <v>0</v>
      </c>
      <c r="N1050" s="11"/>
      <c r="O1050" s="11" t="str">
        <f aca="false">IF(K1050&lt;=StockP33,"Low",IF(K1050&lt;=StockP67,"Moderate","High"))</f>
        <v>Moderate</v>
      </c>
      <c r="P1050" s="11" t="str">
        <f aca="false">IF(H1050=0,"Low",IF(H1050&lt;=MarkdownP75,"Moderate","High"))</f>
        <v>Low</v>
      </c>
      <c r="Q1050" s="11" t="str">
        <f aca="false">IF(ISBLANK(L1050),"Unknown",IF(L1050&gt;=4,"Good",IF(L1050&lt;=2,"Poor","Neutral")))</f>
        <v>Good</v>
      </c>
      <c r="R1050" s="11" t="str">
        <f aca="false">IF(AND(O1050="Low",P1050="Low",Q1050="Good"),"BUY / PRIORITIZE",IF(AND(O1050="High",P1050="High",OR(Q1050="Poor",M1050=TRUE())),"HOLD / REVIEW","MONITOR"))</f>
        <v>MONITOR</v>
      </c>
      <c r="S1050" s="11" t="n">
        <f aca="false">K1050+(ROW()/10000000)</f>
        <v>18.000105</v>
      </c>
    </row>
    <row r="1051" customFormat="false" ht="15" hidden="false" customHeight="false" outlineLevel="0" collapsed="false">
      <c r="A1051" s="11" t="s">
        <v>1333</v>
      </c>
      <c r="B1051" s="11" t="s">
        <v>27</v>
      </c>
      <c r="C1051" s="11" t="s">
        <v>86</v>
      </c>
      <c r="D1051" s="11" t="s">
        <v>35</v>
      </c>
      <c r="E1051" s="11" t="s">
        <v>73</v>
      </c>
      <c r="F1051" s="11" t="s">
        <v>88</v>
      </c>
      <c r="G1051" s="21" t="n">
        <v>98.33</v>
      </c>
      <c r="H1051" s="19" t="n">
        <v>0</v>
      </c>
      <c r="I1051" s="21" t="n">
        <v>98.33</v>
      </c>
      <c r="J1051" s="22" t="s">
        <v>80</v>
      </c>
      <c r="K1051" s="11" t="n">
        <v>46</v>
      </c>
      <c r="L1051" s="23" t="n">
        <v>3.7</v>
      </c>
      <c r="M1051" s="24" t="b">
        <f aca="false">FALSE()</f>
        <v>0</v>
      </c>
      <c r="N1051" s="11"/>
      <c r="O1051" s="11" t="str">
        <f aca="false">IF(K1051&lt;=StockP33,"Low",IF(K1051&lt;=StockP67,"Moderate","High"))</f>
        <v>High</v>
      </c>
      <c r="P1051" s="11" t="str">
        <f aca="false">IF(H1051=0,"Low",IF(H1051&lt;=MarkdownP75,"Moderate","High"))</f>
        <v>Low</v>
      </c>
      <c r="Q1051" s="11" t="str">
        <f aca="false">IF(ISBLANK(L1051),"Unknown",IF(L1051&gt;=4,"Good",IF(L1051&lt;=2,"Poor","Neutral")))</f>
        <v>Neutral</v>
      </c>
      <c r="R1051" s="11" t="str">
        <f aca="false">IF(AND(O1051="Low",P1051="Low",Q1051="Good"),"BUY / PRIORITIZE",IF(AND(O1051="High",P1051="High",OR(Q1051="Poor",M1051=TRUE())),"HOLD / REVIEW","MONITOR"))</f>
        <v>MONITOR</v>
      </c>
      <c r="S1051" s="11" t="n">
        <f aca="false">K1051+(ROW()/10000000)</f>
        <v>46.0001051</v>
      </c>
    </row>
    <row r="1052" customFormat="false" ht="15" hidden="false" customHeight="false" outlineLevel="0" collapsed="false">
      <c r="A1052" s="11" t="s">
        <v>1334</v>
      </c>
      <c r="B1052" s="11" t="s">
        <v>27</v>
      </c>
      <c r="C1052" s="11" t="s">
        <v>130</v>
      </c>
      <c r="D1052" s="11" t="s">
        <v>34</v>
      </c>
      <c r="E1052" s="11" t="s">
        <v>91</v>
      </c>
      <c r="F1052" s="11" t="s">
        <v>96</v>
      </c>
      <c r="G1052" s="21" t="n">
        <v>171.1</v>
      </c>
      <c r="H1052" s="19" t="n">
        <v>0</v>
      </c>
      <c r="I1052" s="21" t="n">
        <v>171.1</v>
      </c>
      <c r="J1052" s="22" t="s">
        <v>742</v>
      </c>
      <c r="K1052" s="11" t="n">
        <v>34</v>
      </c>
      <c r="L1052" s="23"/>
      <c r="M1052" s="24" t="b">
        <f aca="false">FALSE()</f>
        <v>0</v>
      </c>
      <c r="N1052" s="11"/>
      <c r="O1052" s="11" t="str">
        <f aca="false">IF(K1052&lt;=StockP33,"Low",IF(K1052&lt;=StockP67,"Moderate","High"))</f>
        <v>High</v>
      </c>
      <c r="P1052" s="11" t="str">
        <f aca="false">IF(H1052=0,"Low",IF(H1052&lt;=MarkdownP75,"Moderate","High"))</f>
        <v>Low</v>
      </c>
      <c r="Q1052" s="11" t="str">
        <f aca="false">IF(ISBLANK(L1052),"Unknown",IF(L1052&gt;=4,"Good",IF(L1052&lt;=2,"Poor","Neutral")))</f>
        <v>Unknown</v>
      </c>
      <c r="R1052" s="11" t="str">
        <f aca="false">IF(AND(O1052="Low",P1052="Low",Q1052="Good"),"BUY / PRIORITIZE",IF(AND(O1052="High",P1052="High",OR(Q1052="Poor",M1052=TRUE())),"HOLD / REVIEW","MONITOR"))</f>
        <v>MONITOR</v>
      </c>
      <c r="S1052" s="11" t="n">
        <f aca="false">K1052+(ROW()/10000000)</f>
        <v>34.0001052</v>
      </c>
    </row>
    <row r="1053" customFormat="false" ht="15" hidden="false" customHeight="false" outlineLevel="0" collapsed="false">
      <c r="A1053" s="11" t="s">
        <v>1335</v>
      </c>
      <c r="B1053" s="11" t="s">
        <v>27</v>
      </c>
      <c r="C1053" s="11" t="s">
        <v>130</v>
      </c>
      <c r="D1053" s="11" t="s">
        <v>37</v>
      </c>
      <c r="E1053" s="11" t="s">
        <v>110</v>
      </c>
      <c r="F1053" s="11" t="s">
        <v>88</v>
      </c>
      <c r="G1053" s="21" t="n">
        <v>155.57</v>
      </c>
      <c r="H1053" s="19" t="n">
        <v>0</v>
      </c>
      <c r="I1053" s="21" t="n">
        <v>155.57</v>
      </c>
      <c r="J1053" s="22" t="s">
        <v>80</v>
      </c>
      <c r="K1053" s="11" t="n">
        <v>48</v>
      </c>
      <c r="L1053" s="23" t="n">
        <v>3.8</v>
      </c>
      <c r="M1053" s="24" t="b">
        <f aca="false">FALSE()</f>
        <v>0</v>
      </c>
      <c r="N1053" s="11"/>
      <c r="O1053" s="11" t="str">
        <f aca="false">IF(K1053&lt;=StockP33,"Low",IF(K1053&lt;=StockP67,"Moderate","High"))</f>
        <v>High</v>
      </c>
      <c r="P1053" s="11" t="str">
        <f aca="false">IF(H1053=0,"Low",IF(H1053&lt;=MarkdownP75,"Moderate","High"))</f>
        <v>Low</v>
      </c>
      <c r="Q1053" s="11" t="str">
        <f aca="false">IF(ISBLANK(L1053),"Unknown",IF(L1053&gt;=4,"Good",IF(L1053&lt;=2,"Poor","Neutral")))</f>
        <v>Neutral</v>
      </c>
      <c r="R1053" s="11" t="str">
        <f aca="false">IF(AND(O1053="Low",P1053="Low",Q1053="Good"),"BUY / PRIORITIZE",IF(AND(O1053="High",P1053="High",OR(Q1053="Poor",M1053=TRUE())),"HOLD / REVIEW","MONITOR"))</f>
        <v>MONITOR</v>
      </c>
      <c r="S1053" s="11" t="n">
        <f aca="false">K1053+(ROW()/10000000)</f>
        <v>48.0001053</v>
      </c>
    </row>
    <row r="1054" customFormat="false" ht="15" hidden="false" customHeight="false" outlineLevel="0" collapsed="false">
      <c r="A1054" s="11" t="s">
        <v>1336</v>
      </c>
      <c r="B1054" s="11" t="s">
        <v>28</v>
      </c>
      <c r="C1054" s="11" t="s">
        <v>95</v>
      </c>
      <c r="D1054" s="11" t="s">
        <v>36</v>
      </c>
      <c r="E1054" s="11" t="s">
        <v>78</v>
      </c>
      <c r="F1054" s="11" t="s">
        <v>98</v>
      </c>
      <c r="G1054" s="21" t="n">
        <v>198.44</v>
      </c>
      <c r="H1054" s="19" t="n">
        <v>0</v>
      </c>
      <c r="I1054" s="21" t="n">
        <v>198.44</v>
      </c>
      <c r="J1054" s="22" t="s">
        <v>80</v>
      </c>
      <c r="K1054" s="11" t="n">
        <v>40</v>
      </c>
      <c r="L1054" s="23" t="n">
        <v>2.2</v>
      </c>
      <c r="M1054" s="24" t="b">
        <f aca="false">FALSE()</f>
        <v>0</v>
      </c>
      <c r="N1054" s="11"/>
      <c r="O1054" s="11" t="str">
        <f aca="false">IF(K1054&lt;=StockP33,"Low",IF(K1054&lt;=StockP67,"Moderate","High"))</f>
        <v>High</v>
      </c>
      <c r="P1054" s="11" t="str">
        <f aca="false">IF(H1054=0,"Low",IF(H1054&lt;=MarkdownP75,"Moderate","High"))</f>
        <v>Low</v>
      </c>
      <c r="Q1054" s="11" t="str">
        <f aca="false">IF(ISBLANK(L1054),"Unknown",IF(L1054&gt;=4,"Good",IF(L1054&lt;=2,"Poor","Neutral")))</f>
        <v>Neutral</v>
      </c>
      <c r="R1054" s="11" t="str">
        <f aca="false">IF(AND(O1054="Low",P1054="Low",Q1054="Good"),"BUY / PRIORITIZE",IF(AND(O1054="High",P1054="High",OR(Q1054="Poor",M1054=TRUE())),"HOLD / REVIEW","MONITOR"))</f>
        <v>MONITOR</v>
      </c>
      <c r="S1054" s="11" t="n">
        <f aca="false">K1054+(ROW()/10000000)</f>
        <v>40.0001054</v>
      </c>
    </row>
    <row r="1055" customFormat="false" ht="15" hidden="false" customHeight="false" outlineLevel="0" collapsed="false">
      <c r="A1055" s="11" t="s">
        <v>1337</v>
      </c>
      <c r="B1055" s="11" t="s">
        <v>29</v>
      </c>
      <c r="C1055" s="11" t="s">
        <v>107</v>
      </c>
      <c r="D1055" s="11" t="s">
        <v>34</v>
      </c>
      <c r="E1055" s="11" t="s">
        <v>113</v>
      </c>
      <c r="F1055" s="11" t="s">
        <v>82</v>
      </c>
      <c r="G1055" s="21" t="n">
        <v>175.85</v>
      </c>
      <c r="H1055" s="19" t="n">
        <v>18.1</v>
      </c>
      <c r="I1055" s="21" t="n">
        <v>144.02</v>
      </c>
      <c r="J1055" s="22" t="s">
        <v>1338</v>
      </c>
      <c r="K1055" s="11" t="n">
        <v>4</v>
      </c>
      <c r="L1055" s="23" t="n">
        <v>4</v>
      </c>
      <c r="M1055" s="24" t="b">
        <f aca="false">FALSE()</f>
        <v>0</v>
      </c>
      <c r="N1055" s="11"/>
      <c r="O1055" s="11" t="str">
        <f aca="false">IF(K1055&lt;=StockP33,"Low",IF(K1055&lt;=StockP67,"Moderate","High"))</f>
        <v>Low</v>
      </c>
      <c r="P1055" s="11" t="str">
        <f aca="false">IF(H1055=0,"Low",IF(H1055&lt;=MarkdownP75,"Moderate","High"))</f>
        <v>Moderate</v>
      </c>
      <c r="Q1055" s="11" t="str">
        <f aca="false">IF(ISBLANK(L1055),"Unknown",IF(L1055&gt;=4,"Good",IF(L1055&lt;=2,"Poor","Neutral")))</f>
        <v>Good</v>
      </c>
      <c r="R1055" s="11" t="str">
        <f aca="false">IF(AND(O1055="Low",P1055="Low",Q1055="Good"),"BUY / PRIORITIZE",IF(AND(O1055="High",P1055="High",OR(Q1055="Poor",M1055=TRUE())),"HOLD / REVIEW","MONITOR"))</f>
        <v>MONITOR</v>
      </c>
      <c r="S1055" s="11" t="n">
        <f aca="false">K1055+(ROW()/10000000)</f>
        <v>4.0001055</v>
      </c>
    </row>
    <row r="1056" customFormat="false" ht="15" hidden="false" customHeight="false" outlineLevel="0" collapsed="false">
      <c r="A1056" s="11" t="s">
        <v>1339</v>
      </c>
      <c r="B1056" s="11" t="s">
        <v>28</v>
      </c>
      <c r="C1056" s="11" t="s">
        <v>130</v>
      </c>
      <c r="D1056" s="11" t="s">
        <v>35</v>
      </c>
      <c r="E1056" s="11" t="s">
        <v>113</v>
      </c>
      <c r="F1056" s="11" t="s">
        <v>79</v>
      </c>
      <c r="G1056" s="21" t="n">
        <v>100.23</v>
      </c>
      <c r="H1056" s="19" t="n">
        <v>0</v>
      </c>
      <c r="I1056" s="21" t="n">
        <v>100.23</v>
      </c>
      <c r="J1056" s="22" t="s">
        <v>80</v>
      </c>
      <c r="K1056" s="11" t="n">
        <v>12</v>
      </c>
      <c r="L1056" s="23" t="n">
        <v>3.5</v>
      </c>
      <c r="M1056" s="24" t="b">
        <f aca="false">FALSE()</f>
        <v>0</v>
      </c>
      <c r="N1056" s="11"/>
      <c r="O1056" s="11" t="str">
        <f aca="false">IF(K1056&lt;=StockP33,"Low",IF(K1056&lt;=StockP67,"Moderate","High"))</f>
        <v>Low</v>
      </c>
      <c r="P1056" s="11" t="str">
        <f aca="false">IF(H1056=0,"Low",IF(H1056&lt;=MarkdownP75,"Moderate","High"))</f>
        <v>Low</v>
      </c>
      <c r="Q1056" s="11" t="str">
        <f aca="false">IF(ISBLANK(L1056),"Unknown",IF(L1056&gt;=4,"Good",IF(L1056&lt;=2,"Poor","Neutral")))</f>
        <v>Neutral</v>
      </c>
      <c r="R1056" s="11" t="str">
        <f aca="false">IF(AND(O1056="Low",P1056="Low",Q1056="Good"),"BUY / PRIORITIZE",IF(AND(O1056="High",P1056="High",OR(Q1056="Poor",M1056=TRUE())),"HOLD / REVIEW","MONITOR"))</f>
        <v>MONITOR</v>
      </c>
      <c r="S1056" s="11" t="n">
        <f aca="false">K1056+(ROW()/10000000)</f>
        <v>12.0001056</v>
      </c>
    </row>
    <row r="1057" customFormat="false" ht="15" hidden="false" customHeight="false" outlineLevel="0" collapsed="false">
      <c r="A1057" s="11" t="s">
        <v>1340</v>
      </c>
      <c r="B1057" s="11" t="s">
        <v>28</v>
      </c>
      <c r="C1057" s="11" t="s">
        <v>72</v>
      </c>
      <c r="D1057" s="11" t="s">
        <v>37</v>
      </c>
      <c r="E1057" s="11" t="s">
        <v>102</v>
      </c>
      <c r="F1057" s="11" t="s">
        <v>111</v>
      </c>
      <c r="G1057" s="21" t="n">
        <v>88.94</v>
      </c>
      <c r="H1057" s="19" t="n">
        <v>0</v>
      </c>
      <c r="I1057" s="21" t="n">
        <v>88.94</v>
      </c>
      <c r="J1057" s="22" t="s">
        <v>80</v>
      </c>
      <c r="K1057" s="11" t="n">
        <v>36</v>
      </c>
      <c r="L1057" s="23"/>
      <c r="M1057" s="24" t="b">
        <f aca="false">FALSE()</f>
        <v>0</v>
      </c>
      <c r="N1057" s="11"/>
      <c r="O1057" s="11" t="str">
        <f aca="false">IF(K1057&lt;=StockP33,"Low",IF(K1057&lt;=StockP67,"Moderate","High"))</f>
        <v>High</v>
      </c>
      <c r="P1057" s="11" t="str">
        <f aca="false">IF(H1057=0,"Low",IF(H1057&lt;=MarkdownP75,"Moderate","High"))</f>
        <v>Low</v>
      </c>
      <c r="Q1057" s="11" t="str">
        <f aca="false">IF(ISBLANK(L1057),"Unknown",IF(L1057&gt;=4,"Good",IF(L1057&lt;=2,"Poor","Neutral")))</f>
        <v>Unknown</v>
      </c>
      <c r="R1057" s="11" t="str">
        <f aca="false">IF(AND(O1057="Low",P1057="Low",Q1057="Good"),"BUY / PRIORITIZE",IF(AND(O1057="High",P1057="High",OR(Q1057="Poor",M1057=TRUE())),"HOLD / REVIEW","MONITOR"))</f>
        <v>MONITOR</v>
      </c>
      <c r="S1057" s="11" t="n">
        <f aca="false">K1057+(ROW()/10000000)</f>
        <v>36.0001057</v>
      </c>
    </row>
    <row r="1058" customFormat="false" ht="15" hidden="false" customHeight="false" outlineLevel="0" collapsed="false">
      <c r="A1058" s="11" t="s">
        <v>1341</v>
      </c>
      <c r="B1058" s="11" t="s">
        <v>28</v>
      </c>
      <c r="C1058" s="11" t="s">
        <v>101</v>
      </c>
      <c r="D1058" s="11" t="s">
        <v>36</v>
      </c>
      <c r="E1058" s="11" t="s">
        <v>102</v>
      </c>
      <c r="F1058" s="11" t="s">
        <v>118</v>
      </c>
      <c r="G1058" s="21" t="n">
        <v>205.91</v>
      </c>
      <c r="H1058" s="19" t="n">
        <v>0</v>
      </c>
      <c r="I1058" s="21" t="n">
        <v>205.91</v>
      </c>
      <c r="J1058" s="22" t="s">
        <v>80</v>
      </c>
      <c r="K1058" s="11" t="n">
        <v>3</v>
      </c>
      <c r="L1058" s="23" t="n">
        <v>4.8</v>
      </c>
      <c r="M1058" s="24" t="b">
        <f aca="false">FALSE()</f>
        <v>0</v>
      </c>
      <c r="N1058" s="11"/>
      <c r="O1058" s="11" t="str">
        <f aca="false">IF(K1058&lt;=StockP33,"Low",IF(K1058&lt;=StockP67,"Moderate","High"))</f>
        <v>Low</v>
      </c>
      <c r="P1058" s="11" t="str">
        <f aca="false">IF(H1058=0,"Low",IF(H1058&lt;=MarkdownP75,"Moderate","High"))</f>
        <v>Low</v>
      </c>
      <c r="Q1058" s="11" t="str">
        <f aca="false">IF(ISBLANK(L1058),"Unknown",IF(L1058&gt;=4,"Good",IF(L1058&lt;=2,"Poor","Neutral")))</f>
        <v>Good</v>
      </c>
      <c r="R1058" s="11" t="str">
        <f aca="false">IF(AND(O1058="Low",P1058="Low",Q1058="Good"),"BUY / PRIORITIZE",IF(AND(O1058="High",P1058="High",OR(Q1058="Poor",M1058=TRUE())),"HOLD / REVIEW","MONITOR"))</f>
        <v>BUY / PRIORITIZE</v>
      </c>
      <c r="S1058" s="11" t="n">
        <f aca="false">K1058+(ROW()/10000000)</f>
        <v>3.0001058</v>
      </c>
    </row>
    <row r="1059" customFormat="false" ht="15" hidden="false" customHeight="false" outlineLevel="0" collapsed="false">
      <c r="A1059" s="11" t="s">
        <v>1342</v>
      </c>
      <c r="B1059" s="11" t="s">
        <v>8</v>
      </c>
      <c r="C1059" s="11" t="s">
        <v>77</v>
      </c>
      <c r="D1059" s="11" t="s">
        <v>36</v>
      </c>
      <c r="E1059" s="11"/>
      <c r="F1059" s="11" t="s">
        <v>79</v>
      </c>
      <c r="G1059" s="21" t="n">
        <v>29.06</v>
      </c>
      <c r="H1059" s="19" t="n">
        <v>1.1</v>
      </c>
      <c r="I1059" s="21" t="n">
        <v>28.74</v>
      </c>
      <c r="J1059" s="22" t="s">
        <v>80</v>
      </c>
      <c r="K1059" s="11" t="n">
        <v>12</v>
      </c>
      <c r="L1059" s="23" t="n">
        <v>1.1</v>
      </c>
      <c r="M1059" s="24" t="b">
        <f aca="false">TRUE()</f>
        <v>1</v>
      </c>
      <c r="N1059" s="11" t="s">
        <v>89</v>
      </c>
      <c r="O1059" s="11" t="str">
        <f aca="false">IF(K1059&lt;=StockP33,"Low",IF(K1059&lt;=StockP67,"Moderate","High"))</f>
        <v>Low</v>
      </c>
      <c r="P1059" s="11" t="str">
        <f aca="false">IF(H1059=0,"Low",IF(H1059&lt;=MarkdownP75,"Moderate","High"))</f>
        <v>Moderate</v>
      </c>
      <c r="Q1059" s="11" t="str">
        <f aca="false">IF(ISBLANK(L1059),"Unknown",IF(L1059&gt;=4,"Good",IF(L1059&lt;=2,"Poor","Neutral")))</f>
        <v>Poor</v>
      </c>
      <c r="R1059" s="11" t="str">
        <f aca="false">IF(AND(O1059="Low",P1059="Low",Q1059="Good"),"BUY / PRIORITIZE",IF(AND(O1059="High",P1059="High",OR(Q1059="Poor",M1059=TRUE())),"HOLD / REVIEW","MONITOR"))</f>
        <v>MONITOR</v>
      </c>
      <c r="S1059" s="11" t="n">
        <f aca="false">K1059+(ROW()/10000000)</f>
        <v>12.0001059</v>
      </c>
    </row>
    <row r="1060" customFormat="false" ht="15" hidden="false" customHeight="false" outlineLevel="0" collapsed="false">
      <c r="A1060" s="11" t="s">
        <v>1343</v>
      </c>
      <c r="B1060" s="11" t="s">
        <v>8</v>
      </c>
      <c r="C1060" s="11" t="s">
        <v>116</v>
      </c>
      <c r="D1060" s="11" t="s">
        <v>35</v>
      </c>
      <c r="E1060" s="11"/>
      <c r="F1060" s="11" t="s">
        <v>124</v>
      </c>
      <c r="G1060" s="21" t="n">
        <v>68.56</v>
      </c>
      <c r="H1060" s="19" t="n">
        <v>0</v>
      </c>
      <c r="I1060" s="21" t="n">
        <v>68.56</v>
      </c>
      <c r="J1060" s="22" t="s">
        <v>80</v>
      </c>
      <c r="K1060" s="11" t="n">
        <v>2</v>
      </c>
      <c r="L1060" s="23" t="n">
        <v>2.4</v>
      </c>
      <c r="M1060" s="24" t="b">
        <f aca="false">FALSE()</f>
        <v>0</v>
      </c>
      <c r="N1060" s="11"/>
      <c r="O1060" s="11" t="str">
        <f aca="false">IF(K1060&lt;=StockP33,"Low",IF(K1060&lt;=StockP67,"Moderate","High"))</f>
        <v>Low</v>
      </c>
      <c r="P1060" s="11" t="str">
        <f aca="false">IF(H1060=0,"Low",IF(H1060&lt;=MarkdownP75,"Moderate","High"))</f>
        <v>Low</v>
      </c>
      <c r="Q1060" s="11" t="str">
        <f aca="false">IF(ISBLANK(L1060),"Unknown",IF(L1060&gt;=4,"Good",IF(L1060&lt;=2,"Poor","Neutral")))</f>
        <v>Neutral</v>
      </c>
      <c r="R1060" s="11" t="str">
        <f aca="false">IF(AND(O1060="Low",P1060="Low",Q1060="Good"),"BUY / PRIORITIZE",IF(AND(O1060="High",P1060="High",OR(Q1060="Poor",M1060=TRUE())),"HOLD / REVIEW","MONITOR"))</f>
        <v>MONITOR</v>
      </c>
      <c r="S1060" s="11" t="n">
        <f aca="false">K1060+(ROW()/10000000)</f>
        <v>2.000106</v>
      </c>
    </row>
    <row r="1061" customFormat="false" ht="15" hidden="false" customHeight="false" outlineLevel="0" collapsed="false">
      <c r="A1061" s="11" t="s">
        <v>1344</v>
      </c>
      <c r="B1061" s="11" t="s">
        <v>30</v>
      </c>
      <c r="C1061" s="11" t="s">
        <v>130</v>
      </c>
      <c r="D1061" s="11" t="s">
        <v>35</v>
      </c>
      <c r="E1061" s="11" t="s">
        <v>78</v>
      </c>
      <c r="F1061" s="11" t="s">
        <v>120</v>
      </c>
      <c r="G1061" s="21" t="n">
        <v>91.6</v>
      </c>
      <c r="H1061" s="19" t="n">
        <v>59.5</v>
      </c>
      <c r="I1061" s="21" t="n">
        <v>37.1</v>
      </c>
      <c r="J1061" s="22" t="s">
        <v>80</v>
      </c>
      <c r="K1061" s="11" t="n">
        <v>2</v>
      </c>
      <c r="L1061" s="23" t="n">
        <v>4.3</v>
      </c>
      <c r="M1061" s="24" t="b">
        <f aca="false">FALSE()</f>
        <v>0</v>
      </c>
      <c r="N1061" s="11"/>
      <c r="O1061" s="11" t="str">
        <f aca="false">IF(K1061&lt;=StockP33,"Low",IF(K1061&lt;=StockP67,"Moderate","High"))</f>
        <v>Low</v>
      </c>
      <c r="P1061" s="11" t="str">
        <f aca="false">IF(H1061=0,"Low",IF(H1061&lt;=MarkdownP75,"Moderate","High"))</f>
        <v>High</v>
      </c>
      <c r="Q1061" s="11" t="str">
        <f aca="false">IF(ISBLANK(L1061),"Unknown",IF(L1061&gt;=4,"Good",IF(L1061&lt;=2,"Poor","Neutral")))</f>
        <v>Good</v>
      </c>
      <c r="R1061" s="11" t="str">
        <f aca="false">IF(AND(O1061="Low",P1061="Low",Q1061="Good"),"BUY / PRIORITIZE",IF(AND(O1061="High",P1061="High",OR(Q1061="Poor",M1061=TRUE())),"HOLD / REVIEW","MONITOR"))</f>
        <v>MONITOR</v>
      </c>
      <c r="S1061" s="11" t="n">
        <f aca="false">K1061+(ROW()/10000000)</f>
        <v>2.0001061</v>
      </c>
    </row>
    <row r="1062" customFormat="false" ht="15" hidden="false" customHeight="false" outlineLevel="0" collapsed="false">
      <c r="A1062" s="11" t="s">
        <v>1345</v>
      </c>
      <c r="B1062" s="11" t="s">
        <v>27</v>
      </c>
      <c r="C1062" s="11" t="s">
        <v>101</v>
      </c>
      <c r="D1062" s="11" t="s">
        <v>35</v>
      </c>
      <c r="E1062" s="11" t="s">
        <v>110</v>
      </c>
      <c r="F1062" s="11" t="s">
        <v>82</v>
      </c>
      <c r="G1062" s="21" t="n">
        <v>96.57</v>
      </c>
      <c r="H1062" s="19" t="n">
        <v>0</v>
      </c>
      <c r="I1062" s="21" t="n">
        <v>96.57</v>
      </c>
      <c r="J1062" s="22" t="s">
        <v>80</v>
      </c>
      <c r="K1062" s="11" t="n">
        <v>6</v>
      </c>
      <c r="L1062" s="23" t="n">
        <v>1.9</v>
      </c>
      <c r="M1062" s="24" t="b">
        <f aca="false">FALSE()</f>
        <v>0</v>
      </c>
      <c r="N1062" s="11"/>
      <c r="O1062" s="11" t="str">
        <f aca="false">IF(K1062&lt;=StockP33,"Low",IF(K1062&lt;=StockP67,"Moderate","High"))</f>
        <v>Low</v>
      </c>
      <c r="P1062" s="11" t="str">
        <f aca="false">IF(H1062=0,"Low",IF(H1062&lt;=MarkdownP75,"Moderate","High"))</f>
        <v>Low</v>
      </c>
      <c r="Q1062" s="11" t="str">
        <f aca="false">IF(ISBLANK(L1062),"Unknown",IF(L1062&gt;=4,"Good",IF(L1062&lt;=2,"Poor","Neutral")))</f>
        <v>Poor</v>
      </c>
      <c r="R1062" s="11" t="str">
        <f aca="false">IF(AND(O1062="Low",P1062="Low",Q1062="Good"),"BUY / PRIORITIZE",IF(AND(O1062="High",P1062="High",OR(Q1062="Poor",M1062=TRUE())),"HOLD / REVIEW","MONITOR"))</f>
        <v>MONITOR</v>
      </c>
      <c r="S1062" s="11" t="n">
        <f aca="false">K1062+(ROW()/10000000)</f>
        <v>6.0001062</v>
      </c>
    </row>
    <row r="1063" customFormat="false" ht="15" hidden="false" customHeight="false" outlineLevel="0" collapsed="false">
      <c r="A1063" s="11" t="s">
        <v>1346</v>
      </c>
      <c r="B1063" s="11" t="s">
        <v>26</v>
      </c>
      <c r="C1063" s="11" t="s">
        <v>101</v>
      </c>
      <c r="D1063" s="11" t="s">
        <v>37</v>
      </c>
      <c r="E1063" s="11" t="s">
        <v>91</v>
      </c>
      <c r="F1063" s="11" t="s">
        <v>79</v>
      </c>
      <c r="G1063" s="21" t="n">
        <v>35.63</v>
      </c>
      <c r="H1063" s="19" t="n">
        <v>57.9</v>
      </c>
      <c r="I1063" s="21" t="n">
        <v>15</v>
      </c>
      <c r="J1063" s="22" t="s">
        <v>80</v>
      </c>
      <c r="K1063" s="11" t="n">
        <v>11</v>
      </c>
      <c r="L1063" s="23" t="n">
        <v>1.8</v>
      </c>
      <c r="M1063" s="24" t="b">
        <f aca="false">FALSE()</f>
        <v>0</v>
      </c>
      <c r="N1063" s="11"/>
      <c r="O1063" s="11" t="str">
        <f aca="false">IF(K1063&lt;=StockP33,"Low",IF(K1063&lt;=StockP67,"Moderate","High"))</f>
        <v>Low</v>
      </c>
      <c r="P1063" s="11" t="str">
        <f aca="false">IF(H1063=0,"Low",IF(H1063&lt;=MarkdownP75,"Moderate","High"))</f>
        <v>High</v>
      </c>
      <c r="Q1063" s="11" t="str">
        <f aca="false">IF(ISBLANK(L1063),"Unknown",IF(L1063&gt;=4,"Good",IF(L1063&lt;=2,"Poor","Neutral")))</f>
        <v>Poor</v>
      </c>
      <c r="R1063" s="11" t="str">
        <f aca="false">IF(AND(O1063="Low",P1063="Low",Q1063="Good"),"BUY / PRIORITIZE",IF(AND(O1063="High",P1063="High",OR(Q1063="Poor",M1063=TRUE())),"HOLD / REVIEW","MONITOR"))</f>
        <v>MONITOR</v>
      </c>
      <c r="S1063" s="11" t="n">
        <f aca="false">K1063+(ROW()/10000000)</f>
        <v>11.0001063</v>
      </c>
    </row>
    <row r="1064" customFormat="false" ht="15" hidden="false" customHeight="false" outlineLevel="0" collapsed="false">
      <c r="A1064" s="11" t="s">
        <v>1347</v>
      </c>
      <c r="B1064" s="11" t="s">
        <v>29</v>
      </c>
      <c r="C1064" s="11" t="s">
        <v>77</v>
      </c>
      <c r="D1064" s="11" t="s">
        <v>37</v>
      </c>
      <c r="E1064" s="11" t="s">
        <v>110</v>
      </c>
      <c r="F1064" s="11" t="s">
        <v>98</v>
      </c>
      <c r="G1064" s="21" t="n">
        <v>118.98</v>
      </c>
      <c r="H1064" s="19" t="n">
        <v>38.1</v>
      </c>
      <c r="I1064" s="21" t="n">
        <v>73.65</v>
      </c>
      <c r="J1064" s="22" t="s">
        <v>80</v>
      </c>
      <c r="K1064" s="11" t="n">
        <v>36</v>
      </c>
      <c r="L1064" s="23" t="n">
        <v>1.1</v>
      </c>
      <c r="M1064" s="24" t="b">
        <f aca="false">TRUE()</f>
        <v>1</v>
      </c>
      <c r="N1064" s="11" t="s">
        <v>89</v>
      </c>
      <c r="O1064" s="11" t="str">
        <f aca="false">IF(K1064&lt;=StockP33,"Low",IF(K1064&lt;=StockP67,"Moderate","High"))</f>
        <v>High</v>
      </c>
      <c r="P1064" s="11" t="str">
        <f aca="false">IF(H1064=0,"Low",IF(H1064&lt;=MarkdownP75,"Moderate","High"))</f>
        <v>High</v>
      </c>
      <c r="Q1064" s="11" t="str">
        <f aca="false">IF(ISBLANK(L1064),"Unknown",IF(L1064&gt;=4,"Good",IF(L1064&lt;=2,"Poor","Neutral")))</f>
        <v>Poor</v>
      </c>
      <c r="R1064" s="11" t="str">
        <f aca="false">IF(AND(O1064="Low",P1064="Low",Q1064="Good"),"BUY / PRIORITIZE",IF(AND(O1064="High",P1064="High",OR(Q1064="Poor",M1064=TRUE())),"HOLD / REVIEW","MONITOR"))</f>
        <v>HOLD / REVIEW</v>
      </c>
      <c r="S1064" s="11" t="n">
        <f aca="false">K1064+(ROW()/10000000)</f>
        <v>36.0001064</v>
      </c>
    </row>
    <row r="1065" customFormat="false" ht="15" hidden="false" customHeight="false" outlineLevel="0" collapsed="false">
      <c r="A1065" s="11" t="s">
        <v>1348</v>
      </c>
      <c r="B1065" s="11" t="s">
        <v>29</v>
      </c>
      <c r="C1065" s="11" t="s">
        <v>101</v>
      </c>
      <c r="D1065" s="11" t="s">
        <v>34</v>
      </c>
      <c r="E1065" s="11" t="s">
        <v>73</v>
      </c>
      <c r="F1065" s="11" t="s">
        <v>74</v>
      </c>
      <c r="G1065" s="21" t="n">
        <v>62.62</v>
      </c>
      <c r="H1065" s="19" t="n">
        <v>10.1</v>
      </c>
      <c r="I1065" s="21" t="n">
        <v>56.3</v>
      </c>
      <c r="J1065" s="22" t="s">
        <v>1349</v>
      </c>
      <c r="K1065" s="11" t="n">
        <v>32</v>
      </c>
      <c r="L1065" s="23" t="n">
        <v>2.9</v>
      </c>
      <c r="M1065" s="24" t="b">
        <f aca="false">FALSE()</f>
        <v>0</v>
      </c>
      <c r="N1065" s="11"/>
      <c r="O1065" s="11" t="str">
        <f aca="false">IF(K1065&lt;=StockP33,"Low",IF(K1065&lt;=StockP67,"Moderate","High"))</f>
        <v>Moderate</v>
      </c>
      <c r="P1065" s="11" t="str">
        <f aca="false">IF(H1065=0,"Low",IF(H1065&lt;=MarkdownP75,"Moderate","High"))</f>
        <v>Moderate</v>
      </c>
      <c r="Q1065" s="11" t="str">
        <f aca="false">IF(ISBLANK(L1065),"Unknown",IF(L1065&gt;=4,"Good",IF(L1065&lt;=2,"Poor","Neutral")))</f>
        <v>Neutral</v>
      </c>
      <c r="R1065" s="11" t="str">
        <f aca="false">IF(AND(O1065="Low",P1065="Low",Q1065="Good"),"BUY / PRIORITIZE",IF(AND(O1065="High",P1065="High",OR(Q1065="Poor",M1065=TRUE())),"HOLD / REVIEW","MONITOR"))</f>
        <v>MONITOR</v>
      </c>
      <c r="S1065" s="11" t="n">
        <f aca="false">K1065+(ROW()/10000000)</f>
        <v>32.0001065</v>
      </c>
    </row>
    <row r="1066" customFormat="false" ht="15" hidden="false" customHeight="false" outlineLevel="0" collapsed="false">
      <c r="A1066" s="11" t="s">
        <v>1350</v>
      </c>
      <c r="B1066" s="11" t="s">
        <v>29</v>
      </c>
      <c r="C1066" s="11" t="s">
        <v>130</v>
      </c>
      <c r="D1066" s="11" t="s">
        <v>35</v>
      </c>
      <c r="E1066" s="11" t="s">
        <v>113</v>
      </c>
      <c r="F1066" s="11" t="s">
        <v>124</v>
      </c>
      <c r="G1066" s="21" t="n">
        <v>153.34</v>
      </c>
      <c r="H1066" s="19" t="n">
        <v>55.5</v>
      </c>
      <c r="I1066" s="21" t="n">
        <v>68.24</v>
      </c>
      <c r="J1066" s="22" t="s">
        <v>80</v>
      </c>
      <c r="K1066" s="11" t="n">
        <v>46</v>
      </c>
      <c r="L1066" s="23" t="n">
        <v>4.2</v>
      </c>
      <c r="M1066" s="24" t="b">
        <f aca="false">TRUE()</f>
        <v>1</v>
      </c>
      <c r="N1066" s="11" t="s">
        <v>191</v>
      </c>
      <c r="O1066" s="11" t="str">
        <f aca="false">IF(K1066&lt;=StockP33,"Low",IF(K1066&lt;=StockP67,"Moderate","High"))</f>
        <v>High</v>
      </c>
      <c r="P1066" s="11" t="str">
        <f aca="false">IF(H1066=0,"Low",IF(H1066&lt;=MarkdownP75,"Moderate","High"))</f>
        <v>High</v>
      </c>
      <c r="Q1066" s="11" t="str">
        <f aca="false">IF(ISBLANK(L1066),"Unknown",IF(L1066&gt;=4,"Good",IF(L1066&lt;=2,"Poor","Neutral")))</f>
        <v>Good</v>
      </c>
      <c r="R1066" s="11" t="str">
        <f aca="false">IF(AND(O1066="Low",P1066="Low",Q1066="Good"),"BUY / PRIORITIZE",IF(AND(O1066="High",P1066="High",OR(Q1066="Poor",M1066=TRUE())),"HOLD / REVIEW","MONITOR"))</f>
        <v>HOLD / REVIEW</v>
      </c>
      <c r="S1066" s="11" t="n">
        <f aca="false">K1066+(ROW()/10000000)</f>
        <v>46.0001066</v>
      </c>
    </row>
    <row r="1067" customFormat="false" ht="15" hidden="false" customHeight="false" outlineLevel="0" collapsed="false">
      <c r="A1067" s="11" t="s">
        <v>1351</v>
      </c>
      <c r="B1067" s="11" t="s">
        <v>30</v>
      </c>
      <c r="C1067" s="11" t="s">
        <v>107</v>
      </c>
      <c r="D1067" s="11" t="s">
        <v>35</v>
      </c>
      <c r="E1067" s="11" t="s">
        <v>78</v>
      </c>
      <c r="F1067" s="11" t="s">
        <v>98</v>
      </c>
      <c r="G1067" s="21" t="n">
        <v>71.66</v>
      </c>
      <c r="H1067" s="19" t="n">
        <v>49.7</v>
      </c>
      <c r="I1067" s="21" t="n">
        <v>36.04</v>
      </c>
      <c r="J1067" s="22" t="s">
        <v>80</v>
      </c>
      <c r="K1067" s="11" t="n">
        <v>33</v>
      </c>
      <c r="L1067" s="23"/>
      <c r="M1067" s="24" t="b">
        <f aca="false">TRUE()</f>
        <v>1</v>
      </c>
      <c r="N1067" s="11" t="s">
        <v>89</v>
      </c>
      <c r="O1067" s="11" t="str">
        <f aca="false">IF(K1067&lt;=StockP33,"Low",IF(K1067&lt;=StockP67,"Moderate","High"))</f>
        <v>Moderate</v>
      </c>
      <c r="P1067" s="11" t="str">
        <f aca="false">IF(H1067=0,"Low",IF(H1067&lt;=MarkdownP75,"Moderate","High"))</f>
        <v>High</v>
      </c>
      <c r="Q1067" s="11" t="str">
        <f aca="false">IF(ISBLANK(L1067),"Unknown",IF(L1067&gt;=4,"Good",IF(L1067&lt;=2,"Poor","Neutral")))</f>
        <v>Unknown</v>
      </c>
      <c r="R1067" s="11" t="str">
        <f aca="false">IF(AND(O1067="Low",P1067="Low",Q1067="Good"),"BUY / PRIORITIZE",IF(AND(O1067="High",P1067="High",OR(Q1067="Poor",M1067=TRUE())),"HOLD / REVIEW","MONITOR"))</f>
        <v>MONITOR</v>
      </c>
      <c r="S1067" s="11" t="n">
        <f aca="false">K1067+(ROW()/10000000)</f>
        <v>33.0001067</v>
      </c>
    </row>
    <row r="1068" customFormat="false" ht="15" hidden="false" customHeight="false" outlineLevel="0" collapsed="false">
      <c r="A1068" s="11" t="s">
        <v>1352</v>
      </c>
      <c r="B1068" s="11" t="s">
        <v>27</v>
      </c>
      <c r="C1068" s="11" t="s">
        <v>107</v>
      </c>
      <c r="D1068" s="11" t="s">
        <v>34</v>
      </c>
      <c r="E1068" s="11" t="s">
        <v>91</v>
      </c>
      <c r="F1068" s="11" t="s">
        <v>82</v>
      </c>
      <c r="G1068" s="21" t="n">
        <v>107.58</v>
      </c>
      <c r="H1068" s="19" t="n">
        <v>55.9</v>
      </c>
      <c r="I1068" s="21" t="n">
        <v>47.44</v>
      </c>
      <c r="J1068" s="22" t="s">
        <v>561</v>
      </c>
      <c r="K1068" s="11" t="n">
        <v>19</v>
      </c>
      <c r="L1068" s="23" t="n">
        <v>4.4</v>
      </c>
      <c r="M1068" s="24" t="b">
        <f aca="false">FALSE()</f>
        <v>0</v>
      </c>
      <c r="N1068" s="11"/>
      <c r="O1068" s="11" t="str">
        <f aca="false">IF(K1068&lt;=StockP33,"Low",IF(K1068&lt;=StockP67,"Moderate","High"))</f>
        <v>Moderate</v>
      </c>
      <c r="P1068" s="11" t="str">
        <f aca="false">IF(H1068=0,"Low",IF(H1068&lt;=MarkdownP75,"Moderate","High"))</f>
        <v>High</v>
      </c>
      <c r="Q1068" s="11" t="str">
        <f aca="false">IF(ISBLANK(L1068),"Unknown",IF(L1068&gt;=4,"Good",IF(L1068&lt;=2,"Poor","Neutral")))</f>
        <v>Good</v>
      </c>
      <c r="R1068" s="11" t="str">
        <f aca="false">IF(AND(O1068="Low",P1068="Low",Q1068="Good"),"BUY / PRIORITIZE",IF(AND(O1068="High",P1068="High",OR(Q1068="Poor",M1068=TRUE())),"HOLD / REVIEW","MONITOR"))</f>
        <v>MONITOR</v>
      </c>
      <c r="S1068" s="11" t="n">
        <f aca="false">K1068+(ROW()/10000000)</f>
        <v>19.0001068</v>
      </c>
    </row>
    <row r="1069" customFormat="false" ht="15" hidden="false" customHeight="false" outlineLevel="0" collapsed="false">
      <c r="A1069" s="11" t="s">
        <v>1353</v>
      </c>
      <c r="B1069" s="11" t="s">
        <v>29</v>
      </c>
      <c r="C1069" s="11" t="s">
        <v>72</v>
      </c>
      <c r="D1069" s="11" t="s">
        <v>34</v>
      </c>
      <c r="E1069" s="11" t="s">
        <v>73</v>
      </c>
      <c r="F1069" s="11" t="s">
        <v>96</v>
      </c>
      <c r="G1069" s="21" t="n">
        <v>137.16</v>
      </c>
      <c r="H1069" s="19" t="n">
        <v>0</v>
      </c>
      <c r="I1069" s="21" t="n">
        <v>137.16</v>
      </c>
      <c r="J1069" s="22" t="s">
        <v>1354</v>
      </c>
      <c r="K1069" s="11" t="n">
        <v>34</v>
      </c>
      <c r="L1069" s="23" t="n">
        <v>4</v>
      </c>
      <c r="M1069" s="24" t="b">
        <f aca="false">FALSE()</f>
        <v>0</v>
      </c>
      <c r="N1069" s="11"/>
      <c r="O1069" s="11" t="str">
        <f aca="false">IF(K1069&lt;=StockP33,"Low",IF(K1069&lt;=StockP67,"Moderate","High"))</f>
        <v>High</v>
      </c>
      <c r="P1069" s="11" t="str">
        <f aca="false">IF(H1069=0,"Low",IF(H1069&lt;=MarkdownP75,"Moderate","High"))</f>
        <v>Low</v>
      </c>
      <c r="Q1069" s="11" t="str">
        <f aca="false">IF(ISBLANK(L1069),"Unknown",IF(L1069&gt;=4,"Good",IF(L1069&lt;=2,"Poor","Neutral")))</f>
        <v>Good</v>
      </c>
      <c r="R1069" s="11" t="str">
        <f aca="false">IF(AND(O1069="Low",P1069="Low",Q1069="Good"),"BUY / PRIORITIZE",IF(AND(O1069="High",P1069="High",OR(Q1069="Poor",M1069=TRUE())),"HOLD / REVIEW","MONITOR"))</f>
        <v>MONITOR</v>
      </c>
      <c r="S1069" s="11" t="n">
        <f aca="false">K1069+(ROW()/10000000)</f>
        <v>34.0001069</v>
      </c>
    </row>
    <row r="1070" customFormat="false" ht="15" hidden="false" customHeight="false" outlineLevel="0" collapsed="false">
      <c r="A1070" s="11" t="s">
        <v>1355</v>
      </c>
      <c r="B1070" s="11" t="s">
        <v>30</v>
      </c>
      <c r="C1070" s="11" t="s">
        <v>86</v>
      </c>
      <c r="D1070" s="11" t="s">
        <v>37</v>
      </c>
      <c r="E1070" s="11" t="s">
        <v>113</v>
      </c>
      <c r="F1070" s="11" t="s">
        <v>88</v>
      </c>
      <c r="G1070" s="21" t="n">
        <v>119.29</v>
      </c>
      <c r="H1070" s="19" t="n">
        <v>0</v>
      </c>
      <c r="I1070" s="21" t="n">
        <v>119.29</v>
      </c>
      <c r="J1070" s="22" t="s">
        <v>80</v>
      </c>
      <c r="K1070" s="11" t="n">
        <v>3</v>
      </c>
      <c r="L1070" s="23"/>
      <c r="M1070" s="24" t="b">
        <f aca="false">FALSE()</f>
        <v>0</v>
      </c>
      <c r="N1070" s="11"/>
      <c r="O1070" s="11" t="str">
        <f aca="false">IF(K1070&lt;=StockP33,"Low",IF(K1070&lt;=StockP67,"Moderate","High"))</f>
        <v>Low</v>
      </c>
      <c r="P1070" s="11" t="str">
        <f aca="false">IF(H1070=0,"Low",IF(H1070&lt;=MarkdownP75,"Moderate","High"))</f>
        <v>Low</v>
      </c>
      <c r="Q1070" s="11" t="str">
        <f aca="false">IF(ISBLANK(L1070),"Unknown",IF(L1070&gt;=4,"Good",IF(L1070&lt;=2,"Poor","Neutral")))</f>
        <v>Unknown</v>
      </c>
      <c r="R1070" s="11" t="str">
        <f aca="false">IF(AND(O1070="Low",P1070="Low",Q1070="Good"),"BUY / PRIORITIZE",IF(AND(O1070="High",P1070="High",OR(Q1070="Poor",M1070=TRUE())),"HOLD / REVIEW","MONITOR"))</f>
        <v>MONITOR</v>
      </c>
      <c r="S1070" s="11" t="n">
        <f aca="false">K1070+(ROW()/10000000)</f>
        <v>3.000107</v>
      </c>
    </row>
    <row r="1071" customFormat="false" ht="15" hidden="false" customHeight="false" outlineLevel="0" collapsed="false">
      <c r="A1071" s="11" t="s">
        <v>1356</v>
      </c>
      <c r="B1071" s="11" t="s">
        <v>30</v>
      </c>
      <c r="C1071" s="11" t="s">
        <v>95</v>
      </c>
      <c r="D1071" s="11" t="s">
        <v>34</v>
      </c>
      <c r="E1071" s="11" t="s">
        <v>113</v>
      </c>
      <c r="F1071" s="11" t="s">
        <v>118</v>
      </c>
      <c r="G1071" s="21" t="n">
        <v>104.09</v>
      </c>
      <c r="H1071" s="19" t="n">
        <v>0</v>
      </c>
      <c r="I1071" s="21" t="n">
        <v>104.09</v>
      </c>
      <c r="J1071" s="22" t="s">
        <v>1123</v>
      </c>
      <c r="K1071" s="11" t="n">
        <v>29</v>
      </c>
      <c r="L1071" s="23"/>
      <c r="M1071" s="24" t="b">
        <f aca="false">FALSE()</f>
        <v>0</v>
      </c>
      <c r="N1071" s="11"/>
      <c r="O1071" s="11" t="str">
        <f aca="false">IF(K1071&lt;=StockP33,"Low",IF(K1071&lt;=StockP67,"Moderate","High"))</f>
        <v>Moderate</v>
      </c>
      <c r="P1071" s="11" t="str">
        <f aca="false">IF(H1071=0,"Low",IF(H1071&lt;=MarkdownP75,"Moderate","High"))</f>
        <v>Low</v>
      </c>
      <c r="Q1071" s="11" t="str">
        <f aca="false">IF(ISBLANK(L1071),"Unknown",IF(L1071&gt;=4,"Good",IF(L1071&lt;=2,"Poor","Neutral")))</f>
        <v>Unknown</v>
      </c>
      <c r="R1071" s="11" t="str">
        <f aca="false">IF(AND(O1071="Low",P1071="Low",Q1071="Good"),"BUY / PRIORITIZE",IF(AND(O1071="High",P1071="High",OR(Q1071="Poor",M1071=TRUE())),"HOLD / REVIEW","MONITOR"))</f>
        <v>MONITOR</v>
      </c>
      <c r="S1071" s="11" t="n">
        <f aca="false">K1071+(ROW()/10000000)</f>
        <v>29.0001071</v>
      </c>
    </row>
    <row r="1072" customFormat="false" ht="15" hidden="false" customHeight="false" outlineLevel="0" collapsed="false">
      <c r="A1072" s="11" t="s">
        <v>1357</v>
      </c>
      <c r="B1072" s="11" t="s">
        <v>27</v>
      </c>
      <c r="C1072" s="11" t="s">
        <v>86</v>
      </c>
      <c r="D1072" s="11" t="s">
        <v>36</v>
      </c>
      <c r="E1072" s="11"/>
      <c r="F1072" s="11" t="s">
        <v>79</v>
      </c>
      <c r="G1072" s="21" t="n">
        <v>73.07</v>
      </c>
      <c r="H1072" s="19" t="n">
        <v>0</v>
      </c>
      <c r="I1072" s="21" t="n">
        <v>73.07</v>
      </c>
      <c r="J1072" s="22" t="s">
        <v>80</v>
      </c>
      <c r="K1072" s="11" t="n">
        <v>5</v>
      </c>
      <c r="L1072" s="23" t="n">
        <v>4.2</v>
      </c>
      <c r="M1072" s="24" t="b">
        <f aca="false">FALSE()</f>
        <v>0</v>
      </c>
      <c r="N1072" s="11"/>
      <c r="O1072" s="11" t="str">
        <f aca="false">IF(K1072&lt;=StockP33,"Low",IF(K1072&lt;=StockP67,"Moderate","High"))</f>
        <v>Low</v>
      </c>
      <c r="P1072" s="11" t="str">
        <f aca="false">IF(H1072=0,"Low",IF(H1072&lt;=MarkdownP75,"Moderate","High"))</f>
        <v>Low</v>
      </c>
      <c r="Q1072" s="11" t="str">
        <f aca="false">IF(ISBLANK(L1072),"Unknown",IF(L1072&gt;=4,"Good",IF(L1072&lt;=2,"Poor","Neutral")))</f>
        <v>Good</v>
      </c>
      <c r="R1072" s="11" t="str">
        <f aca="false">IF(AND(O1072="Low",P1072="Low",Q1072="Good"),"BUY / PRIORITIZE",IF(AND(O1072="High",P1072="High",OR(Q1072="Poor",M1072=TRUE())),"HOLD / REVIEW","MONITOR"))</f>
        <v>BUY / PRIORITIZE</v>
      </c>
      <c r="S1072" s="11" t="n">
        <f aca="false">K1072+(ROW()/10000000)</f>
        <v>5.0001072</v>
      </c>
    </row>
    <row r="1073" customFormat="false" ht="15" hidden="false" customHeight="false" outlineLevel="0" collapsed="false">
      <c r="A1073" s="11" t="s">
        <v>1358</v>
      </c>
      <c r="B1073" s="11" t="s">
        <v>26</v>
      </c>
      <c r="C1073" s="11" t="s">
        <v>72</v>
      </c>
      <c r="D1073" s="11" t="s">
        <v>36</v>
      </c>
      <c r="E1073" s="11" t="s">
        <v>102</v>
      </c>
      <c r="F1073" s="11" t="s">
        <v>98</v>
      </c>
      <c r="G1073" s="21" t="n">
        <v>76.94</v>
      </c>
      <c r="H1073" s="19" t="n">
        <v>7.6</v>
      </c>
      <c r="I1073" s="21" t="n">
        <v>71.09</v>
      </c>
      <c r="J1073" s="22" t="s">
        <v>80</v>
      </c>
      <c r="K1073" s="11" t="n">
        <v>20</v>
      </c>
      <c r="L1073" s="23" t="n">
        <v>3.7</v>
      </c>
      <c r="M1073" s="24" t="b">
        <f aca="false">FALSE()</f>
        <v>0</v>
      </c>
      <c r="N1073" s="11"/>
      <c r="O1073" s="11" t="str">
        <f aca="false">IF(K1073&lt;=StockP33,"Low",IF(K1073&lt;=StockP67,"Moderate","High"))</f>
        <v>Moderate</v>
      </c>
      <c r="P1073" s="11" t="str">
        <f aca="false">IF(H1073=0,"Low",IF(H1073&lt;=MarkdownP75,"Moderate","High"))</f>
        <v>Moderate</v>
      </c>
      <c r="Q1073" s="11" t="str">
        <f aca="false">IF(ISBLANK(L1073),"Unknown",IF(L1073&gt;=4,"Good",IF(L1073&lt;=2,"Poor","Neutral")))</f>
        <v>Neutral</v>
      </c>
      <c r="R1073" s="11" t="str">
        <f aca="false">IF(AND(O1073="Low",P1073="Low",Q1073="Good"),"BUY / PRIORITIZE",IF(AND(O1073="High",P1073="High",OR(Q1073="Poor",M1073=TRUE())),"HOLD / REVIEW","MONITOR"))</f>
        <v>MONITOR</v>
      </c>
      <c r="S1073" s="11" t="n">
        <f aca="false">K1073+(ROW()/10000000)</f>
        <v>20.0001073</v>
      </c>
    </row>
    <row r="1074" customFormat="false" ht="15" hidden="false" customHeight="false" outlineLevel="0" collapsed="false">
      <c r="A1074" s="11" t="s">
        <v>1359</v>
      </c>
      <c r="B1074" s="11" t="s">
        <v>26</v>
      </c>
      <c r="C1074" s="11" t="s">
        <v>130</v>
      </c>
      <c r="D1074" s="11" t="s">
        <v>37</v>
      </c>
      <c r="E1074" s="11" t="s">
        <v>73</v>
      </c>
      <c r="F1074" s="11" t="s">
        <v>111</v>
      </c>
      <c r="G1074" s="21" t="n">
        <v>119.92</v>
      </c>
      <c r="H1074" s="19" t="n">
        <v>0</v>
      </c>
      <c r="I1074" s="21" t="n">
        <v>119.92</v>
      </c>
      <c r="J1074" s="22" t="s">
        <v>80</v>
      </c>
      <c r="K1074" s="11" t="n">
        <v>37</v>
      </c>
      <c r="L1074" s="23" t="n">
        <v>5</v>
      </c>
      <c r="M1074" s="24" t="b">
        <f aca="false">FALSE()</f>
        <v>0</v>
      </c>
      <c r="N1074" s="11"/>
      <c r="O1074" s="11" t="str">
        <f aca="false">IF(K1074&lt;=StockP33,"Low",IF(K1074&lt;=StockP67,"Moderate","High"))</f>
        <v>High</v>
      </c>
      <c r="P1074" s="11" t="str">
        <f aca="false">IF(H1074=0,"Low",IF(H1074&lt;=MarkdownP75,"Moderate","High"))</f>
        <v>Low</v>
      </c>
      <c r="Q1074" s="11" t="str">
        <f aca="false">IF(ISBLANK(L1074),"Unknown",IF(L1074&gt;=4,"Good",IF(L1074&lt;=2,"Poor","Neutral")))</f>
        <v>Good</v>
      </c>
      <c r="R1074" s="11" t="str">
        <f aca="false">IF(AND(O1074="Low",P1074="Low",Q1074="Good"),"BUY / PRIORITIZE",IF(AND(O1074="High",P1074="High",OR(Q1074="Poor",M1074=TRUE())),"HOLD / REVIEW","MONITOR"))</f>
        <v>MONITOR</v>
      </c>
      <c r="S1074" s="11" t="n">
        <f aca="false">K1074+(ROW()/10000000)</f>
        <v>37.0001074</v>
      </c>
    </row>
    <row r="1075" customFormat="false" ht="15" hidden="false" customHeight="false" outlineLevel="0" collapsed="false">
      <c r="A1075" s="11" t="s">
        <v>1360</v>
      </c>
      <c r="B1075" s="11" t="s">
        <v>28</v>
      </c>
      <c r="C1075" s="11" t="s">
        <v>107</v>
      </c>
      <c r="D1075" s="11" t="s">
        <v>37</v>
      </c>
      <c r="E1075" s="11" t="s">
        <v>110</v>
      </c>
      <c r="F1075" s="11" t="s">
        <v>88</v>
      </c>
      <c r="G1075" s="21" t="n">
        <v>116.49</v>
      </c>
      <c r="H1075" s="19" t="n">
        <v>0</v>
      </c>
      <c r="I1075" s="21" t="n">
        <v>116.49</v>
      </c>
      <c r="J1075" s="22" t="s">
        <v>80</v>
      </c>
      <c r="K1075" s="11" t="n">
        <v>17</v>
      </c>
      <c r="L1075" s="23" t="n">
        <v>3.3</v>
      </c>
      <c r="M1075" s="24" t="b">
        <f aca="false">TRUE()</f>
        <v>1</v>
      </c>
      <c r="N1075" s="11" t="s">
        <v>134</v>
      </c>
      <c r="O1075" s="11" t="str">
        <f aca="false">IF(K1075&lt;=StockP33,"Low",IF(K1075&lt;=StockP67,"Moderate","High"))</f>
        <v>Low</v>
      </c>
      <c r="P1075" s="11" t="str">
        <f aca="false">IF(H1075=0,"Low",IF(H1075&lt;=MarkdownP75,"Moderate","High"))</f>
        <v>Low</v>
      </c>
      <c r="Q1075" s="11" t="str">
        <f aca="false">IF(ISBLANK(L1075),"Unknown",IF(L1075&gt;=4,"Good",IF(L1075&lt;=2,"Poor","Neutral")))</f>
        <v>Neutral</v>
      </c>
      <c r="R1075" s="11" t="str">
        <f aca="false">IF(AND(O1075="Low",P1075="Low",Q1075="Good"),"BUY / PRIORITIZE",IF(AND(O1075="High",P1075="High",OR(Q1075="Poor",M1075=TRUE())),"HOLD / REVIEW","MONITOR"))</f>
        <v>MONITOR</v>
      </c>
      <c r="S1075" s="11" t="n">
        <f aca="false">K1075+(ROW()/10000000)</f>
        <v>17.0001075</v>
      </c>
    </row>
    <row r="1076" customFormat="false" ht="15" hidden="false" customHeight="false" outlineLevel="0" collapsed="false">
      <c r="A1076" s="11" t="s">
        <v>1361</v>
      </c>
      <c r="B1076" s="11" t="s">
        <v>29</v>
      </c>
      <c r="C1076" s="11" t="s">
        <v>116</v>
      </c>
      <c r="D1076" s="11" t="s">
        <v>36</v>
      </c>
      <c r="E1076" s="11" t="s">
        <v>73</v>
      </c>
      <c r="F1076" s="11" t="s">
        <v>79</v>
      </c>
      <c r="G1076" s="21" t="n">
        <v>179.59</v>
      </c>
      <c r="H1076" s="19" t="n">
        <v>14.7</v>
      </c>
      <c r="I1076" s="21" t="n">
        <v>153.19</v>
      </c>
      <c r="J1076" s="22" t="s">
        <v>80</v>
      </c>
      <c r="K1076" s="11" t="n">
        <v>47</v>
      </c>
      <c r="L1076" s="23" t="n">
        <v>2.9</v>
      </c>
      <c r="M1076" s="24" t="b">
        <f aca="false">FALSE()</f>
        <v>0</v>
      </c>
      <c r="N1076" s="11"/>
      <c r="O1076" s="11" t="str">
        <f aca="false">IF(K1076&lt;=StockP33,"Low",IF(K1076&lt;=StockP67,"Moderate","High"))</f>
        <v>High</v>
      </c>
      <c r="P1076" s="11" t="str">
        <f aca="false">IF(H1076=0,"Low",IF(H1076&lt;=MarkdownP75,"Moderate","High"))</f>
        <v>Moderate</v>
      </c>
      <c r="Q1076" s="11" t="str">
        <f aca="false">IF(ISBLANK(L1076),"Unknown",IF(L1076&gt;=4,"Good",IF(L1076&lt;=2,"Poor","Neutral")))</f>
        <v>Neutral</v>
      </c>
      <c r="R1076" s="11" t="str">
        <f aca="false">IF(AND(O1076="Low",P1076="Low",Q1076="Good"),"BUY / PRIORITIZE",IF(AND(O1076="High",P1076="High",OR(Q1076="Poor",M1076=TRUE())),"HOLD / REVIEW","MONITOR"))</f>
        <v>MONITOR</v>
      </c>
      <c r="S1076" s="11" t="n">
        <f aca="false">K1076+(ROW()/10000000)</f>
        <v>47.0001076</v>
      </c>
    </row>
    <row r="1077" customFormat="false" ht="15" hidden="false" customHeight="false" outlineLevel="0" collapsed="false">
      <c r="A1077" s="11" t="s">
        <v>1362</v>
      </c>
      <c r="B1077" s="11" t="s">
        <v>8</v>
      </c>
      <c r="C1077" s="11" t="s">
        <v>77</v>
      </c>
      <c r="D1077" s="11" t="s">
        <v>37</v>
      </c>
      <c r="E1077" s="11"/>
      <c r="F1077" s="11" t="s">
        <v>82</v>
      </c>
      <c r="G1077" s="21" t="n">
        <v>33.8</v>
      </c>
      <c r="H1077" s="19" t="n">
        <v>0</v>
      </c>
      <c r="I1077" s="21" t="n">
        <v>33.8</v>
      </c>
      <c r="J1077" s="22" t="s">
        <v>80</v>
      </c>
      <c r="K1077" s="11" t="n">
        <v>34</v>
      </c>
      <c r="L1077" s="23" t="n">
        <v>4.8</v>
      </c>
      <c r="M1077" s="24" t="b">
        <f aca="false">FALSE()</f>
        <v>0</v>
      </c>
      <c r="N1077" s="11"/>
      <c r="O1077" s="11" t="str">
        <f aca="false">IF(K1077&lt;=StockP33,"Low",IF(K1077&lt;=StockP67,"Moderate","High"))</f>
        <v>High</v>
      </c>
      <c r="P1077" s="11" t="str">
        <f aca="false">IF(H1077=0,"Low",IF(H1077&lt;=MarkdownP75,"Moderate","High"))</f>
        <v>Low</v>
      </c>
      <c r="Q1077" s="11" t="str">
        <f aca="false">IF(ISBLANK(L1077),"Unknown",IF(L1077&gt;=4,"Good",IF(L1077&lt;=2,"Poor","Neutral")))</f>
        <v>Good</v>
      </c>
      <c r="R1077" s="11" t="str">
        <f aca="false">IF(AND(O1077="Low",P1077="Low",Q1077="Good"),"BUY / PRIORITIZE",IF(AND(O1077="High",P1077="High",OR(Q1077="Poor",M1077=TRUE())),"HOLD / REVIEW","MONITOR"))</f>
        <v>MONITOR</v>
      </c>
      <c r="S1077" s="11" t="n">
        <f aca="false">K1077+(ROW()/10000000)</f>
        <v>34.0001077</v>
      </c>
    </row>
    <row r="1078" customFormat="false" ht="15" hidden="false" customHeight="false" outlineLevel="0" collapsed="false">
      <c r="A1078" s="11" t="s">
        <v>1363</v>
      </c>
      <c r="B1078" s="11" t="s">
        <v>30</v>
      </c>
      <c r="C1078" s="11" t="s">
        <v>77</v>
      </c>
      <c r="D1078" s="11" t="s">
        <v>36</v>
      </c>
      <c r="E1078" s="11" t="s">
        <v>78</v>
      </c>
      <c r="F1078" s="11" t="s">
        <v>111</v>
      </c>
      <c r="G1078" s="21" t="n">
        <v>41.57</v>
      </c>
      <c r="H1078" s="19" t="n">
        <v>3.3</v>
      </c>
      <c r="I1078" s="21" t="n">
        <v>40.2</v>
      </c>
      <c r="J1078" s="22" t="s">
        <v>80</v>
      </c>
      <c r="K1078" s="11" t="n">
        <v>5</v>
      </c>
      <c r="L1078" s="23" t="n">
        <v>2.9</v>
      </c>
      <c r="M1078" s="24" t="b">
        <f aca="false">FALSE()</f>
        <v>0</v>
      </c>
      <c r="N1078" s="11"/>
      <c r="O1078" s="11" t="str">
        <f aca="false">IF(K1078&lt;=StockP33,"Low",IF(K1078&lt;=StockP67,"Moderate","High"))</f>
        <v>Low</v>
      </c>
      <c r="P1078" s="11" t="str">
        <f aca="false">IF(H1078=0,"Low",IF(H1078&lt;=MarkdownP75,"Moderate","High"))</f>
        <v>Moderate</v>
      </c>
      <c r="Q1078" s="11" t="str">
        <f aca="false">IF(ISBLANK(L1078),"Unknown",IF(L1078&gt;=4,"Good",IF(L1078&lt;=2,"Poor","Neutral")))</f>
        <v>Neutral</v>
      </c>
      <c r="R1078" s="11" t="str">
        <f aca="false">IF(AND(O1078="Low",P1078="Low",Q1078="Good"),"BUY / PRIORITIZE",IF(AND(O1078="High",P1078="High",OR(Q1078="Poor",M1078=TRUE())),"HOLD / REVIEW","MONITOR"))</f>
        <v>MONITOR</v>
      </c>
      <c r="S1078" s="11" t="n">
        <f aca="false">K1078+(ROW()/10000000)</f>
        <v>5.0001078</v>
      </c>
    </row>
    <row r="1079" customFormat="false" ht="15" hidden="false" customHeight="false" outlineLevel="0" collapsed="false">
      <c r="A1079" s="11" t="s">
        <v>1364</v>
      </c>
      <c r="B1079" s="11" t="s">
        <v>29</v>
      </c>
      <c r="C1079" s="11" t="s">
        <v>130</v>
      </c>
      <c r="D1079" s="11" t="s">
        <v>34</v>
      </c>
      <c r="E1079" s="11" t="s">
        <v>73</v>
      </c>
      <c r="F1079" s="11" t="s">
        <v>120</v>
      </c>
      <c r="G1079" s="21" t="n">
        <v>139.1</v>
      </c>
      <c r="H1079" s="19" t="n">
        <v>47</v>
      </c>
      <c r="I1079" s="21" t="n">
        <v>73.72</v>
      </c>
      <c r="J1079" s="22" t="s">
        <v>108</v>
      </c>
      <c r="K1079" s="11" t="n">
        <v>6</v>
      </c>
      <c r="L1079" s="23" t="n">
        <v>3.4</v>
      </c>
      <c r="M1079" s="24" t="b">
        <f aca="false">FALSE()</f>
        <v>0</v>
      </c>
      <c r="N1079" s="11"/>
      <c r="O1079" s="11" t="str">
        <f aca="false">IF(K1079&lt;=StockP33,"Low",IF(K1079&lt;=StockP67,"Moderate","High"))</f>
        <v>Low</v>
      </c>
      <c r="P1079" s="11" t="str">
        <f aca="false">IF(H1079=0,"Low",IF(H1079&lt;=MarkdownP75,"Moderate","High"))</f>
        <v>High</v>
      </c>
      <c r="Q1079" s="11" t="str">
        <f aca="false">IF(ISBLANK(L1079),"Unknown",IF(L1079&gt;=4,"Good",IF(L1079&lt;=2,"Poor","Neutral")))</f>
        <v>Neutral</v>
      </c>
      <c r="R1079" s="11" t="str">
        <f aca="false">IF(AND(O1079="Low",P1079="Low",Q1079="Good"),"BUY / PRIORITIZE",IF(AND(O1079="High",P1079="High",OR(Q1079="Poor",M1079=TRUE())),"HOLD / REVIEW","MONITOR"))</f>
        <v>MONITOR</v>
      </c>
      <c r="S1079" s="11" t="n">
        <f aca="false">K1079+(ROW()/10000000)</f>
        <v>6.0001079</v>
      </c>
    </row>
    <row r="1080" customFormat="false" ht="15" hidden="false" customHeight="false" outlineLevel="0" collapsed="false">
      <c r="A1080" s="11" t="s">
        <v>1365</v>
      </c>
      <c r="B1080" s="11" t="s">
        <v>27</v>
      </c>
      <c r="C1080" s="11" t="s">
        <v>95</v>
      </c>
      <c r="D1080" s="11" t="s">
        <v>36</v>
      </c>
      <c r="E1080" s="11" t="s">
        <v>78</v>
      </c>
      <c r="F1080" s="11" t="s">
        <v>79</v>
      </c>
      <c r="G1080" s="21" t="n">
        <v>102.04</v>
      </c>
      <c r="H1080" s="19" t="n">
        <v>0</v>
      </c>
      <c r="I1080" s="21" t="n">
        <v>102.04</v>
      </c>
      <c r="J1080" s="22" t="s">
        <v>80</v>
      </c>
      <c r="K1080" s="11" t="n">
        <v>34</v>
      </c>
      <c r="L1080" s="23" t="n">
        <v>3.4</v>
      </c>
      <c r="M1080" s="24" t="b">
        <f aca="false">FALSE()</f>
        <v>0</v>
      </c>
      <c r="N1080" s="11"/>
      <c r="O1080" s="11" t="str">
        <f aca="false">IF(K1080&lt;=StockP33,"Low",IF(K1080&lt;=StockP67,"Moderate","High"))</f>
        <v>High</v>
      </c>
      <c r="P1080" s="11" t="str">
        <f aca="false">IF(H1080=0,"Low",IF(H1080&lt;=MarkdownP75,"Moderate","High"))</f>
        <v>Low</v>
      </c>
      <c r="Q1080" s="11" t="str">
        <f aca="false">IF(ISBLANK(L1080),"Unknown",IF(L1080&gt;=4,"Good",IF(L1080&lt;=2,"Poor","Neutral")))</f>
        <v>Neutral</v>
      </c>
      <c r="R1080" s="11" t="str">
        <f aca="false">IF(AND(O1080="Low",P1080="Low",Q1080="Good"),"BUY / PRIORITIZE",IF(AND(O1080="High",P1080="High",OR(Q1080="Poor",M1080=TRUE())),"HOLD / REVIEW","MONITOR"))</f>
        <v>MONITOR</v>
      </c>
      <c r="S1080" s="11" t="n">
        <f aca="false">K1080+(ROW()/10000000)</f>
        <v>34.000108</v>
      </c>
    </row>
    <row r="1081" customFormat="false" ht="15" hidden="false" customHeight="false" outlineLevel="0" collapsed="false">
      <c r="A1081" s="11" t="s">
        <v>1366</v>
      </c>
      <c r="B1081" s="11" t="s">
        <v>26</v>
      </c>
      <c r="C1081" s="11" t="s">
        <v>116</v>
      </c>
      <c r="D1081" s="11" t="s">
        <v>36</v>
      </c>
      <c r="E1081" s="11" t="s">
        <v>102</v>
      </c>
      <c r="F1081" s="11" t="s">
        <v>118</v>
      </c>
      <c r="G1081" s="21" t="n">
        <v>47.25</v>
      </c>
      <c r="H1081" s="19" t="n">
        <v>54.2</v>
      </c>
      <c r="I1081" s="21" t="n">
        <v>21.64</v>
      </c>
      <c r="J1081" s="22" t="s">
        <v>80</v>
      </c>
      <c r="K1081" s="11" t="n">
        <v>4</v>
      </c>
      <c r="L1081" s="23" t="n">
        <v>4.9</v>
      </c>
      <c r="M1081" s="24" t="b">
        <f aca="false">FALSE()</f>
        <v>0</v>
      </c>
      <c r="N1081" s="11"/>
      <c r="O1081" s="11" t="str">
        <f aca="false">IF(K1081&lt;=StockP33,"Low",IF(K1081&lt;=StockP67,"Moderate","High"))</f>
        <v>Low</v>
      </c>
      <c r="P1081" s="11" t="str">
        <f aca="false">IF(H1081=0,"Low",IF(H1081&lt;=MarkdownP75,"Moderate","High"))</f>
        <v>High</v>
      </c>
      <c r="Q1081" s="11" t="str">
        <f aca="false">IF(ISBLANK(L1081),"Unknown",IF(L1081&gt;=4,"Good",IF(L1081&lt;=2,"Poor","Neutral")))</f>
        <v>Good</v>
      </c>
      <c r="R1081" s="11" t="str">
        <f aca="false">IF(AND(O1081="Low",P1081="Low",Q1081="Good"),"BUY / PRIORITIZE",IF(AND(O1081="High",P1081="High",OR(Q1081="Poor",M1081=TRUE())),"HOLD / REVIEW","MONITOR"))</f>
        <v>MONITOR</v>
      </c>
      <c r="S1081" s="11" t="n">
        <f aca="false">K1081+(ROW()/10000000)</f>
        <v>4.0001081</v>
      </c>
    </row>
    <row r="1082" customFormat="false" ht="15" hidden="false" customHeight="false" outlineLevel="0" collapsed="false">
      <c r="A1082" s="11" t="s">
        <v>1367</v>
      </c>
      <c r="B1082" s="11" t="s">
        <v>27</v>
      </c>
      <c r="C1082" s="11" t="s">
        <v>77</v>
      </c>
      <c r="D1082" s="11" t="s">
        <v>35</v>
      </c>
      <c r="E1082" s="11" t="s">
        <v>110</v>
      </c>
      <c r="F1082" s="11" t="s">
        <v>88</v>
      </c>
      <c r="G1082" s="21" t="n">
        <v>55.08</v>
      </c>
      <c r="H1082" s="19" t="n">
        <v>0</v>
      </c>
      <c r="I1082" s="21" t="n">
        <v>55.08</v>
      </c>
      <c r="J1082" s="22" t="s">
        <v>80</v>
      </c>
      <c r="K1082" s="11" t="n">
        <v>48</v>
      </c>
      <c r="L1082" s="23" t="n">
        <v>4.1</v>
      </c>
      <c r="M1082" s="24" t="b">
        <f aca="false">FALSE()</f>
        <v>0</v>
      </c>
      <c r="N1082" s="11"/>
      <c r="O1082" s="11" t="str">
        <f aca="false">IF(K1082&lt;=StockP33,"Low",IF(K1082&lt;=StockP67,"Moderate","High"))</f>
        <v>High</v>
      </c>
      <c r="P1082" s="11" t="str">
        <f aca="false">IF(H1082=0,"Low",IF(H1082&lt;=MarkdownP75,"Moderate","High"))</f>
        <v>Low</v>
      </c>
      <c r="Q1082" s="11" t="str">
        <f aca="false">IF(ISBLANK(L1082),"Unknown",IF(L1082&gt;=4,"Good",IF(L1082&lt;=2,"Poor","Neutral")))</f>
        <v>Good</v>
      </c>
      <c r="R1082" s="11" t="str">
        <f aca="false">IF(AND(O1082="Low",P1082="Low",Q1082="Good"),"BUY / PRIORITIZE",IF(AND(O1082="High",P1082="High",OR(Q1082="Poor",M1082=TRUE())),"HOLD / REVIEW","MONITOR"))</f>
        <v>MONITOR</v>
      </c>
      <c r="S1082" s="11" t="n">
        <f aca="false">K1082+(ROW()/10000000)</f>
        <v>48.0001082</v>
      </c>
    </row>
    <row r="1083" customFormat="false" ht="15" hidden="false" customHeight="false" outlineLevel="0" collapsed="false">
      <c r="A1083" s="11" t="s">
        <v>1368</v>
      </c>
      <c r="B1083" s="11" t="s">
        <v>28</v>
      </c>
      <c r="C1083" s="11" t="s">
        <v>130</v>
      </c>
      <c r="D1083" s="11" t="s">
        <v>37</v>
      </c>
      <c r="E1083" s="11" t="s">
        <v>78</v>
      </c>
      <c r="F1083" s="11" t="s">
        <v>98</v>
      </c>
      <c r="G1083" s="21" t="n">
        <v>88.32</v>
      </c>
      <c r="H1083" s="19" t="n">
        <v>54.8</v>
      </c>
      <c r="I1083" s="21" t="n">
        <v>39.92</v>
      </c>
      <c r="J1083" s="22" t="s">
        <v>80</v>
      </c>
      <c r="K1083" s="11" t="n">
        <v>36</v>
      </c>
      <c r="L1083" s="23" t="n">
        <v>3.1</v>
      </c>
      <c r="M1083" s="24" t="b">
        <f aca="false">FALSE()</f>
        <v>0</v>
      </c>
      <c r="N1083" s="11"/>
      <c r="O1083" s="11" t="str">
        <f aca="false">IF(K1083&lt;=StockP33,"Low",IF(K1083&lt;=StockP67,"Moderate","High"))</f>
        <v>High</v>
      </c>
      <c r="P1083" s="11" t="str">
        <f aca="false">IF(H1083=0,"Low",IF(H1083&lt;=MarkdownP75,"Moderate","High"))</f>
        <v>High</v>
      </c>
      <c r="Q1083" s="11" t="str">
        <f aca="false">IF(ISBLANK(L1083),"Unknown",IF(L1083&gt;=4,"Good",IF(L1083&lt;=2,"Poor","Neutral")))</f>
        <v>Neutral</v>
      </c>
      <c r="R1083" s="11" t="str">
        <f aca="false">IF(AND(O1083="Low",P1083="Low",Q1083="Good"),"BUY / PRIORITIZE",IF(AND(O1083="High",P1083="High",OR(Q1083="Poor",M1083=TRUE())),"HOLD / REVIEW","MONITOR"))</f>
        <v>MONITOR</v>
      </c>
      <c r="S1083" s="11" t="n">
        <f aca="false">K1083+(ROW()/10000000)</f>
        <v>36.0001083</v>
      </c>
    </row>
    <row r="1084" customFormat="false" ht="15" hidden="false" customHeight="false" outlineLevel="0" collapsed="false">
      <c r="A1084" s="11" t="s">
        <v>1369</v>
      </c>
      <c r="B1084" s="11" t="s">
        <v>26</v>
      </c>
      <c r="C1084" s="11" t="s">
        <v>95</v>
      </c>
      <c r="D1084" s="11" t="s">
        <v>36</v>
      </c>
      <c r="E1084" s="11" t="s">
        <v>113</v>
      </c>
      <c r="F1084" s="11" t="s">
        <v>74</v>
      </c>
      <c r="G1084" s="21" t="n">
        <v>74.9</v>
      </c>
      <c r="H1084" s="19" t="n">
        <v>16.8</v>
      </c>
      <c r="I1084" s="21" t="n">
        <v>62.32</v>
      </c>
      <c r="J1084" s="22" t="s">
        <v>80</v>
      </c>
      <c r="K1084" s="11" t="n">
        <v>13</v>
      </c>
      <c r="L1084" s="23"/>
      <c r="M1084" s="24" t="b">
        <f aca="false">TRUE()</f>
        <v>1</v>
      </c>
      <c r="N1084" s="11" t="s">
        <v>89</v>
      </c>
      <c r="O1084" s="11" t="str">
        <f aca="false">IF(K1084&lt;=StockP33,"Low",IF(K1084&lt;=StockP67,"Moderate","High"))</f>
        <v>Low</v>
      </c>
      <c r="P1084" s="11" t="str">
        <f aca="false">IF(H1084=0,"Low",IF(H1084&lt;=MarkdownP75,"Moderate","High"))</f>
        <v>Moderate</v>
      </c>
      <c r="Q1084" s="11" t="str">
        <f aca="false">IF(ISBLANK(L1084),"Unknown",IF(L1084&gt;=4,"Good",IF(L1084&lt;=2,"Poor","Neutral")))</f>
        <v>Unknown</v>
      </c>
      <c r="R1084" s="11" t="str">
        <f aca="false">IF(AND(O1084="Low",P1084="Low",Q1084="Good"),"BUY / PRIORITIZE",IF(AND(O1084="High",P1084="High",OR(Q1084="Poor",M1084=TRUE())),"HOLD / REVIEW","MONITOR"))</f>
        <v>MONITOR</v>
      </c>
      <c r="S1084" s="11" t="n">
        <f aca="false">K1084+(ROW()/10000000)</f>
        <v>13.0001084</v>
      </c>
    </row>
    <row r="1085" customFormat="false" ht="15" hidden="false" customHeight="false" outlineLevel="0" collapsed="false">
      <c r="A1085" s="11" t="s">
        <v>1370</v>
      </c>
      <c r="B1085" s="11" t="s">
        <v>26</v>
      </c>
      <c r="C1085" s="11" t="s">
        <v>95</v>
      </c>
      <c r="D1085" s="11" t="s">
        <v>37</v>
      </c>
      <c r="E1085" s="11" t="s">
        <v>113</v>
      </c>
      <c r="F1085" s="11" t="s">
        <v>88</v>
      </c>
      <c r="G1085" s="21" t="n">
        <v>69.88</v>
      </c>
      <c r="H1085" s="19" t="n">
        <v>57.4</v>
      </c>
      <c r="I1085" s="21" t="n">
        <v>29.77</v>
      </c>
      <c r="J1085" s="22" t="s">
        <v>80</v>
      </c>
      <c r="K1085" s="11" t="n">
        <v>30</v>
      </c>
      <c r="L1085" s="23" t="n">
        <v>4.2</v>
      </c>
      <c r="M1085" s="24" t="b">
        <f aca="false">FALSE()</f>
        <v>0</v>
      </c>
      <c r="N1085" s="11"/>
      <c r="O1085" s="11" t="str">
        <f aca="false">IF(K1085&lt;=StockP33,"Low",IF(K1085&lt;=StockP67,"Moderate","High"))</f>
        <v>Moderate</v>
      </c>
      <c r="P1085" s="11" t="str">
        <f aca="false">IF(H1085=0,"Low",IF(H1085&lt;=MarkdownP75,"Moderate","High"))</f>
        <v>High</v>
      </c>
      <c r="Q1085" s="11" t="str">
        <f aca="false">IF(ISBLANK(L1085),"Unknown",IF(L1085&gt;=4,"Good",IF(L1085&lt;=2,"Poor","Neutral")))</f>
        <v>Good</v>
      </c>
      <c r="R1085" s="11" t="str">
        <f aca="false">IF(AND(O1085="Low",P1085="Low",Q1085="Good"),"BUY / PRIORITIZE",IF(AND(O1085="High",P1085="High",OR(Q1085="Poor",M1085=TRUE())),"HOLD / REVIEW","MONITOR"))</f>
        <v>MONITOR</v>
      </c>
      <c r="S1085" s="11" t="n">
        <f aca="false">K1085+(ROW()/10000000)</f>
        <v>30.0001085</v>
      </c>
    </row>
    <row r="1086" customFormat="false" ht="15" hidden="false" customHeight="false" outlineLevel="0" collapsed="false">
      <c r="A1086" s="11" t="s">
        <v>1371</v>
      </c>
      <c r="B1086" s="11" t="s">
        <v>29</v>
      </c>
      <c r="C1086" s="11" t="s">
        <v>77</v>
      </c>
      <c r="D1086" s="11" t="s">
        <v>36</v>
      </c>
      <c r="E1086" s="11" t="s">
        <v>91</v>
      </c>
      <c r="F1086" s="11" t="s">
        <v>92</v>
      </c>
      <c r="G1086" s="21" t="n">
        <v>142.83</v>
      </c>
      <c r="H1086" s="19" t="n">
        <v>0</v>
      </c>
      <c r="I1086" s="21" t="n">
        <v>142.83</v>
      </c>
      <c r="J1086" s="22" t="s">
        <v>80</v>
      </c>
      <c r="K1086" s="11" t="n">
        <v>25</v>
      </c>
      <c r="L1086" s="23" t="n">
        <v>3.5</v>
      </c>
      <c r="M1086" s="24" t="b">
        <f aca="false">FALSE()</f>
        <v>0</v>
      </c>
      <c r="N1086" s="11"/>
      <c r="O1086" s="11" t="str">
        <f aca="false">IF(K1086&lt;=StockP33,"Low",IF(K1086&lt;=StockP67,"Moderate","High"))</f>
        <v>Moderate</v>
      </c>
      <c r="P1086" s="11" t="str">
        <f aca="false">IF(H1086=0,"Low",IF(H1086&lt;=MarkdownP75,"Moderate","High"))</f>
        <v>Low</v>
      </c>
      <c r="Q1086" s="11" t="str">
        <f aca="false">IF(ISBLANK(L1086),"Unknown",IF(L1086&gt;=4,"Good",IF(L1086&lt;=2,"Poor","Neutral")))</f>
        <v>Neutral</v>
      </c>
      <c r="R1086" s="11" t="str">
        <f aca="false">IF(AND(O1086="Low",P1086="Low",Q1086="Good"),"BUY / PRIORITIZE",IF(AND(O1086="High",P1086="High",OR(Q1086="Poor",M1086=TRUE())),"HOLD / REVIEW","MONITOR"))</f>
        <v>MONITOR</v>
      </c>
      <c r="S1086" s="11" t="n">
        <f aca="false">K1086+(ROW()/10000000)</f>
        <v>25.0001086</v>
      </c>
    </row>
    <row r="1087" customFormat="false" ht="15" hidden="false" customHeight="false" outlineLevel="0" collapsed="false">
      <c r="A1087" s="11" t="s">
        <v>1372</v>
      </c>
      <c r="B1087" s="11" t="s">
        <v>29</v>
      </c>
      <c r="C1087" s="11" t="s">
        <v>72</v>
      </c>
      <c r="D1087" s="11" t="s">
        <v>36</v>
      </c>
      <c r="E1087" s="11"/>
      <c r="F1087" s="11" t="s">
        <v>120</v>
      </c>
      <c r="G1087" s="21" t="n">
        <v>140.17</v>
      </c>
      <c r="H1087" s="19" t="n">
        <v>0</v>
      </c>
      <c r="I1087" s="21" t="n">
        <v>140.17</v>
      </c>
      <c r="J1087" s="22" t="s">
        <v>80</v>
      </c>
      <c r="K1087" s="11" t="n">
        <v>43</v>
      </c>
      <c r="L1087" s="23" t="n">
        <v>3.1</v>
      </c>
      <c r="M1087" s="24" t="b">
        <f aca="false">FALSE()</f>
        <v>0</v>
      </c>
      <c r="N1087" s="11"/>
      <c r="O1087" s="11" t="str">
        <f aca="false">IF(K1087&lt;=StockP33,"Low",IF(K1087&lt;=StockP67,"Moderate","High"))</f>
        <v>High</v>
      </c>
      <c r="P1087" s="11" t="str">
        <f aca="false">IF(H1087=0,"Low",IF(H1087&lt;=MarkdownP75,"Moderate","High"))</f>
        <v>Low</v>
      </c>
      <c r="Q1087" s="11" t="str">
        <f aca="false">IF(ISBLANK(L1087),"Unknown",IF(L1087&gt;=4,"Good",IF(L1087&lt;=2,"Poor","Neutral")))</f>
        <v>Neutral</v>
      </c>
      <c r="R1087" s="11" t="str">
        <f aca="false">IF(AND(O1087="Low",P1087="Low",Q1087="Good"),"BUY / PRIORITIZE",IF(AND(O1087="High",P1087="High",OR(Q1087="Poor",M1087=TRUE())),"HOLD / REVIEW","MONITOR"))</f>
        <v>MONITOR</v>
      </c>
      <c r="S1087" s="11" t="n">
        <f aca="false">K1087+(ROW()/10000000)</f>
        <v>43.0001087</v>
      </c>
    </row>
    <row r="1088" customFormat="false" ht="15" hidden="false" customHeight="false" outlineLevel="0" collapsed="false">
      <c r="A1088" s="11" t="s">
        <v>1373</v>
      </c>
      <c r="B1088" s="11" t="s">
        <v>30</v>
      </c>
      <c r="C1088" s="11" t="s">
        <v>116</v>
      </c>
      <c r="D1088" s="11" t="s">
        <v>37</v>
      </c>
      <c r="E1088" s="11" t="s">
        <v>113</v>
      </c>
      <c r="F1088" s="11" t="s">
        <v>124</v>
      </c>
      <c r="G1088" s="21" t="n">
        <v>106.11</v>
      </c>
      <c r="H1088" s="19" t="n">
        <v>33.8</v>
      </c>
      <c r="I1088" s="21" t="n">
        <v>70.24</v>
      </c>
      <c r="J1088" s="22" t="s">
        <v>80</v>
      </c>
      <c r="K1088" s="11" t="n">
        <v>15</v>
      </c>
      <c r="L1088" s="23" t="n">
        <v>4.5</v>
      </c>
      <c r="M1088" s="24" t="b">
        <f aca="false">FALSE()</f>
        <v>0</v>
      </c>
      <c r="N1088" s="11"/>
      <c r="O1088" s="11" t="str">
        <f aca="false">IF(K1088&lt;=StockP33,"Low",IF(K1088&lt;=StockP67,"Moderate","High"))</f>
        <v>Low</v>
      </c>
      <c r="P1088" s="11" t="str">
        <f aca="false">IF(H1088=0,"Low",IF(H1088&lt;=MarkdownP75,"Moderate","High"))</f>
        <v>High</v>
      </c>
      <c r="Q1088" s="11" t="str">
        <f aca="false">IF(ISBLANK(L1088),"Unknown",IF(L1088&gt;=4,"Good",IF(L1088&lt;=2,"Poor","Neutral")))</f>
        <v>Good</v>
      </c>
      <c r="R1088" s="11" t="str">
        <f aca="false">IF(AND(O1088="Low",P1088="Low",Q1088="Good"),"BUY / PRIORITIZE",IF(AND(O1088="High",P1088="High",OR(Q1088="Poor",M1088=TRUE())),"HOLD / REVIEW","MONITOR"))</f>
        <v>MONITOR</v>
      </c>
      <c r="S1088" s="11" t="n">
        <f aca="false">K1088+(ROW()/10000000)</f>
        <v>15.0001088</v>
      </c>
    </row>
    <row r="1089" customFormat="false" ht="15" hidden="false" customHeight="false" outlineLevel="0" collapsed="false">
      <c r="A1089" s="11" t="s">
        <v>1374</v>
      </c>
      <c r="B1089" s="11" t="s">
        <v>27</v>
      </c>
      <c r="C1089" s="11" t="s">
        <v>101</v>
      </c>
      <c r="D1089" s="11" t="s">
        <v>35</v>
      </c>
      <c r="E1089" s="11" t="s">
        <v>110</v>
      </c>
      <c r="F1089" s="11" t="s">
        <v>79</v>
      </c>
      <c r="G1089" s="21" t="n">
        <v>53.23</v>
      </c>
      <c r="H1089" s="19" t="n">
        <v>0</v>
      </c>
      <c r="I1089" s="21" t="n">
        <v>53.23</v>
      </c>
      <c r="J1089" s="22" t="s">
        <v>80</v>
      </c>
      <c r="K1089" s="11" t="n">
        <v>41</v>
      </c>
      <c r="L1089" s="23" t="n">
        <v>2.8</v>
      </c>
      <c r="M1089" s="24" t="b">
        <f aca="false">TRUE()</f>
        <v>1</v>
      </c>
      <c r="N1089" s="11" t="s">
        <v>89</v>
      </c>
      <c r="O1089" s="11" t="str">
        <f aca="false">IF(K1089&lt;=StockP33,"Low",IF(K1089&lt;=StockP67,"Moderate","High"))</f>
        <v>High</v>
      </c>
      <c r="P1089" s="11" t="str">
        <f aca="false">IF(H1089=0,"Low",IF(H1089&lt;=MarkdownP75,"Moderate","High"))</f>
        <v>Low</v>
      </c>
      <c r="Q1089" s="11" t="str">
        <f aca="false">IF(ISBLANK(L1089),"Unknown",IF(L1089&gt;=4,"Good",IF(L1089&lt;=2,"Poor","Neutral")))</f>
        <v>Neutral</v>
      </c>
      <c r="R1089" s="11" t="str">
        <f aca="false">IF(AND(O1089="Low",P1089="Low",Q1089="Good"),"BUY / PRIORITIZE",IF(AND(O1089="High",P1089="High",OR(Q1089="Poor",M1089=TRUE())),"HOLD / REVIEW","MONITOR"))</f>
        <v>MONITOR</v>
      </c>
      <c r="S1089" s="11" t="n">
        <f aca="false">K1089+(ROW()/10000000)</f>
        <v>41.0001089</v>
      </c>
    </row>
    <row r="1090" customFormat="false" ht="15" hidden="false" customHeight="false" outlineLevel="0" collapsed="false">
      <c r="A1090" s="11" t="s">
        <v>1375</v>
      </c>
      <c r="B1090" s="11" t="s">
        <v>28</v>
      </c>
      <c r="C1090" s="11" t="s">
        <v>86</v>
      </c>
      <c r="D1090" s="11" t="s">
        <v>34</v>
      </c>
      <c r="E1090" s="11" t="s">
        <v>102</v>
      </c>
      <c r="F1090" s="11" t="s">
        <v>82</v>
      </c>
      <c r="G1090" s="21" t="n">
        <v>92.25</v>
      </c>
      <c r="H1090" s="19" t="n">
        <v>0</v>
      </c>
      <c r="I1090" s="21" t="n">
        <v>92.25</v>
      </c>
      <c r="J1090" s="22" t="s">
        <v>1376</v>
      </c>
      <c r="K1090" s="11" t="n">
        <v>22</v>
      </c>
      <c r="L1090" s="23" t="n">
        <v>3.3</v>
      </c>
      <c r="M1090" s="24" t="b">
        <f aca="false">TRUE()</f>
        <v>1</v>
      </c>
      <c r="N1090" s="11" t="s">
        <v>191</v>
      </c>
      <c r="O1090" s="11" t="str">
        <f aca="false">IF(K1090&lt;=StockP33,"Low",IF(K1090&lt;=StockP67,"Moderate","High"))</f>
        <v>Moderate</v>
      </c>
      <c r="P1090" s="11" t="str">
        <f aca="false">IF(H1090=0,"Low",IF(H1090&lt;=MarkdownP75,"Moderate","High"))</f>
        <v>Low</v>
      </c>
      <c r="Q1090" s="11" t="str">
        <f aca="false">IF(ISBLANK(L1090),"Unknown",IF(L1090&gt;=4,"Good",IF(L1090&lt;=2,"Poor","Neutral")))</f>
        <v>Neutral</v>
      </c>
      <c r="R1090" s="11" t="str">
        <f aca="false">IF(AND(O1090="Low",P1090="Low",Q1090="Good"),"BUY / PRIORITIZE",IF(AND(O1090="High",P1090="High",OR(Q1090="Poor",M1090=TRUE())),"HOLD / REVIEW","MONITOR"))</f>
        <v>MONITOR</v>
      </c>
      <c r="S1090" s="11" t="n">
        <f aca="false">K1090+(ROW()/10000000)</f>
        <v>22.000109</v>
      </c>
    </row>
    <row r="1091" customFormat="false" ht="15" hidden="false" customHeight="false" outlineLevel="0" collapsed="false">
      <c r="A1091" s="11" t="s">
        <v>1377</v>
      </c>
      <c r="B1091" s="11" t="s">
        <v>8</v>
      </c>
      <c r="C1091" s="11" t="s">
        <v>107</v>
      </c>
      <c r="D1091" s="11" t="s">
        <v>35</v>
      </c>
      <c r="E1091" s="11"/>
      <c r="F1091" s="11" t="s">
        <v>124</v>
      </c>
      <c r="G1091" s="21" t="n">
        <v>39.17</v>
      </c>
      <c r="H1091" s="19" t="n">
        <v>0</v>
      </c>
      <c r="I1091" s="21" t="n">
        <v>39.17</v>
      </c>
      <c r="J1091" s="22" t="s">
        <v>80</v>
      </c>
      <c r="K1091" s="11" t="n">
        <v>4</v>
      </c>
      <c r="L1091" s="23" t="n">
        <v>3.5</v>
      </c>
      <c r="M1091" s="24" t="b">
        <f aca="false">TRUE()</f>
        <v>1</v>
      </c>
      <c r="N1091" s="11" t="s">
        <v>89</v>
      </c>
      <c r="O1091" s="11" t="str">
        <f aca="false">IF(K1091&lt;=StockP33,"Low",IF(K1091&lt;=StockP67,"Moderate","High"))</f>
        <v>Low</v>
      </c>
      <c r="P1091" s="11" t="str">
        <f aca="false">IF(H1091=0,"Low",IF(H1091&lt;=MarkdownP75,"Moderate","High"))</f>
        <v>Low</v>
      </c>
      <c r="Q1091" s="11" t="str">
        <f aca="false">IF(ISBLANK(L1091),"Unknown",IF(L1091&gt;=4,"Good",IF(L1091&lt;=2,"Poor","Neutral")))</f>
        <v>Neutral</v>
      </c>
      <c r="R1091" s="11" t="str">
        <f aca="false">IF(AND(O1091="Low",P1091="Low",Q1091="Good"),"BUY / PRIORITIZE",IF(AND(O1091="High",P1091="High",OR(Q1091="Poor",M1091=TRUE())),"HOLD / REVIEW","MONITOR"))</f>
        <v>MONITOR</v>
      </c>
      <c r="S1091" s="11" t="n">
        <f aca="false">K1091+(ROW()/10000000)</f>
        <v>4.0001091</v>
      </c>
    </row>
    <row r="1092" customFormat="false" ht="15" hidden="false" customHeight="false" outlineLevel="0" collapsed="false">
      <c r="A1092" s="11" t="s">
        <v>1378</v>
      </c>
      <c r="B1092" s="11" t="s">
        <v>8</v>
      </c>
      <c r="C1092" s="11" t="s">
        <v>116</v>
      </c>
      <c r="D1092" s="11" t="s">
        <v>34</v>
      </c>
      <c r="E1092" s="11"/>
      <c r="F1092" s="11" t="s">
        <v>88</v>
      </c>
      <c r="G1092" s="21" t="n">
        <v>72.83</v>
      </c>
      <c r="H1092" s="19" t="n">
        <v>0</v>
      </c>
      <c r="I1092" s="21" t="n">
        <v>72.83</v>
      </c>
      <c r="J1092" s="22" t="s">
        <v>1379</v>
      </c>
      <c r="K1092" s="11" t="n">
        <v>6</v>
      </c>
      <c r="L1092" s="23" t="n">
        <v>2</v>
      </c>
      <c r="M1092" s="24" t="b">
        <f aca="false">FALSE()</f>
        <v>0</v>
      </c>
      <c r="N1092" s="11"/>
      <c r="O1092" s="11" t="str">
        <f aca="false">IF(K1092&lt;=StockP33,"Low",IF(K1092&lt;=StockP67,"Moderate","High"))</f>
        <v>Low</v>
      </c>
      <c r="P1092" s="11" t="str">
        <f aca="false">IF(H1092=0,"Low",IF(H1092&lt;=MarkdownP75,"Moderate","High"))</f>
        <v>Low</v>
      </c>
      <c r="Q1092" s="11" t="str">
        <f aca="false">IF(ISBLANK(L1092),"Unknown",IF(L1092&gt;=4,"Good",IF(L1092&lt;=2,"Poor","Neutral")))</f>
        <v>Poor</v>
      </c>
      <c r="R1092" s="11" t="str">
        <f aca="false">IF(AND(O1092="Low",P1092="Low",Q1092="Good"),"BUY / PRIORITIZE",IF(AND(O1092="High",P1092="High",OR(Q1092="Poor",M1092=TRUE())),"HOLD / REVIEW","MONITOR"))</f>
        <v>MONITOR</v>
      </c>
      <c r="S1092" s="11" t="n">
        <f aca="false">K1092+(ROW()/10000000)</f>
        <v>6.0001092</v>
      </c>
    </row>
    <row r="1093" customFormat="false" ht="15" hidden="false" customHeight="false" outlineLevel="0" collapsed="false">
      <c r="A1093" s="11" t="s">
        <v>1380</v>
      </c>
      <c r="B1093" s="11" t="s">
        <v>26</v>
      </c>
      <c r="C1093" s="11" t="s">
        <v>130</v>
      </c>
      <c r="D1093" s="11" t="s">
        <v>37</v>
      </c>
      <c r="E1093" s="11" t="s">
        <v>91</v>
      </c>
      <c r="F1093" s="11" t="s">
        <v>124</v>
      </c>
      <c r="G1093" s="21" t="n">
        <v>29.73</v>
      </c>
      <c r="H1093" s="19" t="n">
        <v>28.7</v>
      </c>
      <c r="I1093" s="21" t="n">
        <v>21.2</v>
      </c>
      <c r="J1093" s="22" t="s">
        <v>80</v>
      </c>
      <c r="K1093" s="11" t="n">
        <v>37</v>
      </c>
      <c r="L1093" s="23" t="n">
        <v>2.5</v>
      </c>
      <c r="M1093" s="24" t="b">
        <f aca="false">FALSE()</f>
        <v>0</v>
      </c>
      <c r="N1093" s="11"/>
      <c r="O1093" s="11" t="str">
        <f aca="false">IF(K1093&lt;=StockP33,"Low",IF(K1093&lt;=StockP67,"Moderate","High"))</f>
        <v>High</v>
      </c>
      <c r="P1093" s="11" t="str">
        <f aca="false">IF(H1093=0,"Low",IF(H1093&lt;=MarkdownP75,"Moderate","High"))</f>
        <v>High</v>
      </c>
      <c r="Q1093" s="11" t="str">
        <f aca="false">IF(ISBLANK(L1093),"Unknown",IF(L1093&gt;=4,"Good",IF(L1093&lt;=2,"Poor","Neutral")))</f>
        <v>Neutral</v>
      </c>
      <c r="R1093" s="11" t="str">
        <f aca="false">IF(AND(O1093="Low",P1093="Low",Q1093="Good"),"BUY / PRIORITIZE",IF(AND(O1093="High",P1093="High",OR(Q1093="Poor",M1093=TRUE())),"HOLD / REVIEW","MONITOR"))</f>
        <v>MONITOR</v>
      </c>
      <c r="S1093" s="11" t="n">
        <f aca="false">K1093+(ROW()/10000000)</f>
        <v>37.0001093</v>
      </c>
    </row>
    <row r="1094" customFormat="false" ht="15" hidden="false" customHeight="false" outlineLevel="0" collapsed="false">
      <c r="A1094" s="11" t="s">
        <v>1381</v>
      </c>
      <c r="B1094" s="11" t="s">
        <v>27</v>
      </c>
      <c r="C1094" s="11" t="s">
        <v>95</v>
      </c>
      <c r="D1094" s="11" t="s">
        <v>37</v>
      </c>
      <c r="E1094" s="11" t="s">
        <v>73</v>
      </c>
      <c r="F1094" s="11" t="s">
        <v>82</v>
      </c>
      <c r="G1094" s="21" t="n">
        <v>144.1</v>
      </c>
      <c r="H1094" s="19" t="n">
        <v>0</v>
      </c>
      <c r="I1094" s="21" t="n">
        <v>144.1</v>
      </c>
      <c r="J1094" s="22" t="s">
        <v>80</v>
      </c>
      <c r="K1094" s="11" t="n">
        <v>36</v>
      </c>
      <c r="L1094" s="23" t="n">
        <v>2.5</v>
      </c>
      <c r="M1094" s="24" t="b">
        <f aca="false">FALSE()</f>
        <v>0</v>
      </c>
      <c r="N1094" s="11"/>
      <c r="O1094" s="11" t="str">
        <f aca="false">IF(K1094&lt;=StockP33,"Low",IF(K1094&lt;=StockP67,"Moderate","High"))</f>
        <v>High</v>
      </c>
      <c r="P1094" s="11" t="str">
        <f aca="false">IF(H1094=0,"Low",IF(H1094&lt;=MarkdownP75,"Moderate","High"))</f>
        <v>Low</v>
      </c>
      <c r="Q1094" s="11" t="str">
        <f aca="false">IF(ISBLANK(L1094),"Unknown",IF(L1094&gt;=4,"Good",IF(L1094&lt;=2,"Poor","Neutral")))</f>
        <v>Neutral</v>
      </c>
      <c r="R1094" s="11" t="str">
        <f aca="false">IF(AND(O1094="Low",P1094="Low",Q1094="Good"),"BUY / PRIORITIZE",IF(AND(O1094="High",P1094="High",OR(Q1094="Poor",M1094=TRUE())),"HOLD / REVIEW","MONITOR"))</f>
        <v>MONITOR</v>
      </c>
      <c r="S1094" s="11" t="n">
        <f aca="false">K1094+(ROW()/10000000)</f>
        <v>36.0001094</v>
      </c>
    </row>
    <row r="1095" customFormat="false" ht="15" hidden="false" customHeight="false" outlineLevel="0" collapsed="false">
      <c r="A1095" s="11" t="s">
        <v>1382</v>
      </c>
      <c r="B1095" s="11" t="s">
        <v>27</v>
      </c>
      <c r="C1095" s="11" t="s">
        <v>101</v>
      </c>
      <c r="D1095" s="11" t="s">
        <v>35</v>
      </c>
      <c r="E1095" s="11" t="s">
        <v>73</v>
      </c>
      <c r="F1095" s="11" t="s">
        <v>124</v>
      </c>
      <c r="G1095" s="21" t="n">
        <v>109.23</v>
      </c>
      <c r="H1095" s="19" t="n">
        <v>10.8</v>
      </c>
      <c r="I1095" s="21" t="n">
        <v>97.43</v>
      </c>
      <c r="J1095" s="22" t="s">
        <v>80</v>
      </c>
      <c r="K1095" s="11" t="n">
        <v>38</v>
      </c>
      <c r="L1095" s="23" t="n">
        <v>3.3</v>
      </c>
      <c r="M1095" s="24" t="b">
        <f aca="false">FALSE()</f>
        <v>0</v>
      </c>
      <c r="N1095" s="11"/>
      <c r="O1095" s="11" t="str">
        <f aca="false">IF(K1095&lt;=StockP33,"Low",IF(K1095&lt;=StockP67,"Moderate","High"))</f>
        <v>High</v>
      </c>
      <c r="P1095" s="11" t="str">
        <f aca="false">IF(H1095=0,"Low",IF(H1095&lt;=MarkdownP75,"Moderate","High"))</f>
        <v>Moderate</v>
      </c>
      <c r="Q1095" s="11" t="str">
        <f aca="false">IF(ISBLANK(L1095),"Unknown",IF(L1095&gt;=4,"Good",IF(L1095&lt;=2,"Poor","Neutral")))</f>
        <v>Neutral</v>
      </c>
      <c r="R1095" s="11" t="str">
        <f aca="false">IF(AND(O1095="Low",P1095="Low",Q1095="Good"),"BUY / PRIORITIZE",IF(AND(O1095="High",P1095="High",OR(Q1095="Poor",M1095=TRUE())),"HOLD / REVIEW","MONITOR"))</f>
        <v>MONITOR</v>
      </c>
      <c r="S1095" s="11" t="n">
        <f aca="false">K1095+(ROW()/10000000)</f>
        <v>38.0001095</v>
      </c>
    </row>
    <row r="1096" customFormat="false" ht="15" hidden="false" customHeight="false" outlineLevel="0" collapsed="false">
      <c r="A1096" s="11" t="s">
        <v>1383</v>
      </c>
      <c r="B1096" s="11" t="s">
        <v>28</v>
      </c>
      <c r="C1096" s="11" t="s">
        <v>95</v>
      </c>
      <c r="D1096" s="11" t="s">
        <v>37</v>
      </c>
      <c r="E1096" s="11" t="s">
        <v>73</v>
      </c>
      <c r="F1096" s="11" t="s">
        <v>79</v>
      </c>
      <c r="G1096" s="21" t="n">
        <v>180.65</v>
      </c>
      <c r="H1096" s="19" t="n">
        <v>17.5</v>
      </c>
      <c r="I1096" s="21" t="n">
        <v>149.04</v>
      </c>
      <c r="J1096" s="22" t="s">
        <v>80</v>
      </c>
      <c r="K1096" s="11" t="n">
        <v>41</v>
      </c>
      <c r="L1096" s="23" t="n">
        <v>1.4</v>
      </c>
      <c r="M1096" s="24" t="b">
        <f aca="false">FALSE()</f>
        <v>0</v>
      </c>
      <c r="N1096" s="11"/>
      <c r="O1096" s="11" t="str">
        <f aca="false">IF(K1096&lt;=StockP33,"Low",IF(K1096&lt;=StockP67,"Moderate","High"))</f>
        <v>High</v>
      </c>
      <c r="P1096" s="11" t="str">
        <f aca="false">IF(H1096=0,"Low",IF(H1096&lt;=MarkdownP75,"Moderate","High"))</f>
        <v>Moderate</v>
      </c>
      <c r="Q1096" s="11" t="str">
        <f aca="false">IF(ISBLANK(L1096),"Unknown",IF(L1096&gt;=4,"Good",IF(L1096&lt;=2,"Poor","Neutral")))</f>
        <v>Poor</v>
      </c>
      <c r="R1096" s="11" t="str">
        <f aca="false">IF(AND(O1096="Low",P1096="Low",Q1096="Good"),"BUY / PRIORITIZE",IF(AND(O1096="High",P1096="High",OR(Q1096="Poor",M1096=TRUE())),"HOLD / REVIEW","MONITOR"))</f>
        <v>MONITOR</v>
      </c>
      <c r="S1096" s="11" t="n">
        <f aca="false">K1096+(ROW()/10000000)</f>
        <v>41.0001096</v>
      </c>
    </row>
    <row r="1097" customFormat="false" ht="15" hidden="false" customHeight="false" outlineLevel="0" collapsed="false">
      <c r="A1097" s="11" t="s">
        <v>1384</v>
      </c>
      <c r="B1097" s="11" t="s">
        <v>28</v>
      </c>
      <c r="C1097" s="11" t="s">
        <v>86</v>
      </c>
      <c r="D1097" s="11" t="s">
        <v>34</v>
      </c>
      <c r="E1097" s="11" t="s">
        <v>113</v>
      </c>
      <c r="F1097" s="11" t="s">
        <v>98</v>
      </c>
      <c r="G1097" s="21" t="n">
        <v>129.24</v>
      </c>
      <c r="H1097" s="19" t="n">
        <v>46.2</v>
      </c>
      <c r="I1097" s="21" t="n">
        <v>69.53</v>
      </c>
      <c r="J1097" s="22" t="s">
        <v>1268</v>
      </c>
      <c r="K1097" s="11" t="n">
        <v>28</v>
      </c>
      <c r="L1097" s="23" t="n">
        <v>3.2</v>
      </c>
      <c r="M1097" s="24" t="b">
        <f aca="false">FALSE()</f>
        <v>0</v>
      </c>
      <c r="N1097" s="11"/>
      <c r="O1097" s="11" t="str">
        <f aca="false">IF(K1097&lt;=StockP33,"Low",IF(K1097&lt;=StockP67,"Moderate","High"))</f>
        <v>Moderate</v>
      </c>
      <c r="P1097" s="11" t="str">
        <f aca="false">IF(H1097=0,"Low",IF(H1097&lt;=MarkdownP75,"Moderate","High"))</f>
        <v>High</v>
      </c>
      <c r="Q1097" s="11" t="str">
        <f aca="false">IF(ISBLANK(L1097),"Unknown",IF(L1097&gt;=4,"Good",IF(L1097&lt;=2,"Poor","Neutral")))</f>
        <v>Neutral</v>
      </c>
      <c r="R1097" s="11" t="str">
        <f aca="false">IF(AND(O1097="Low",P1097="Low",Q1097="Good"),"BUY / PRIORITIZE",IF(AND(O1097="High",P1097="High",OR(Q1097="Poor",M1097=TRUE())),"HOLD / REVIEW","MONITOR"))</f>
        <v>MONITOR</v>
      </c>
      <c r="S1097" s="11" t="n">
        <f aca="false">K1097+(ROW()/10000000)</f>
        <v>28.0001097</v>
      </c>
    </row>
    <row r="1098" customFormat="false" ht="15" hidden="false" customHeight="false" outlineLevel="0" collapsed="false">
      <c r="A1098" s="11" t="s">
        <v>1385</v>
      </c>
      <c r="B1098" s="11" t="s">
        <v>29</v>
      </c>
      <c r="C1098" s="11" t="s">
        <v>116</v>
      </c>
      <c r="D1098" s="11" t="s">
        <v>35</v>
      </c>
      <c r="E1098" s="11" t="s">
        <v>110</v>
      </c>
      <c r="F1098" s="11" t="s">
        <v>96</v>
      </c>
      <c r="G1098" s="21" t="n">
        <v>195.67</v>
      </c>
      <c r="H1098" s="19" t="n">
        <v>47.1</v>
      </c>
      <c r="I1098" s="21" t="n">
        <v>103.51</v>
      </c>
      <c r="J1098" s="22" t="s">
        <v>80</v>
      </c>
      <c r="K1098" s="11" t="n">
        <v>36</v>
      </c>
      <c r="L1098" s="23" t="n">
        <v>4</v>
      </c>
      <c r="M1098" s="24" t="b">
        <f aca="false">FALSE()</f>
        <v>0</v>
      </c>
      <c r="N1098" s="11"/>
      <c r="O1098" s="11" t="str">
        <f aca="false">IF(K1098&lt;=StockP33,"Low",IF(K1098&lt;=StockP67,"Moderate","High"))</f>
        <v>High</v>
      </c>
      <c r="P1098" s="11" t="str">
        <f aca="false">IF(H1098=0,"Low",IF(H1098&lt;=MarkdownP75,"Moderate","High"))</f>
        <v>High</v>
      </c>
      <c r="Q1098" s="11" t="str">
        <f aca="false">IF(ISBLANK(L1098),"Unknown",IF(L1098&gt;=4,"Good",IF(L1098&lt;=2,"Poor","Neutral")))</f>
        <v>Good</v>
      </c>
      <c r="R1098" s="11" t="str">
        <f aca="false">IF(AND(O1098="Low",P1098="Low",Q1098="Good"),"BUY / PRIORITIZE",IF(AND(O1098="High",P1098="High",OR(Q1098="Poor",M1098=TRUE())),"HOLD / REVIEW","MONITOR"))</f>
        <v>MONITOR</v>
      </c>
      <c r="S1098" s="11" t="n">
        <f aca="false">K1098+(ROW()/10000000)</f>
        <v>36.0001098</v>
      </c>
    </row>
    <row r="1099" customFormat="false" ht="15" hidden="false" customHeight="false" outlineLevel="0" collapsed="false">
      <c r="A1099" s="11" t="s">
        <v>1386</v>
      </c>
      <c r="B1099" s="11" t="s">
        <v>8</v>
      </c>
      <c r="C1099" s="11" t="s">
        <v>86</v>
      </c>
      <c r="D1099" s="11" t="s">
        <v>37</v>
      </c>
      <c r="E1099" s="11"/>
      <c r="F1099" s="11" t="s">
        <v>118</v>
      </c>
      <c r="G1099" s="21" t="n">
        <v>65.64</v>
      </c>
      <c r="H1099" s="19" t="n">
        <v>20.7</v>
      </c>
      <c r="I1099" s="21" t="n">
        <v>52.05</v>
      </c>
      <c r="J1099" s="22" t="s">
        <v>80</v>
      </c>
      <c r="K1099" s="11" t="n">
        <v>20</v>
      </c>
      <c r="L1099" s="23" t="n">
        <v>2.6</v>
      </c>
      <c r="M1099" s="24" t="b">
        <f aca="false">FALSE()</f>
        <v>0</v>
      </c>
      <c r="N1099" s="11"/>
      <c r="O1099" s="11" t="str">
        <f aca="false">IF(K1099&lt;=StockP33,"Low",IF(K1099&lt;=StockP67,"Moderate","High"))</f>
        <v>Moderate</v>
      </c>
      <c r="P1099" s="11" t="str">
        <f aca="false">IF(H1099=0,"Low",IF(H1099&lt;=MarkdownP75,"Moderate","High"))</f>
        <v>Moderate</v>
      </c>
      <c r="Q1099" s="11" t="str">
        <f aca="false">IF(ISBLANK(L1099),"Unknown",IF(L1099&gt;=4,"Good",IF(L1099&lt;=2,"Poor","Neutral")))</f>
        <v>Neutral</v>
      </c>
      <c r="R1099" s="11" t="str">
        <f aca="false">IF(AND(O1099="Low",P1099="Low",Q1099="Good"),"BUY / PRIORITIZE",IF(AND(O1099="High",P1099="High",OR(Q1099="Poor",M1099=TRUE())),"HOLD / REVIEW","MONITOR"))</f>
        <v>MONITOR</v>
      </c>
      <c r="S1099" s="11" t="n">
        <f aca="false">K1099+(ROW()/10000000)</f>
        <v>20.0001099</v>
      </c>
    </row>
    <row r="1100" customFormat="false" ht="15" hidden="false" customHeight="false" outlineLevel="0" collapsed="false">
      <c r="A1100" s="11" t="s">
        <v>1387</v>
      </c>
      <c r="B1100" s="11" t="s">
        <v>26</v>
      </c>
      <c r="C1100" s="11" t="s">
        <v>101</v>
      </c>
      <c r="D1100" s="11" t="s">
        <v>34</v>
      </c>
      <c r="E1100" s="11" t="s">
        <v>110</v>
      </c>
      <c r="F1100" s="11" t="s">
        <v>120</v>
      </c>
      <c r="G1100" s="21" t="n">
        <v>113.18</v>
      </c>
      <c r="H1100" s="19" t="n">
        <v>0</v>
      </c>
      <c r="I1100" s="21" t="n">
        <v>113.18</v>
      </c>
      <c r="J1100" s="22" t="s">
        <v>1354</v>
      </c>
      <c r="K1100" s="11" t="n">
        <v>3</v>
      </c>
      <c r="L1100" s="23" t="n">
        <v>4.9</v>
      </c>
      <c r="M1100" s="24" t="b">
        <f aca="false">FALSE()</f>
        <v>0</v>
      </c>
      <c r="N1100" s="11"/>
      <c r="O1100" s="11" t="str">
        <f aca="false">IF(K1100&lt;=StockP33,"Low",IF(K1100&lt;=StockP67,"Moderate","High"))</f>
        <v>Low</v>
      </c>
      <c r="P1100" s="11" t="str">
        <f aca="false">IF(H1100=0,"Low",IF(H1100&lt;=MarkdownP75,"Moderate","High"))</f>
        <v>Low</v>
      </c>
      <c r="Q1100" s="11" t="str">
        <f aca="false">IF(ISBLANK(L1100),"Unknown",IF(L1100&gt;=4,"Good",IF(L1100&lt;=2,"Poor","Neutral")))</f>
        <v>Good</v>
      </c>
      <c r="R1100" s="11" t="str">
        <f aca="false">IF(AND(O1100="Low",P1100="Low",Q1100="Good"),"BUY / PRIORITIZE",IF(AND(O1100="High",P1100="High",OR(Q1100="Poor",M1100=TRUE())),"HOLD / REVIEW","MONITOR"))</f>
        <v>BUY / PRIORITIZE</v>
      </c>
      <c r="S1100" s="11" t="n">
        <f aca="false">K1100+(ROW()/10000000)</f>
        <v>3.00011</v>
      </c>
    </row>
    <row r="1101" customFormat="false" ht="15" hidden="false" customHeight="false" outlineLevel="0" collapsed="false">
      <c r="A1101" s="11" t="s">
        <v>1388</v>
      </c>
      <c r="B1101" s="11" t="s">
        <v>29</v>
      </c>
      <c r="C1101" s="11" t="s">
        <v>107</v>
      </c>
      <c r="D1101" s="11" t="s">
        <v>36</v>
      </c>
      <c r="E1101" s="11" t="s">
        <v>73</v>
      </c>
      <c r="F1101" s="11" t="s">
        <v>111</v>
      </c>
      <c r="G1101" s="21" t="n">
        <v>173.69</v>
      </c>
      <c r="H1101" s="19" t="n">
        <v>0</v>
      </c>
      <c r="I1101" s="21" t="n">
        <v>173.69</v>
      </c>
      <c r="J1101" s="22" t="s">
        <v>80</v>
      </c>
      <c r="K1101" s="11" t="n">
        <v>25</v>
      </c>
      <c r="L1101" s="23" t="n">
        <v>3.6</v>
      </c>
      <c r="M1101" s="24" t="b">
        <f aca="false">FALSE()</f>
        <v>0</v>
      </c>
      <c r="N1101" s="11"/>
      <c r="O1101" s="11" t="str">
        <f aca="false">IF(K1101&lt;=StockP33,"Low",IF(K1101&lt;=StockP67,"Moderate","High"))</f>
        <v>Moderate</v>
      </c>
      <c r="P1101" s="11" t="str">
        <f aca="false">IF(H1101=0,"Low",IF(H1101&lt;=MarkdownP75,"Moderate","High"))</f>
        <v>Low</v>
      </c>
      <c r="Q1101" s="11" t="str">
        <f aca="false">IF(ISBLANK(L1101),"Unknown",IF(L1101&gt;=4,"Good",IF(L1101&lt;=2,"Poor","Neutral")))</f>
        <v>Neutral</v>
      </c>
      <c r="R1101" s="11" t="str">
        <f aca="false">IF(AND(O1101="Low",P1101="Low",Q1101="Good"),"BUY / PRIORITIZE",IF(AND(O1101="High",P1101="High",OR(Q1101="Poor",M1101=TRUE())),"HOLD / REVIEW","MONITOR"))</f>
        <v>MONITOR</v>
      </c>
      <c r="S1101" s="11" t="n">
        <f aca="false">K1101+(ROW()/10000000)</f>
        <v>25.0001101</v>
      </c>
    </row>
    <row r="1102" customFormat="false" ht="15" hidden="false" customHeight="false" outlineLevel="0" collapsed="false">
      <c r="A1102" s="11" t="s">
        <v>1389</v>
      </c>
      <c r="B1102" s="11" t="s">
        <v>28</v>
      </c>
      <c r="C1102" s="11" t="s">
        <v>72</v>
      </c>
      <c r="D1102" s="11" t="s">
        <v>36</v>
      </c>
      <c r="E1102" s="11" t="s">
        <v>91</v>
      </c>
      <c r="F1102" s="11" t="s">
        <v>92</v>
      </c>
      <c r="G1102" s="21" t="n">
        <v>156.54</v>
      </c>
      <c r="H1102" s="19" t="n">
        <v>0</v>
      </c>
      <c r="I1102" s="21" t="n">
        <v>156.54</v>
      </c>
      <c r="J1102" s="22" t="s">
        <v>80</v>
      </c>
      <c r="K1102" s="11" t="n">
        <v>23</v>
      </c>
      <c r="L1102" s="23" t="n">
        <v>1.8</v>
      </c>
      <c r="M1102" s="24" t="b">
        <f aca="false">FALSE()</f>
        <v>0</v>
      </c>
      <c r="N1102" s="11"/>
      <c r="O1102" s="11" t="str">
        <f aca="false">IF(K1102&lt;=StockP33,"Low",IF(K1102&lt;=StockP67,"Moderate","High"))</f>
        <v>Moderate</v>
      </c>
      <c r="P1102" s="11" t="str">
        <f aca="false">IF(H1102=0,"Low",IF(H1102&lt;=MarkdownP75,"Moderate","High"))</f>
        <v>Low</v>
      </c>
      <c r="Q1102" s="11" t="str">
        <f aca="false">IF(ISBLANK(L1102),"Unknown",IF(L1102&gt;=4,"Good",IF(L1102&lt;=2,"Poor","Neutral")))</f>
        <v>Poor</v>
      </c>
      <c r="R1102" s="11" t="str">
        <f aca="false">IF(AND(O1102="Low",P1102="Low",Q1102="Good"),"BUY / PRIORITIZE",IF(AND(O1102="High",P1102="High",OR(Q1102="Poor",M1102=TRUE())),"HOLD / REVIEW","MONITOR"))</f>
        <v>MONITOR</v>
      </c>
      <c r="S1102" s="11" t="n">
        <f aca="false">K1102+(ROW()/10000000)</f>
        <v>23.0001102</v>
      </c>
    </row>
    <row r="1103" customFormat="false" ht="15" hidden="false" customHeight="false" outlineLevel="0" collapsed="false">
      <c r="A1103" s="11" t="s">
        <v>1390</v>
      </c>
      <c r="B1103" s="11" t="s">
        <v>27</v>
      </c>
      <c r="C1103" s="11" t="s">
        <v>101</v>
      </c>
      <c r="D1103" s="11" t="s">
        <v>34</v>
      </c>
      <c r="E1103" s="11" t="s">
        <v>73</v>
      </c>
      <c r="F1103" s="11" t="s">
        <v>124</v>
      </c>
      <c r="G1103" s="21" t="n">
        <v>103.78</v>
      </c>
      <c r="H1103" s="19" t="n">
        <v>39</v>
      </c>
      <c r="I1103" s="21" t="n">
        <v>63.31</v>
      </c>
      <c r="J1103" s="22" t="s">
        <v>826</v>
      </c>
      <c r="K1103" s="11" t="n">
        <v>5</v>
      </c>
      <c r="L1103" s="23"/>
      <c r="M1103" s="24" t="b">
        <f aca="false">FALSE()</f>
        <v>0</v>
      </c>
      <c r="N1103" s="11"/>
      <c r="O1103" s="11" t="str">
        <f aca="false">IF(K1103&lt;=StockP33,"Low",IF(K1103&lt;=StockP67,"Moderate","High"))</f>
        <v>Low</v>
      </c>
      <c r="P1103" s="11" t="str">
        <f aca="false">IF(H1103=0,"Low",IF(H1103&lt;=MarkdownP75,"Moderate","High"))</f>
        <v>High</v>
      </c>
      <c r="Q1103" s="11" t="str">
        <f aca="false">IF(ISBLANK(L1103),"Unknown",IF(L1103&gt;=4,"Good",IF(L1103&lt;=2,"Poor","Neutral")))</f>
        <v>Unknown</v>
      </c>
      <c r="R1103" s="11" t="str">
        <f aca="false">IF(AND(O1103="Low",P1103="Low",Q1103="Good"),"BUY / PRIORITIZE",IF(AND(O1103="High",P1103="High",OR(Q1103="Poor",M1103=TRUE())),"HOLD / REVIEW","MONITOR"))</f>
        <v>MONITOR</v>
      </c>
      <c r="S1103" s="11" t="n">
        <f aca="false">K1103+(ROW()/10000000)</f>
        <v>5.0001103</v>
      </c>
    </row>
    <row r="1104" customFormat="false" ht="15" hidden="false" customHeight="false" outlineLevel="0" collapsed="false">
      <c r="A1104" s="11" t="s">
        <v>1391</v>
      </c>
      <c r="B1104" s="11" t="s">
        <v>8</v>
      </c>
      <c r="C1104" s="11" t="s">
        <v>116</v>
      </c>
      <c r="D1104" s="11" t="s">
        <v>36</v>
      </c>
      <c r="E1104" s="11"/>
      <c r="F1104" s="11" t="s">
        <v>82</v>
      </c>
      <c r="G1104" s="21" t="n">
        <v>79.6</v>
      </c>
      <c r="H1104" s="19" t="n">
        <v>0</v>
      </c>
      <c r="I1104" s="21" t="n">
        <v>79.6</v>
      </c>
      <c r="J1104" s="22" t="s">
        <v>80</v>
      </c>
      <c r="K1104" s="11" t="n">
        <v>22</v>
      </c>
      <c r="L1104" s="23"/>
      <c r="M1104" s="24" t="b">
        <f aca="false">FALSE()</f>
        <v>0</v>
      </c>
      <c r="N1104" s="11"/>
      <c r="O1104" s="11" t="str">
        <f aca="false">IF(K1104&lt;=StockP33,"Low",IF(K1104&lt;=StockP67,"Moderate","High"))</f>
        <v>Moderate</v>
      </c>
      <c r="P1104" s="11" t="str">
        <f aca="false">IF(H1104=0,"Low",IF(H1104&lt;=MarkdownP75,"Moderate","High"))</f>
        <v>Low</v>
      </c>
      <c r="Q1104" s="11" t="str">
        <f aca="false">IF(ISBLANK(L1104),"Unknown",IF(L1104&gt;=4,"Good",IF(L1104&lt;=2,"Poor","Neutral")))</f>
        <v>Unknown</v>
      </c>
      <c r="R1104" s="11" t="str">
        <f aca="false">IF(AND(O1104="Low",P1104="Low",Q1104="Good"),"BUY / PRIORITIZE",IF(AND(O1104="High",P1104="High",OR(Q1104="Poor",M1104=TRUE())),"HOLD / REVIEW","MONITOR"))</f>
        <v>MONITOR</v>
      </c>
      <c r="S1104" s="11" t="n">
        <f aca="false">K1104+(ROW()/10000000)</f>
        <v>22.0001104</v>
      </c>
    </row>
    <row r="1105" customFormat="false" ht="15" hidden="false" customHeight="false" outlineLevel="0" collapsed="false">
      <c r="A1105" s="11" t="s">
        <v>1392</v>
      </c>
      <c r="B1105" s="11" t="s">
        <v>8</v>
      </c>
      <c r="C1105" s="11" t="s">
        <v>107</v>
      </c>
      <c r="D1105" s="11" t="s">
        <v>36</v>
      </c>
      <c r="E1105" s="11"/>
      <c r="F1105" s="11" t="s">
        <v>111</v>
      </c>
      <c r="G1105" s="21" t="n">
        <v>34.18</v>
      </c>
      <c r="H1105" s="19" t="n">
        <v>18.9</v>
      </c>
      <c r="I1105" s="21" t="n">
        <v>27.72</v>
      </c>
      <c r="J1105" s="22" t="s">
        <v>80</v>
      </c>
      <c r="K1105" s="11" t="n">
        <v>50</v>
      </c>
      <c r="L1105" s="23" t="n">
        <v>3.6</v>
      </c>
      <c r="M1105" s="24" t="b">
        <f aca="false">FALSE()</f>
        <v>0</v>
      </c>
      <c r="N1105" s="11"/>
      <c r="O1105" s="11" t="str">
        <f aca="false">IF(K1105&lt;=StockP33,"Low",IF(K1105&lt;=StockP67,"Moderate","High"))</f>
        <v>High</v>
      </c>
      <c r="P1105" s="11" t="str">
        <f aca="false">IF(H1105=0,"Low",IF(H1105&lt;=MarkdownP75,"Moderate","High"))</f>
        <v>Moderate</v>
      </c>
      <c r="Q1105" s="11" t="str">
        <f aca="false">IF(ISBLANK(L1105),"Unknown",IF(L1105&gt;=4,"Good",IF(L1105&lt;=2,"Poor","Neutral")))</f>
        <v>Neutral</v>
      </c>
      <c r="R1105" s="11" t="str">
        <f aca="false">IF(AND(O1105="Low",P1105="Low",Q1105="Good"),"BUY / PRIORITIZE",IF(AND(O1105="High",P1105="High",OR(Q1105="Poor",M1105=TRUE())),"HOLD / REVIEW","MONITOR"))</f>
        <v>MONITOR</v>
      </c>
      <c r="S1105" s="11" t="n">
        <f aca="false">K1105+(ROW()/10000000)</f>
        <v>50.0001105</v>
      </c>
    </row>
    <row r="1106" customFormat="false" ht="15" hidden="false" customHeight="false" outlineLevel="0" collapsed="false">
      <c r="A1106" s="11" t="s">
        <v>1393</v>
      </c>
      <c r="B1106" s="11" t="s">
        <v>26</v>
      </c>
      <c r="C1106" s="11" t="s">
        <v>116</v>
      </c>
      <c r="D1106" s="11" t="s">
        <v>37</v>
      </c>
      <c r="E1106" s="11" t="s">
        <v>102</v>
      </c>
      <c r="F1106" s="11" t="s">
        <v>96</v>
      </c>
      <c r="G1106" s="21" t="n">
        <v>58.44</v>
      </c>
      <c r="H1106" s="19" t="n">
        <v>0</v>
      </c>
      <c r="I1106" s="21" t="n">
        <v>58.44</v>
      </c>
      <c r="J1106" s="22" t="s">
        <v>80</v>
      </c>
      <c r="K1106" s="11" t="n">
        <v>3</v>
      </c>
      <c r="L1106" s="23" t="n">
        <v>2.6</v>
      </c>
      <c r="M1106" s="24" t="b">
        <f aca="false">TRUE()</f>
        <v>1</v>
      </c>
      <c r="N1106" s="11" t="s">
        <v>191</v>
      </c>
      <c r="O1106" s="11" t="str">
        <f aca="false">IF(K1106&lt;=StockP33,"Low",IF(K1106&lt;=StockP67,"Moderate","High"))</f>
        <v>Low</v>
      </c>
      <c r="P1106" s="11" t="str">
        <f aca="false">IF(H1106=0,"Low",IF(H1106&lt;=MarkdownP75,"Moderate","High"))</f>
        <v>Low</v>
      </c>
      <c r="Q1106" s="11" t="str">
        <f aca="false">IF(ISBLANK(L1106),"Unknown",IF(L1106&gt;=4,"Good",IF(L1106&lt;=2,"Poor","Neutral")))</f>
        <v>Neutral</v>
      </c>
      <c r="R1106" s="11" t="str">
        <f aca="false">IF(AND(O1106="Low",P1106="Low",Q1106="Good"),"BUY / PRIORITIZE",IF(AND(O1106="High",P1106="High",OR(Q1106="Poor",M1106=TRUE())),"HOLD / REVIEW","MONITOR"))</f>
        <v>MONITOR</v>
      </c>
      <c r="S1106" s="11" t="n">
        <f aca="false">K1106+(ROW()/10000000)</f>
        <v>3.0001106</v>
      </c>
    </row>
    <row r="1107" customFormat="false" ht="15" hidden="false" customHeight="false" outlineLevel="0" collapsed="false">
      <c r="A1107" s="11" t="s">
        <v>1394</v>
      </c>
      <c r="B1107" s="11" t="s">
        <v>8</v>
      </c>
      <c r="C1107" s="11" t="s">
        <v>72</v>
      </c>
      <c r="D1107" s="11" t="s">
        <v>35</v>
      </c>
      <c r="E1107" s="11"/>
      <c r="F1107" s="11" t="s">
        <v>118</v>
      </c>
      <c r="G1107" s="21" t="n">
        <v>30.62</v>
      </c>
      <c r="H1107" s="19" t="n">
        <v>0</v>
      </c>
      <c r="I1107" s="21" t="n">
        <v>30.62</v>
      </c>
      <c r="J1107" s="22" t="s">
        <v>80</v>
      </c>
      <c r="K1107" s="11" t="n">
        <v>31</v>
      </c>
      <c r="L1107" s="23" t="n">
        <v>3</v>
      </c>
      <c r="M1107" s="24" t="b">
        <f aca="false">TRUE()</f>
        <v>1</v>
      </c>
      <c r="N1107" s="11" t="s">
        <v>134</v>
      </c>
      <c r="O1107" s="11" t="str">
        <f aca="false">IF(K1107&lt;=StockP33,"Low",IF(K1107&lt;=StockP67,"Moderate","High"))</f>
        <v>Moderate</v>
      </c>
      <c r="P1107" s="11" t="str">
        <f aca="false">IF(H1107=0,"Low",IF(H1107&lt;=MarkdownP75,"Moderate","High"))</f>
        <v>Low</v>
      </c>
      <c r="Q1107" s="11" t="str">
        <f aca="false">IF(ISBLANK(L1107),"Unknown",IF(L1107&gt;=4,"Good",IF(L1107&lt;=2,"Poor","Neutral")))</f>
        <v>Neutral</v>
      </c>
      <c r="R1107" s="11" t="str">
        <f aca="false">IF(AND(O1107="Low",P1107="Low",Q1107="Good"),"BUY / PRIORITIZE",IF(AND(O1107="High",P1107="High",OR(Q1107="Poor",M1107=TRUE())),"HOLD / REVIEW","MONITOR"))</f>
        <v>MONITOR</v>
      </c>
      <c r="S1107" s="11" t="n">
        <f aca="false">K1107+(ROW()/10000000)</f>
        <v>31.0001107</v>
      </c>
    </row>
    <row r="1108" customFormat="false" ht="15" hidden="false" customHeight="false" outlineLevel="0" collapsed="false">
      <c r="A1108" s="11" t="s">
        <v>1395</v>
      </c>
      <c r="B1108" s="11" t="s">
        <v>28</v>
      </c>
      <c r="C1108" s="11" t="s">
        <v>77</v>
      </c>
      <c r="D1108" s="11" t="s">
        <v>36</v>
      </c>
      <c r="E1108" s="11" t="s">
        <v>102</v>
      </c>
      <c r="F1108" s="11" t="s">
        <v>120</v>
      </c>
      <c r="G1108" s="21" t="n">
        <v>213.94</v>
      </c>
      <c r="H1108" s="19" t="n">
        <v>0</v>
      </c>
      <c r="I1108" s="21" t="n">
        <v>213.94</v>
      </c>
      <c r="J1108" s="22" t="s">
        <v>80</v>
      </c>
      <c r="K1108" s="11" t="n">
        <v>16</v>
      </c>
      <c r="L1108" s="23" t="n">
        <v>4.7</v>
      </c>
      <c r="M1108" s="24" t="b">
        <f aca="false">FALSE()</f>
        <v>0</v>
      </c>
      <c r="N1108" s="11"/>
      <c r="O1108" s="11" t="str">
        <f aca="false">IF(K1108&lt;=StockP33,"Low",IF(K1108&lt;=StockP67,"Moderate","High"))</f>
        <v>Low</v>
      </c>
      <c r="P1108" s="11" t="str">
        <f aca="false">IF(H1108=0,"Low",IF(H1108&lt;=MarkdownP75,"Moderate","High"))</f>
        <v>Low</v>
      </c>
      <c r="Q1108" s="11" t="str">
        <f aca="false">IF(ISBLANK(L1108),"Unknown",IF(L1108&gt;=4,"Good",IF(L1108&lt;=2,"Poor","Neutral")))</f>
        <v>Good</v>
      </c>
      <c r="R1108" s="11" t="str">
        <f aca="false">IF(AND(O1108="Low",P1108="Low",Q1108="Good"),"BUY / PRIORITIZE",IF(AND(O1108="High",P1108="High",OR(Q1108="Poor",M1108=TRUE())),"HOLD / REVIEW","MONITOR"))</f>
        <v>BUY / PRIORITIZE</v>
      </c>
      <c r="S1108" s="11" t="n">
        <f aca="false">K1108+(ROW()/10000000)</f>
        <v>16.0001108</v>
      </c>
    </row>
    <row r="1109" customFormat="false" ht="15" hidden="false" customHeight="false" outlineLevel="0" collapsed="false">
      <c r="A1109" s="11" t="s">
        <v>1396</v>
      </c>
      <c r="B1109" s="11" t="s">
        <v>26</v>
      </c>
      <c r="C1109" s="11" t="s">
        <v>130</v>
      </c>
      <c r="D1109" s="11" t="s">
        <v>36</v>
      </c>
      <c r="E1109" s="11" t="s">
        <v>73</v>
      </c>
      <c r="F1109" s="11" t="s">
        <v>79</v>
      </c>
      <c r="G1109" s="21" t="n">
        <v>29.31</v>
      </c>
      <c r="H1109" s="19" t="n">
        <v>0</v>
      </c>
      <c r="I1109" s="21" t="n">
        <v>29.31</v>
      </c>
      <c r="J1109" s="22" t="s">
        <v>80</v>
      </c>
      <c r="K1109" s="11" t="n">
        <v>25</v>
      </c>
      <c r="L1109" s="23" t="n">
        <v>4.6</v>
      </c>
      <c r="M1109" s="24" t="b">
        <f aca="false">TRUE()</f>
        <v>1</v>
      </c>
      <c r="N1109" s="11" t="s">
        <v>178</v>
      </c>
      <c r="O1109" s="11" t="str">
        <f aca="false">IF(K1109&lt;=StockP33,"Low",IF(K1109&lt;=StockP67,"Moderate","High"))</f>
        <v>Moderate</v>
      </c>
      <c r="P1109" s="11" t="str">
        <f aca="false">IF(H1109=0,"Low",IF(H1109&lt;=MarkdownP75,"Moderate","High"))</f>
        <v>Low</v>
      </c>
      <c r="Q1109" s="11" t="str">
        <f aca="false">IF(ISBLANK(L1109),"Unknown",IF(L1109&gt;=4,"Good",IF(L1109&lt;=2,"Poor","Neutral")))</f>
        <v>Good</v>
      </c>
      <c r="R1109" s="11" t="str">
        <f aca="false">IF(AND(O1109="Low",P1109="Low",Q1109="Good"),"BUY / PRIORITIZE",IF(AND(O1109="High",P1109="High",OR(Q1109="Poor",M1109=TRUE())),"HOLD / REVIEW","MONITOR"))</f>
        <v>MONITOR</v>
      </c>
      <c r="S1109" s="11" t="n">
        <f aca="false">K1109+(ROW()/10000000)</f>
        <v>25.0001109</v>
      </c>
    </row>
    <row r="1110" customFormat="false" ht="15" hidden="false" customHeight="false" outlineLevel="0" collapsed="false">
      <c r="A1110" s="11" t="s">
        <v>1397</v>
      </c>
      <c r="B1110" s="11" t="s">
        <v>30</v>
      </c>
      <c r="C1110" s="11" t="s">
        <v>130</v>
      </c>
      <c r="D1110" s="11" t="s">
        <v>34</v>
      </c>
      <c r="E1110" s="11" t="s">
        <v>113</v>
      </c>
      <c r="F1110" s="11" t="s">
        <v>74</v>
      </c>
      <c r="G1110" s="21" t="n">
        <v>49.12</v>
      </c>
      <c r="H1110" s="19" t="n">
        <v>0</v>
      </c>
      <c r="I1110" s="21" t="n">
        <v>49.12</v>
      </c>
      <c r="J1110" s="22" t="s">
        <v>1398</v>
      </c>
      <c r="K1110" s="11" t="n">
        <v>47</v>
      </c>
      <c r="L1110" s="23"/>
      <c r="M1110" s="24" t="b">
        <f aca="false">FALSE()</f>
        <v>0</v>
      </c>
      <c r="N1110" s="11"/>
      <c r="O1110" s="11" t="str">
        <f aca="false">IF(K1110&lt;=StockP33,"Low",IF(K1110&lt;=StockP67,"Moderate","High"))</f>
        <v>High</v>
      </c>
      <c r="P1110" s="11" t="str">
        <f aca="false">IF(H1110=0,"Low",IF(H1110&lt;=MarkdownP75,"Moderate","High"))</f>
        <v>Low</v>
      </c>
      <c r="Q1110" s="11" t="str">
        <f aca="false">IF(ISBLANK(L1110),"Unknown",IF(L1110&gt;=4,"Good",IF(L1110&lt;=2,"Poor","Neutral")))</f>
        <v>Unknown</v>
      </c>
      <c r="R1110" s="11" t="str">
        <f aca="false">IF(AND(O1110="Low",P1110="Low",Q1110="Good"),"BUY / PRIORITIZE",IF(AND(O1110="High",P1110="High",OR(Q1110="Poor",M1110=TRUE())),"HOLD / REVIEW","MONITOR"))</f>
        <v>MONITOR</v>
      </c>
      <c r="S1110" s="11" t="n">
        <f aca="false">K1110+(ROW()/10000000)</f>
        <v>47.000111</v>
      </c>
    </row>
    <row r="1111" customFormat="false" ht="15" hidden="false" customHeight="false" outlineLevel="0" collapsed="false">
      <c r="A1111" s="11" t="s">
        <v>1399</v>
      </c>
      <c r="B1111" s="11" t="s">
        <v>26</v>
      </c>
      <c r="C1111" s="11" t="s">
        <v>86</v>
      </c>
      <c r="D1111" s="11" t="s">
        <v>36</v>
      </c>
      <c r="E1111" s="11"/>
      <c r="F1111" s="11" t="s">
        <v>120</v>
      </c>
      <c r="G1111" s="21" t="n">
        <v>113.23</v>
      </c>
      <c r="H1111" s="19" t="n">
        <v>0</v>
      </c>
      <c r="I1111" s="21" t="n">
        <v>113.23</v>
      </c>
      <c r="J1111" s="22" t="s">
        <v>80</v>
      </c>
      <c r="K1111" s="11" t="n">
        <v>13</v>
      </c>
      <c r="L1111" s="23" t="n">
        <v>3.7</v>
      </c>
      <c r="M1111" s="24" t="b">
        <f aca="false">FALSE()</f>
        <v>0</v>
      </c>
      <c r="N1111" s="11"/>
      <c r="O1111" s="11" t="str">
        <f aca="false">IF(K1111&lt;=StockP33,"Low",IF(K1111&lt;=StockP67,"Moderate","High"))</f>
        <v>Low</v>
      </c>
      <c r="P1111" s="11" t="str">
        <f aca="false">IF(H1111=0,"Low",IF(H1111&lt;=MarkdownP75,"Moderate","High"))</f>
        <v>Low</v>
      </c>
      <c r="Q1111" s="11" t="str">
        <f aca="false">IF(ISBLANK(L1111),"Unknown",IF(L1111&gt;=4,"Good",IF(L1111&lt;=2,"Poor","Neutral")))</f>
        <v>Neutral</v>
      </c>
      <c r="R1111" s="11" t="str">
        <f aca="false">IF(AND(O1111="Low",P1111="Low",Q1111="Good"),"BUY / PRIORITIZE",IF(AND(O1111="High",P1111="High",OR(Q1111="Poor",M1111=TRUE())),"HOLD / REVIEW","MONITOR"))</f>
        <v>MONITOR</v>
      </c>
      <c r="S1111" s="11" t="n">
        <f aca="false">K1111+(ROW()/10000000)</f>
        <v>13.0001111</v>
      </c>
    </row>
    <row r="1112" customFormat="false" ht="15" hidden="false" customHeight="false" outlineLevel="0" collapsed="false">
      <c r="A1112" s="11" t="s">
        <v>1400</v>
      </c>
      <c r="B1112" s="11" t="s">
        <v>28</v>
      </c>
      <c r="C1112" s="11" t="s">
        <v>86</v>
      </c>
      <c r="D1112" s="11" t="s">
        <v>34</v>
      </c>
      <c r="E1112" s="11" t="s">
        <v>102</v>
      </c>
      <c r="F1112" s="11" t="s">
        <v>124</v>
      </c>
      <c r="G1112" s="21" t="n">
        <v>103.65</v>
      </c>
      <c r="H1112" s="19" t="n">
        <v>0</v>
      </c>
      <c r="I1112" s="21" t="n">
        <v>103.65</v>
      </c>
      <c r="J1112" s="22" t="s">
        <v>268</v>
      </c>
      <c r="K1112" s="11" t="n">
        <v>4</v>
      </c>
      <c r="L1112" s="23" t="n">
        <v>1</v>
      </c>
      <c r="M1112" s="24" t="b">
        <f aca="false">FALSE()</f>
        <v>0</v>
      </c>
      <c r="N1112" s="11"/>
      <c r="O1112" s="11" t="str">
        <f aca="false">IF(K1112&lt;=StockP33,"Low",IF(K1112&lt;=StockP67,"Moderate","High"))</f>
        <v>Low</v>
      </c>
      <c r="P1112" s="11" t="str">
        <f aca="false">IF(H1112=0,"Low",IF(H1112&lt;=MarkdownP75,"Moderate","High"))</f>
        <v>Low</v>
      </c>
      <c r="Q1112" s="11" t="str">
        <f aca="false">IF(ISBLANK(L1112),"Unknown",IF(L1112&gt;=4,"Good",IF(L1112&lt;=2,"Poor","Neutral")))</f>
        <v>Poor</v>
      </c>
      <c r="R1112" s="11" t="str">
        <f aca="false">IF(AND(O1112="Low",P1112="Low",Q1112="Good"),"BUY / PRIORITIZE",IF(AND(O1112="High",P1112="High",OR(Q1112="Poor",M1112=TRUE())),"HOLD / REVIEW","MONITOR"))</f>
        <v>MONITOR</v>
      </c>
      <c r="S1112" s="11" t="n">
        <f aca="false">K1112+(ROW()/10000000)</f>
        <v>4.0001112</v>
      </c>
    </row>
    <row r="1113" customFormat="false" ht="15" hidden="false" customHeight="false" outlineLevel="0" collapsed="false">
      <c r="A1113" s="11" t="s">
        <v>1401</v>
      </c>
      <c r="B1113" s="11" t="s">
        <v>27</v>
      </c>
      <c r="C1113" s="11" t="s">
        <v>107</v>
      </c>
      <c r="D1113" s="11" t="s">
        <v>36</v>
      </c>
      <c r="E1113" s="11"/>
      <c r="F1113" s="11" t="s">
        <v>92</v>
      </c>
      <c r="G1113" s="21" t="n">
        <v>71.84</v>
      </c>
      <c r="H1113" s="19" t="n">
        <v>49.4</v>
      </c>
      <c r="I1113" s="21" t="n">
        <v>36.35</v>
      </c>
      <c r="J1113" s="22" t="s">
        <v>80</v>
      </c>
      <c r="K1113" s="11" t="n">
        <v>25</v>
      </c>
      <c r="L1113" s="23"/>
      <c r="M1113" s="24" t="b">
        <f aca="false">FALSE()</f>
        <v>0</v>
      </c>
      <c r="N1113" s="11"/>
      <c r="O1113" s="11" t="str">
        <f aca="false">IF(K1113&lt;=StockP33,"Low",IF(K1113&lt;=StockP67,"Moderate","High"))</f>
        <v>Moderate</v>
      </c>
      <c r="P1113" s="11" t="str">
        <f aca="false">IF(H1113=0,"Low",IF(H1113&lt;=MarkdownP75,"Moderate","High"))</f>
        <v>High</v>
      </c>
      <c r="Q1113" s="11" t="str">
        <f aca="false">IF(ISBLANK(L1113),"Unknown",IF(L1113&gt;=4,"Good",IF(L1113&lt;=2,"Poor","Neutral")))</f>
        <v>Unknown</v>
      </c>
      <c r="R1113" s="11" t="str">
        <f aca="false">IF(AND(O1113="Low",P1113="Low",Q1113="Good"),"BUY / PRIORITIZE",IF(AND(O1113="High",P1113="High",OR(Q1113="Poor",M1113=TRUE())),"HOLD / REVIEW","MONITOR"))</f>
        <v>MONITOR</v>
      </c>
      <c r="S1113" s="11" t="n">
        <f aca="false">K1113+(ROW()/10000000)</f>
        <v>25.0001113</v>
      </c>
    </row>
    <row r="1114" customFormat="false" ht="15" hidden="false" customHeight="false" outlineLevel="0" collapsed="false">
      <c r="A1114" s="11" t="s">
        <v>1402</v>
      </c>
      <c r="B1114" s="11" t="s">
        <v>29</v>
      </c>
      <c r="C1114" s="11" t="s">
        <v>72</v>
      </c>
      <c r="D1114" s="11" t="s">
        <v>37</v>
      </c>
      <c r="E1114" s="11" t="s">
        <v>78</v>
      </c>
      <c r="F1114" s="11" t="s">
        <v>92</v>
      </c>
      <c r="G1114" s="21" t="n">
        <v>128.31</v>
      </c>
      <c r="H1114" s="19" t="n">
        <v>0</v>
      </c>
      <c r="I1114" s="21" t="n">
        <v>128.31</v>
      </c>
      <c r="J1114" s="22" t="s">
        <v>80</v>
      </c>
      <c r="K1114" s="11" t="n">
        <v>36</v>
      </c>
      <c r="L1114" s="23" t="n">
        <v>4</v>
      </c>
      <c r="M1114" s="24" t="b">
        <f aca="false">TRUE()</f>
        <v>1</v>
      </c>
      <c r="N1114" s="11" t="s">
        <v>178</v>
      </c>
      <c r="O1114" s="11" t="str">
        <f aca="false">IF(K1114&lt;=StockP33,"Low",IF(K1114&lt;=StockP67,"Moderate","High"))</f>
        <v>High</v>
      </c>
      <c r="P1114" s="11" t="str">
        <f aca="false">IF(H1114=0,"Low",IF(H1114&lt;=MarkdownP75,"Moderate","High"))</f>
        <v>Low</v>
      </c>
      <c r="Q1114" s="11" t="str">
        <f aca="false">IF(ISBLANK(L1114),"Unknown",IF(L1114&gt;=4,"Good",IF(L1114&lt;=2,"Poor","Neutral")))</f>
        <v>Good</v>
      </c>
      <c r="R1114" s="11" t="str">
        <f aca="false">IF(AND(O1114="Low",P1114="Low",Q1114="Good"),"BUY / PRIORITIZE",IF(AND(O1114="High",P1114="High",OR(Q1114="Poor",M1114=TRUE())),"HOLD / REVIEW","MONITOR"))</f>
        <v>MONITOR</v>
      </c>
      <c r="S1114" s="11" t="n">
        <f aca="false">K1114+(ROW()/10000000)</f>
        <v>36.0001114</v>
      </c>
    </row>
    <row r="1115" customFormat="false" ht="15" hidden="false" customHeight="false" outlineLevel="0" collapsed="false">
      <c r="A1115" s="11" t="s">
        <v>1403</v>
      </c>
      <c r="B1115" s="11" t="s">
        <v>29</v>
      </c>
      <c r="C1115" s="11" t="s">
        <v>130</v>
      </c>
      <c r="D1115" s="11" t="s">
        <v>37</v>
      </c>
      <c r="E1115" s="11" t="s">
        <v>78</v>
      </c>
      <c r="F1115" s="11" t="s">
        <v>96</v>
      </c>
      <c r="G1115" s="21" t="n">
        <v>118.97</v>
      </c>
      <c r="H1115" s="19" t="n">
        <v>0</v>
      </c>
      <c r="I1115" s="21" t="n">
        <v>118.97</v>
      </c>
      <c r="J1115" s="22" t="s">
        <v>80</v>
      </c>
      <c r="K1115" s="11" t="n">
        <v>45</v>
      </c>
      <c r="L1115" s="23" t="n">
        <v>3.8</v>
      </c>
      <c r="M1115" s="24" t="b">
        <f aca="false">FALSE()</f>
        <v>0</v>
      </c>
      <c r="N1115" s="11"/>
      <c r="O1115" s="11" t="str">
        <f aca="false">IF(K1115&lt;=StockP33,"Low",IF(K1115&lt;=StockP67,"Moderate","High"))</f>
        <v>High</v>
      </c>
      <c r="P1115" s="11" t="str">
        <f aca="false">IF(H1115=0,"Low",IF(H1115&lt;=MarkdownP75,"Moderate","High"))</f>
        <v>Low</v>
      </c>
      <c r="Q1115" s="11" t="str">
        <f aca="false">IF(ISBLANK(L1115),"Unknown",IF(L1115&gt;=4,"Good",IF(L1115&lt;=2,"Poor","Neutral")))</f>
        <v>Neutral</v>
      </c>
      <c r="R1115" s="11" t="str">
        <f aca="false">IF(AND(O1115="Low",P1115="Low",Q1115="Good"),"BUY / PRIORITIZE",IF(AND(O1115="High",P1115="High",OR(Q1115="Poor",M1115=TRUE())),"HOLD / REVIEW","MONITOR"))</f>
        <v>MONITOR</v>
      </c>
      <c r="S1115" s="11" t="n">
        <f aca="false">K1115+(ROW()/10000000)</f>
        <v>45.0001115</v>
      </c>
    </row>
    <row r="1116" customFormat="false" ht="15" hidden="false" customHeight="false" outlineLevel="0" collapsed="false">
      <c r="A1116" s="11" t="s">
        <v>1404</v>
      </c>
      <c r="B1116" s="11" t="s">
        <v>26</v>
      </c>
      <c r="C1116" s="11" t="s">
        <v>72</v>
      </c>
      <c r="D1116" s="11" t="s">
        <v>37</v>
      </c>
      <c r="E1116" s="11" t="s">
        <v>91</v>
      </c>
      <c r="F1116" s="11" t="s">
        <v>74</v>
      </c>
      <c r="G1116" s="21" t="n">
        <v>31.98</v>
      </c>
      <c r="H1116" s="19" t="n">
        <v>16.5</v>
      </c>
      <c r="I1116" s="21" t="n">
        <v>26.7</v>
      </c>
      <c r="J1116" s="22" t="s">
        <v>80</v>
      </c>
      <c r="K1116" s="11" t="n">
        <v>48</v>
      </c>
      <c r="L1116" s="23" t="n">
        <v>1.8</v>
      </c>
      <c r="M1116" s="24" t="b">
        <f aca="false">FALSE()</f>
        <v>0</v>
      </c>
      <c r="N1116" s="11"/>
      <c r="O1116" s="11" t="str">
        <f aca="false">IF(K1116&lt;=StockP33,"Low",IF(K1116&lt;=StockP67,"Moderate","High"))</f>
        <v>High</v>
      </c>
      <c r="P1116" s="11" t="str">
        <f aca="false">IF(H1116=0,"Low",IF(H1116&lt;=MarkdownP75,"Moderate","High"))</f>
        <v>Moderate</v>
      </c>
      <c r="Q1116" s="11" t="str">
        <f aca="false">IF(ISBLANK(L1116),"Unknown",IF(L1116&gt;=4,"Good",IF(L1116&lt;=2,"Poor","Neutral")))</f>
        <v>Poor</v>
      </c>
      <c r="R1116" s="11" t="str">
        <f aca="false">IF(AND(O1116="Low",P1116="Low",Q1116="Good"),"BUY / PRIORITIZE",IF(AND(O1116="High",P1116="High",OR(Q1116="Poor",M1116=TRUE())),"HOLD / REVIEW","MONITOR"))</f>
        <v>MONITOR</v>
      </c>
      <c r="S1116" s="11" t="n">
        <f aca="false">K1116+(ROW()/10000000)</f>
        <v>48.0001116</v>
      </c>
    </row>
    <row r="1117" customFormat="false" ht="15" hidden="false" customHeight="false" outlineLevel="0" collapsed="false">
      <c r="A1117" s="11" t="s">
        <v>1405</v>
      </c>
      <c r="B1117" s="11" t="s">
        <v>30</v>
      </c>
      <c r="C1117" s="11" t="s">
        <v>86</v>
      </c>
      <c r="D1117" s="11" t="s">
        <v>37</v>
      </c>
      <c r="E1117" s="11" t="s">
        <v>102</v>
      </c>
      <c r="F1117" s="11" t="s">
        <v>120</v>
      </c>
      <c r="G1117" s="21" t="n">
        <v>115.89</v>
      </c>
      <c r="H1117" s="19" t="n">
        <v>26.8</v>
      </c>
      <c r="I1117" s="21" t="n">
        <v>84.83</v>
      </c>
      <c r="J1117" s="22" t="s">
        <v>80</v>
      </c>
      <c r="K1117" s="11" t="n">
        <v>26</v>
      </c>
      <c r="L1117" s="23" t="n">
        <v>4.6</v>
      </c>
      <c r="M1117" s="24" t="b">
        <f aca="false">FALSE()</f>
        <v>0</v>
      </c>
      <c r="N1117" s="11"/>
      <c r="O1117" s="11" t="str">
        <f aca="false">IF(K1117&lt;=StockP33,"Low",IF(K1117&lt;=StockP67,"Moderate","High"))</f>
        <v>Moderate</v>
      </c>
      <c r="P1117" s="11" t="str">
        <f aca="false">IF(H1117=0,"Low",IF(H1117&lt;=MarkdownP75,"Moderate","High"))</f>
        <v>High</v>
      </c>
      <c r="Q1117" s="11" t="str">
        <f aca="false">IF(ISBLANK(L1117),"Unknown",IF(L1117&gt;=4,"Good",IF(L1117&lt;=2,"Poor","Neutral")))</f>
        <v>Good</v>
      </c>
      <c r="R1117" s="11" t="str">
        <f aca="false">IF(AND(O1117="Low",P1117="Low",Q1117="Good"),"BUY / PRIORITIZE",IF(AND(O1117="High",P1117="High",OR(Q1117="Poor",M1117=TRUE())),"HOLD / REVIEW","MONITOR"))</f>
        <v>MONITOR</v>
      </c>
      <c r="S1117" s="11" t="n">
        <f aca="false">K1117+(ROW()/10000000)</f>
        <v>26.0001117</v>
      </c>
    </row>
    <row r="1118" customFormat="false" ht="15" hidden="false" customHeight="false" outlineLevel="0" collapsed="false">
      <c r="A1118" s="11" t="s">
        <v>1406</v>
      </c>
      <c r="B1118" s="11" t="s">
        <v>27</v>
      </c>
      <c r="C1118" s="11" t="s">
        <v>107</v>
      </c>
      <c r="D1118" s="11" t="s">
        <v>36</v>
      </c>
      <c r="E1118" s="11" t="s">
        <v>73</v>
      </c>
      <c r="F1118" s="11" t="s">
        <v>79</v>
      </c>
      <c r="G1118" s="21" t="n">
        <v>140.06</v>
      </c>
      <c r="H1118" s="19" t="n">
        <v>0</v>
      </c>
      <c r="I1118" s="21" t="n">
        <v>140.06</v>
      </c>
      <c r="J1118" s="22" t="s">
        <v>80</v>
      </c>
      <c r="K1118" s="11" t="n">
        <v>37</v>
      </c>
      <c r="L1118" s="23" t="n">
        <v>2.3</v>
      </c>
      <c r="M1118" s="24" t="b">
        <f aca="false">FALSE()</f>
        <v>0</v>
      </c>
      <c r="N1118" s="11"/>
      <c r="O1118" s="11" t="str">
        <f aca="false">IF(K1118&lt;=StockP33,"Low",IF(K1118&lt;=StockP67,"Moderate","High"))</f>
        <v>High</v>
      </c>
      <c r="P1118" s="11" t="str">
        <f aca="false">IF(H1118=0,"Low",IF(H1118&lt;=MarkdownP75,"Moderate","High"))</f>
        <v>Low</v>
      </c>
      <c r="Q1118" s="11" t="str">
        <f aca="false">IF(ISBLANK(L1118),"Unknown",IF(L1118&gt;=4,"Good",IF(L1118&lt;=2,"Poor","Neutral")))</f>
        <v>Neutral</v>
      </c>
      <c r="R1118" s="11" t="str">
        <f aca="false">IF(AND(O1118="Low",P1118="Low",Q1118="Good"),"BUY / PRIORITIZE",IF(AND(O1118="High",P1118="High",OR(Q1118="Poor",M1118=TRUE())),"HOLD / REVIEW","MONITOR"))</f>
        <v>MONITOR</v>
      </c>
      <c r="S1118" s="11" t="n">
        <f aca="false">K1118+(ROW()/10000000)</f>
        <v>37.0001118</v>
      </c>
    </row>
    <row r="1119" customFormat="false" ht="15" hidden="false" customHeight="false" outlineLevel="0" collapsed="false">
      <c r="A1119" s="11" t="s">
        <v>1407</v>
      </c>
      <c r="B1119" s="11" t="s">
        <v>29</v>
      </c>
      <c r="C1119" s="11" t="s">
        <v>95</v>
      </c>
      <c r="D1119" s="11" t="s">
        <v>36</v>
      </c>
      <c r="E1119" s="11" t="s">
        <v>110</v>
      </c>
      <c r="F1119" s="11" t="s">
        <v>79</v>
      </c>
      <c r="G1119" s="21" t="n">
        <v>154.82</v>
      </c>
      <c r="H1119" s="19" t="n">
        <v>0</v>
      </c>
      <c r="I1119" s="21" t="n">
        <v>154.82</v>
      </c>
      <c r="J1119" s="22" t="s">
        <v>80</v>
      </c>
      <c r="K1119" s="11" t="n">
        <v>10</v>
      </c>
      <c r="L1119" s="23" t="n">
        <v>4.1</v>
      </c>
      <c r="M1119" s="24" t="b">
        <f aca="false">FALSE()</f>
        <v>0</v>
      </c>
      <c r="N1119" s="11"/>
      <c r="O1119" s="11" t="str">
        <f aca="false">IF(K1119&lt;=StockP33,"Low",IF(K1119&lt;=StockP67,"Moderate","High"))</f>
        <v>Low</v>
      </c>
      <c r="P1119" s="11" t="str">
        <f aca="false">IF(H1119=0,"Low",IF(H1119&lt;=MarkdownP75,"Moderate","High"))</f>
        <v>Low</v>
      </c>
      <c r="Q1119" s="11" t="str">
        <f aca="false">IF(ISBLANK(L1119),"Unknown",IF(L1119&gt;=4,"Good",IF(L1119&lt;=2,"Poor","Neutral")))</f>
        <v>Good</v>
      </c>
      <c r="R1119" s="11" t="str">
        <f aca="false">IF(AND(O1119="Low",P1119="Low",Q1119="Good"),"BUY / PRIORITIZE",IF(AND(O1119="High",P1119="High",OR(Q1119="Poor",M1119=TRUE())),"HOLD / REVIEW","MONITOR"))</f>
        <v>BUY / PRIORITIZE</v>
      </c>
      <c r="S1119" s="11" t="n">
        <f aca="false">K1119+(ROW()/10000000)</f>
        <v>10.0001119</v>
      </c>
    </row>
    <row r="1120" customFormat="false" ht="15" hidden="false" customHeight="false" outlineLevel="0" collapsed="false">
      <c r="A1120" s="11" t="s">
        <v>1408</v>
      </c>
      <c r="B1120" s="11" t="s">
        <v>27</v>
      </c>
      <c r="C1120" s="11" t="s">
        <v>77</v>
      </c>
      <c r="D1120" s="11" t="s">
        <v>37</v>
      </c>
      <c r="E1120" s="11" t="s">
        <v>73</v>
      </c>
      <c r="F1120" s="11" t="s">
        <v>96</v>
      </c>
      <c r="G1120" s="21" t="n">
        <v>114.21</v>
      </c>
      <c r="H1120" s="19" t="n">
        <v>20.2</v>
      </c>
      <c r="I1120" s="21" t="n">
        <v>91.14</v>
      </c>
      <c r="J1120" s="22" t="s">
        <v>80</v>
      </c>
      <c r="K1120" s="11" t="n">
        <v>5</v>
      </c>
      <c r="L1120" s="23" t="n">
        <v>2</v>
      </c>
      <c r="M1120" s="24" t="b">
        <f aca="false">TRUE()</f>
        <v>1</v>
      </c>
      <c r="N1120" s="11" t="s">
        <v>191</v>
      </c>
      <c r="O1120" s="11" t="str">
        <f aca="false">IF(K1120&lt;=StockP33,"Low",IF(K1120&lt;=StockP67,"Moderate","High"))</f>
        <v>Low</v>
      </c>
      <c r="P1120" s="11" t="str">
        <f aca="false">IF(H1120=0,"Low",IF(H1120&lt;=MarkdownP75,"Moderate","High"))</f>
        <v>Moderate</v>
      </c>
      <c r="Q1120" s="11" t="str">
        <f aca="false">IF(ISBLANK(L1120),"Unknown",IF(L1120&gt;=4,"Good",IF(L1120&lt;=2,"Poor","Neutral")))</f>
        <v>Poor</v>
      </c>
      <c r="R1120" s="11" t="str">
        <f aca="false">IF(AND(O1120="Low",P1120="Low",Q1120="Good"),"BUY / PRIORITIZE",IF(AND(O1120="High",P1120="High",OR(Q1120="Poor",M1120=TRUE())),"HOLD / REVIEW","MONITOR"))</f>
        <v>MONITOR</v>
      </c>
      <c r="S1120" s="11" t="n">
        <f aca="false">K1120+(ROW()/10000000)</f>
        <v>5.000112</v>
      </c>
    </row>
    <row r="1121" customFormat="false" ht="15" hidden="false" customHeight="false" outlineLevel="0" collapsed="false">
      <c r="A1121" s="11" t="s">
        <v>1409</v>
      </c>
      <c r="B1121" s="11" t="s">
        <v>29</v>
      </c>
      <c r="C1121" s="11" t="s">
        <v>72</v>
      </c>
      <c r="D1121" s="11" t="s">
        <v>37</v>
      </c>
      <c r="E1121" s="11" t="s">
        <v>73</v>
      </c>
      <c r="F1121" s="11" t="s">
        <v>96</v>
      </c>
      <c r="G1121" s="21" t="n">
        <v>114.84</v>
      </c>
      <c r="H1121" s="19" t="n">
        <v>0</v>
      </c>
      <c r="I1121" s="21" t="n">
        <v>114.84</v>
      </c>
      <c r="J1121" s="22" t="s">
        <v>80</v>
      </c>
      <c r="K1121" s="11" t="n">
        <v>38</v>
      </c>
      <c r="L1121" s="23" t="n">
        <v>2.6</v>
      </c>
      <c r="M1121" s="24" t="b">
        <f aca="false">TRUE()</f>
        <v>1</v>
      </c>
      <c r="N1121" s="11" t="s">
        <v>89</v>
      </c>
      <c r="O1121" s="11" t="str">
        <f aca="false">IF(K1121&lt;=StockP33,"Low",IF(K1121&lt;=StockP67,"Moderate","High"))</f>
        <v>High</v>
      </c>
      <c r="P1121" s="11" t="str">
        <f aca="false">IF(H1121=0,"Low",IF(H1121&lt;=MarkdownP75,"Moderate","High"))</f>
        <v>Low</v>
      </c>
      <c r="Q1121" s="11" t="str">
        <f aca="false">IF(ISBLANK(L1121),"Unknown",IF(L1121&gt;=4,"Good",IF(L1121&lt;=2,"Poor","Neutral")))</f>
        <v>Neutral</v>
      </c>
      <c r="R1121" s="11" t="str">
        <f aca="false">IF(AND(O1121="Low",P1121="Low",Q1121="Good"),"BUY / PRIORITIZE",IF(AND(O1121="High",P1121="High",OR(Q1121="Poor",M1121=TRUE())),"HOLD / REVIEW","MONITOR"))</f>
        <v>MONITOR</v>
      </c>
      <c r="S1121" s="11" t="n">
        <f aca="false">K1121+(ROW()/10000000)</f>
        <v>38.0001121</v>
      </c>
    </row>
    <row r="1122" customFormat="false" ht="15" hidden="false" customHeight="false" outlineLevel="0" collapsed="false">
      <c r="A1122" s="11" t="s">
        <v>1410</v>
      </c>
      <c r="B1122" s="11" t="s">
        <v>27</v>
      </c>
      <c r="C1122" s="11" t="s">
        <v>95</v>
      </c>
      <c r="D1122" s="11" t="s">
        <v>37</v>
      </c>
      <c r="E1122" s="11" t="s">
        <v>73</v>
      </c>
      <c r="F1122" s="11" t="s">
        <v>118</v>
      </c>
      <c r="G1122" s="21" t="n">
        <v>131.32</v>
      </c>
      <c r="H1122" s="19" t="n">
        <v>6.8</v>
      </c>
      <c r="I1122" s="21" t="n">
        <v>122.39</v>
      </c>
      <c r="J1122" s="22" t="s">
        <v>80</v>
      </c>
      <c r="K1122" s="11" t="n">
        <v>18</v>
      </c>
      <c r="L1122" s="23" t="n">
        <v>2</v>
      </c>
      <c r="M1122" s="24" t="b">
        <f aca="false">FALSE()</f>
        <v>0</v>
      </c>
      <c r="N1122" s="11"/>
      <c r="O1122" s="11" t="str">
        <f aca="false">IF(K1122&lt;=StockP33,"Low",IF(K1122&lt;=StockP67,"Moderate","High"))</f>
        <v>Moderate</v>
      </c>
      <c r="P1122" s="11" t="str">
        <f aca="false">IF(H1122=0,"Low",IF(H1122&lt;=MarkdownP75,"Moderate","High"))</f>
        <v>Moderate</v>
      </c>
      <c r="Q1122" s="11" t="str">
        <f aca="false">IF(ISBLANK(L1122),"Unknown",IF(L1122&gt;=4,"Good",IF(L1122&lt;=2,"Poor","Neutral")))</f>
        <v>Poor</v>
      </c>
      <c r="R1122" s="11" t="str">
        <f aca="false">IF(AND(O1122="Low",P1122="Low",Q1122="Good"),"BUY / PRIORITIZE",IF(AND(O1122="High",P1122="High",OR(Q1122="Poor",M1122=TRUE())),"HOLD / REVIEW","MONITOR"))</f>
        <v>MONITOR</v>
      </c>
      <c r="S1122" s="11" t="n">
        <f aca="false">K1122+(ROW()/10000000)</f>
        <v>18.0001122</v>
      </c>
    </row>
    <row r="1123" customFormat="false" ht="15" hidden="false" customHeight="false" outlineLevel="0" collapsed="false">
      <c r="A1123" s="11" t="s">
        <v>1411</v>
      </c>
      <c r="B1123" s="11" t="s">
        <v>30</v>
      </c>
      <c r="C1123" s="11" t="s">
        <v>95</v>
      </c>
      <c r="D1123" s="11" t="s">
        <v>36</v>
      </c>
      <c r="E1123" s="11" t="s">
        <v>91</v>
      </c>
      <c r="F1123" s="11" t="s">
        <v>79</v>
      </c>
      <c r="G1123" s="21" t="n">
        <v>91.41</v>
      </c>
      <c r="H1123" s="19" t="n">
        <v>32.1</v>
      </c>
      <c r="I1123" s="21" t="n">
        <v>62.07</v>
      </c>
      <c r="J1123" s="22" t="s">
        <v>80</v>
      </c>
      <c r="K1123" s="11" t="n">
        <v>49</v>
      </c>
      <c r="L1123" s="23" t="n">
        <v>2.3</v>
      </c>
      <c r="M1123" s="24" t="b">
        <f aca="false">FALSE()</f>
        <v>0</v>
      </c>
      <c r="N1123" s="11"/>
      <c r="O1123" s="11" t="str">
        <f aca="false">IF(K1123&lt;=StockP33,"Low",IF(K1123&lt;=StockP67,"Moderate","High"))</f>
        <v>High</v>
      </c>
      <c r="P1123" s="11" t="str">
        <f aca="false">IF(H1123=0,"Low",IF(H1123&lt;=MarkdownP75,"Moderate","High"))</f>
        <v>High</v>
      </c>
      <c r="Q1123" s="11" t="str">
        <f aca="false">IF(ISBLANK(L1123),"Unknown",IF(L1123&gt;=4,"Good",IF(L1123&lt;=2,"Poor","Neutral")))</f>
        <v>Neutral</v>
      </c>
      <c r="R1123" s="11" t="str">
        <f aca="false">IF(AND(O1123="Low",P1123="Low",Q1123="Good"),"BUY / PRIORITIZE",IF(AND(O1123="High",P1123="High",OR(Q1123="Poor",M1123=TRUE())),"HOLD / REVIEW","MONITOR"))</f>
        <v>MONITOR</v>
      </c>
      <c r="S1123" s="11" t="n">
        <f aca="false">K1123+(ROW()/10000000)</f>
        <v>49.0001123</v>
      </c>
    </row>
    <row r="1124" customFormat="false" ht="15" hidden="false" customHeight="false" outlineLevel="0" collapsed="false">
      <c r="A1124" s="11" t="s">
        <v>1412</v>
      </c>
      <c r="B1124" s="11" t="s">
        <v>28</v>
      </c>
      <c r="C1124" s="11" t="s">
        <v>116</v>
      </c>
      <c r="D1124" s="11" t="s">
        <v>36</v>
      </c>
      <c r="E1124" s="11" t="s">
        <v>110</v>
      </c>
      <c r="F1124" s="11" t="s">
        <v>82</v>
      </c>
      <c r="G1124" s="21" t="n">
        <v>202.28</v>
      </c>
      <c r="H1124" s="19" t="n">
        <v>0</v>
      </c>
      <c r="I1124" s="21" t="n">
        <v>202.28</v>
      </c>
      <c r="J1124" s="22" t="s">
        <v>80</v>
      </c>
      <c r="K1124" s="11" t="n">
        <v>4</v>
      </c>
      <c r="L1124" s="23"/>
      <c r="M1124" s="24" t="b">
        <f aca="false">FALSE()</f>
        <v>0</v>
      </c>
      <c r="N1124" s="11"/>
      <c r="O1124" s="11" t="str">
        <f aca="false">IF(K1124&lt;=StockP33,"Low",IF(K1124&lt;=StockP67,"Moderate","High"))</f>
        <v>Low</v>
      </c>
      <c r="P1124" s="11" t="str">
        <f aca="false">IF(H1124=0,"Low",IF(H1124&lt;=MarkdownP75,"Moderate","High"))</f>
        <v>Low</v>
      </c>
      <c r="Q1124" s="11" t="str">
        <f aca="false">IF(ISBLANK(L1124),"Unknown",IF(L1124&gt;=4,"Good",IF(L1124&lt;=2,"Poor","Neutral")))</f>
        <v>Unknown</v>
      </c>
      <c r="R1124" s="11" t="str">
        <f aca="false">IF(AND(O1124="Low",P1124="Low",Q1124="Good"),"BUY / PRIORITIZE",IF(AND(O1124="High",P1124="High",OR(Q1124="Poor",M1124=TRUE())),"HOLD / REVIEW","MONITOR"))</f>
        <v>MONITOR</v>
      </c>
      <c r="S1124" s="11" t="n">
        <f aca="false">K1124+(ROW()/10000000)</f>
        <v>4.0001124</v>
      </c>
    </row>
    <row r="1125" customFormat="false" ht="15" hidden="false" customHeight="false" outlineLevel="0" collapsed="false">
      <c r="A1125" s="11" t="s">
        <v>1413</v>
      </c>
      <c r="B1125" s="11" t="s">
        <v>26</v>
      </c>
      <c r="C1125" s="11" t="s">
        <v>130</v>
      </c>
      <c r="D1125" s="11" t="s">
        <v>36</v>
      </c>
      <c r="E1125" s="11" t="s">
        <v>113</v>
      </c>
      <c r="F1125" s="11" t="s">
        <v>74</v>
      </c>
      <c r="G1125" s="21" t="n">
        <v>119.63</v>
      </c>
      <c r="H1125" s="19" t="n">
        <v>0</v>
      </c>
      <c r="I1125" s="21" t="n">
        <v>119.63</v>
      </c>
      <c r="J1125" s="22" t="s">
        <v>80</v>
      </c>
      <c r="K1125" s="11" t="n">
        <v>14</v>
      </c>
      <c r="L1125" s="23" t="n">
        <v>2.1</v>
      </c>
      <c r="M1125" s="24" t="b">
        <f aca="false">FALSE()</f>
        <v>0</v>
      </c>
      <c r="N1125" s="11"/>
      <c r="O1125" s="11" t="str">
        <f aca="false">IF(K1125&lt;=StockP33,"Low",IF(K1125&lt;=StockP67,"Moderate","High"))</f>
        <v>Low</v>
      </c>
      <c r="P1125" s="11" t="str">
        <f aca="false">IF(H1125=0,"Low",IF(H1125&lt;=MarkdownP75,"Moderate","High"))</f>
        <v>Low</v>
      </c>
      <c r="Q1125" s="11" t="str">
        <f aca="false">IF(ISBLANK(L1125),"Unknown",IF(L1125&gt;=4,"Good",IF(L1125&lt;=2,"Poor","Neutral")))</f>
        <v>Neutral</v>
      </c>
      <c r="R1125" s="11" t="str">
        <f aca="false">IF(AND(O1125="Low",P1125="Low",Q1125="Good"),"BUY / PRIORITIZE",IF(AND(O1125="High",P1125="High",OR(Q1125="Poor",M1125=TRUE())),"HOLD / REVIEW","MONITOR"))</f>
        <v>MONITOR</v>
      </c>
      <c r="S1125" s="11" t="n">
        <f aca="false">K1125+(ROW()/10000000)</f>
        <v>14.0001125</v>
      </c>
    </row>
    <row r="1126" customFormat="false" ht="15" hidden="false" customHeight="false" outlineLevel="0" collapsed="false">
      <c r="A1126" s="11" t="s">
        <v>1414</v>
      </c>
      <c r="B1126" s="11" t="s">
        <v>29</v>
      </c>
      <c r="C1126" s="11" t="s">
        <v>86</v>
      </c>
      <c r="D1126" s="11" t="s">
        <v>35</v>
      </c>
      <c r="E1126" s="11" t="s">
        <v>78</v>
      </c>
      <c r="F1126" s="11" t="s">
        <v>96</v>
      </c>
      <c r="G1126" s="21" t="n">
        <v>167.89</v>
      </c>
      <c r="H1126" s="19" t="n">
        <v>0</v>
      </c>
      <c r="I1126" s="21" t="n">
        <v>167.89</v>
      </c>
      <c r="J1126" s="22" t="s">
        <v>80</v>
      </c>
      <c r="K1126" s="11" t="n">
        <v>12</v>
      </c>
      <c r="L1126" s="23" t="n">
        <v>1</v>
      </c>
      <c r="M1126" s="24" t="b">
        <f aca="false">FALSE()</f>
        <v>0</v>
      </c>
      <c r="N1126" s="11"/>
      <c r="O1126" s="11" t="str">
        <f aca="false">IF(K1126&lt;=StockP33,"Low",IF(K1126&lt;=StockP67,"Moderate","High"))</f>
        <v>Low</v>
      </c>
      <c r="P1126" s="11" t="str">
        <f aca="false">IF(H1126=0,"Low",IF(H1126&lt;=MarkdownP75,"Moderate","High"))</f>
        <v>Low</v>
      </c>
      <c r="Q1126" s="11" t="str">
        <f aca="false">IF(ISBLANK(L1126),"Unknown",IF(L1126&gt;=4,"Good",IF(L1126&lt;=2,"Poor","Neutral")))</f>
        <v>Poor</v>
      </c>
      <c r="R1126" s="11" t="str">
        <f aca="false">IF(AND(O1126="Low",P1126="Low",Q1126="Good"),"BUY / PRIORITIZE",IF(AND(O1126="High",P1126="High",OR(Q1126="Poor",M1126=TRUE())),"HOLD / REVIEW","MONITOR"))</f>
        <v>MONITOR</v>
      </c>
      <c r="S1126" s="11" t="n">
        <f aca="false">K1126+(ROW()/10000000)</f>
        <v>12.0001126</v>
      </c>
    </row>
    <row r="1127" customFormat="false" ht="15" hidden="false" customHeight="false" outlineLevel="0" collapsed="false">
      <c r="A1127" s="11" t="s">
        <v>1415</v>
      </c>
      <c r="B1127" s="11" t="s">
        <v>29</v>
      </c>
      <c r="C1127" s="11" t="s">
        <v>77</v>
      </c>
      <c r="D1127" s="11" t="s">
        <v>34</v>
      </c>
      <c r="E1127" s="11" t="s">
        <v>73</v>
      </c>
      <c r="F1127" s="11" t="s">
        <v>96</v>
      </c>
      <c r="G1127" s="21" t="n">
        <v>100.39</v>
      </c>
      <c r="H1127" s="19" t="n">
        <v>0</v>
      </c>
      <c r="I1127" s="21" t="n">
        <v>100.39</v>
      </c>
      <c r="J1127" s="22" t="s">
        <v>1416</v>
      </c>
      <c r="K1127" s="11" t="n">
        <v>24</v>
      </c>
      <c r="L1127" s="23" t="n">
        <v>3.2</v>
      </c>
      <c r="M1127" s="24" t="b">
        <f aca="false">TRUE()</f>
        <v>1</v>
      </c>
      <c r="N1127" s="11" t="s">
        <v>140</v>
      </c>
      <c r="O1127" s="11" t="str">
        <f aca="false">IF(K1127&lt;=StockP33,"Low",IF(K1127&lt;=StockP67,"Moderate","High"))</f>
        <v>Moderate</v>
      </c>
      <c r="P1127" s="11" t="str">
        <f aca="false">IF(H1127=0,"Low",IF(H1127&lt;=MarkdownP75,"Moderate","High"))</f>
        <v>Low</v>
      </c>
      <c r="Q1127" s="11" t="str">
        <f aca="false">IF(ISBLANK(L1127),"Unknown",IF(L1127&gt;=4,"Good",IF(L1127&lt;=2,"Poor","Neutral")))</f>
        <v>Neutral</v>
      </c>
      <c r="R1127" s="11" t="str">
        <f aca="false">IF(AND(O1127="Low",P1127="Low",Q1127="Good"),"BUY / PRIORITIZE",IF(AND(O1127="High",P1127="High",OR(Q1127="Poor",M1127=TRUE())),"HOLD / REVIEW","MONITOR"))</f>
        <v>MONITOR</v>
      </c>
      <c r="S1127" s="11" t="n">
        <f aca="false">K1127+(ROW()/10000000)</f>
        <v>24.0001127</v>
      </c>
    </row>
    <row r="1128" customFormat="false" ht="15" hidden="false" customHeight="false" outlineLevel="0" collapsed="false">
      <c r="A1128" s="11" t="s">
        <v>1417</v>
      </c>
      <c r="B1128" s="11" t="s">
        <v>27</v>
      </c>
      <c r="C1128" s="11" t="s">
        <v>116</v>
      </c>
      <c r="D1128" s="11" t="s">
        <v>35</v>
      </c>
      <c r="E1128" s="11" t="s">
        <v>78</v>
      </c>
      <c r="F1128" s="11" t="s">
        <v>92</v>
      </c>
      <c r="G1128" s="21" t="n">
        <v>162.42</v>
      </c>
      <c r="H1128" s="19" t="n">
        <v>40.9</v>
      </c>
      <c r="I1128" s="21" t="n">
        <v>95.99</v>
      </c>
      <c r="J1128" s="22" t="s">
        <v>80</v>
      </c>
      <c r="K1128" s="11" t="n">
        <v>32</v>
      </c>
      <c r="L1128" s="23" t="n">
        <v>1</v>
      </c>
      <c r="M1128" s="24" t="b">
        <f aca="false">FALSE()</f>
        <v>0</v>
      </c>
      <c r="N1128" s="11"/>
      <c r="O1128" s="11" t="str">
        <f aca="false">IF(K1128&lt;=StockP33,"Low",IF(K1128&lt;=StockP67,"Moderate","High"))</f>
        <v>Moderate</v>
      </c>
      <c r="P1128" s="11" t="str">
        <f aca="false">IF(H1128=0,"Low",IF(H1128&lt;=MarkdownP75,"Moderate","High"))</f>
        <v>High</v>
      </c>
      <c r="Q1128" s="11" t="str">
        <f aca="false">IF(ISBLANK(L1128),"Unknown",IF(L1128&gt;=4,"Good",IF(L1128&lt;=2,"Poor","Neutral")))</f>
        <v>Poor</v>
      </c>
      <c r="R1128" s="11" t="str">
        <f aca="false">IF(AND(O1128="Low",P1128="Low",Q1128="Good"),"BUY / PRIORITIZE",IF(AND(O1128="High",P1128="High",OR(Q1128="Poor",M1128=TRUE())),"HOLD / REVIEW","MONITOR"))</f>
        <v>MONITOR</v>
      </c>
      <c r="S1128" s="11" t="n">
        <f aca="false">K1128+(ROW()/10000000)</f>
        <v>32.0001128</v>
      </c>
    </row>
    <row r="1129" customFormat="false" ht="15" hidden="false" customHeight="false" outlineLevel="0" collapsed="false">
      <c r="A1129" s="11" t="s">
        <v>1418</v>
      </c>
      <c r="B1129" s="11" t="s">
        <v>29</v>
      </c>
      <c r="C1129" s="11" t="s">
        <v>116</v>
      </c>
      <c r="D1129" s="11" t="s">
        <v>34</v>
      </c>
      <c r="E1129" s="11" t="s">
        <v>110</v>
      </c>
      <c r="F1129" s="11" t="s">
        <v>92</v>
      </c>
      <c r="G1129" s="21" t="n">
        <v>65.07</v>
      </c>
      <c r="H1129" s="19" t="n">
        <v>5.1</v>
      </c>
      <c r="I1129" s="21" t="n">
        <v>61.75</v>
      </c>
      <c r="J1129" s="22" t="s">
        <v>1419</v>
      </c>
      <c r="K1129" s="11" t="n">
        <v>16</v>
      </c>
      <c r="L1129" s="23" t="n">
        <v>4.3</v>
      </c>
      <c r="M1129" s="24" t="b">
        <f aca="false">FALSE()</f>
        <v>0</v>
      </c>
      <c r="N1129" s="11"/>
      <c r="O1129" s="11" t="str">
        <f aca="false">IF(K1129&lt;=StockP33,"Low",IF(K1129&lt;=StockP67,"Moderate","High"))</f>
        <v>Low</v>
      </c>
      <c r="P1129" s="11" t="str">
        <f aca="false">IF(H1129=0,"Low",IF(H1129&lt;=MarkdownP75,"Moderate","High"))</f>
        <v>Moderate</v>
      </c>
      <c r="Q1129" s="11" t="str">
        <f aca="false">IF(ISBLANK(L1129),"Unknown",IF(L1129&gt;=4,"Good",IF(L1129&lt;=2,"Poor","Neutral")))</f>
        <v>Good</v>
      </c>
      <c r="R1129" s="11" t="str">
        <f aca="false">IF(AND(O1129="Low",P1129="Low",Q1129="Good"),"BUY / PRIORITIZE",IF(AND(O1129="High",P1129="High",OR(Q1129="Poor",M1129=TRUE())),"HOLD / REVIEW","MONITOR"))</f>
        <v>MONITOR</v>
      </c>
      <c r="S1129" s="11" t="n">
        <f aca="false">K1129+(ROW()/10000000)</f>
        <v>16.0001129</v>
      </c>
    </row>
    <row r="1130" customFormat="false" ht="15" hidden="false" customHeight="false" outlineLevel="0" collapsed="false">
      <c r="A1130" s="11" t="s">
        <v>1420</v>
      </c>
      <c r="B1130" s="11" t="s">
        <v>26</v>
      </c>
      <c r="C1130" s="11" t="s">
        <v>130</v>
      </c>
      <c r="D1130" s="11" t="s">
        <v>34</v>
      </c>
      <c r="E1130" s="11" t="s">
        <v>102</v>
      </c>
      <c r="F1130" s="11" t="s">
        <v>74</v>
      </c>
      <c r="G1130" s="21" t="n">
        <v>78.1</v>
      </c>
      <c r="H1130" s="19" t="n">
        <v>48.7</v>
      </c>
      <c r="I1130" s="21" t="n">
        <v>40.07</v>
      </c>
      <c r="J1130" s="22" t="s">
        <v>671</v>
      </c>
      <c r="K1130" s="11" t="n">
        <v>0</v>
      </c>
      <c r="L1130" s="23"/>
      <c r="M1130" s="24" t="b">
        <f aca="false">FALSE()</f>
        <v>0</v>
      </c>
      <c r="N1130" s="11"/>
      <c r="O1130" s="11" t="str">
        <f aca="false">IF(K1130&lt;=StockP33,"Low",IF(K1130&lt;=StockP67,"Moderate","High"))</f>
        <v>Low</v>
      </c>
      <c r="P1130" s="11" t="str">
        <f aca="false">IF(H1130=0,"Low",IF(H1130&lt;=MarkdownP75,"Moderate","High"))</f>
        <v>High</v>
      </c>
      <c r="Q1130" s="11" t="str">
        <f aca="false">IF(ISBLANK(L1130),"Unknown",IF(L1130&gt;=4,"Good",IF(L1130&lt;=2,"Poor","Neutral")))</f>
        <v>Unknown</v>
      </c>
      <c r="R1130" s="11" t="str">
        <f aca="false">IF(AND(O1130="Low",P1130="Low",Q1130="Good"),"BUY / PRIORITIZE",IF(AND(O1130="High",P1130="High",OR(Q1130="Poor",M1130=TRUE())),"HOLD / REVIEW","MONITOR"))</f>
        <v>MONITOR</v>
      </c>
      <c r="S1130" s="11" t="n">
        <f aca="false">K1130+(ROW()/10000000)</f>
        <v>0.000113</v>
      </c>
    </row>
    <row r="1131" customFormat="false" ht="15" hidden="false" customHeight="false" outlineLevel="0" collapsed="false">
      <c r="A1131" s="11" t="s">
        <v>1421</v>
      </c>
      <c r="B1131" s="11" t="s">
        <v>28</v>
      </c>
      <c r="C1131" s="11" t="s">
        <v>72</v>
      </c>
      <c r="D1131" s="11" t="s">
        <v>34</v>
      </c>
      <c r="E1131" s="11" t="s">
        <v>113</v>
      </c>
      <c r="F1131" s="11" t="s">
        <v>96</v>
      </c>
      <c r="G1131" s="21" t="n">
        <v>115.73</v>
      </c>
      <c r="H1131" s="19" t="n">
        <v>59.8</v>
      </c>
      <c r="I1131" s="21" t="n">
        <v>46.52</v>
      </c>
      <c r="J1131" s="22" t="s">
        <v>364</v>
      </c>
      <c r="K1131" s="11" t="n">
        <v>10</v>
      </c>
      <c r="L1131" s="23" t="n">
        <v>4.2</v>
      </c>
      <c r="M1131" s="24" t="b">
        <f aca="false">FALSE()</f>
        <v>0</v>
      </c>
      <c r="N1131" s="11"/>
      <c r="O1131" s="11" t="str">
        <f aca="false">IF(K1131&lt;=StockP33,"Low",IF(K1131&lt;=StockP67,"Moderate","High"))</f>
        <v>Low</v>
      </c>
      <c r="P1131" s="11" t="str">
        <f aca="false">IF(H1131=0,"Low",IF(H1131&lt;=MarkdownP75,"Moderate","High"))</f>
        <v>High</v>
      </c>
      <c r="Q1131" s="11" t="str">
        <f aca="false">IF(ISBLANK(L1131),"Unknown",IF(L1131&gt;=4,"Good",IF(L1131&lt;=2,"Poor","Neutral")))</f>
        <v>Good</v>
      </c>
      <c r="R1131" s="11" t="str">
        <f aca="false">IF(AND(O1131="Low",P1131="Low",Q1131="Good"),"BUY / PRIORITIZE",IF(AND(O1131="High",P1131="High",OR(Q1131="Poor",M1131=TRUE())),"HOLD / REVIEW","MONITOR"))</f>
        <v>MONITOR</v>
      </c>
      <c r="S1131" s="11" t="n">
        <f aca="false">K1131+(ROW()/10000000)</f>
        <v>10.0001131</v>
      </c>
    </row>
    <row r="1132" customFormat="false" ht="15" hidden="false" customHeight="false" outlineLevel="0" collapsed="false">
      <c r="A1132" s="11" t="s">
        <v>1422</v>
      </c>
      <c r="B1132" s="11" t="s">
        <v>8</v>
      </c>
      <c r="C1132" s="11" t="s">
        <v>107</v>
      </c>
      <c r="D1132" s="11" t="s">
        <v>36</v>
      </c>
      <c r="E1132" s="11"/>
      <c r="F1132" s="11" t="s">
        <v>118</v>
      </c>
      <c r="G1132" s="21" t="n">
        <v>21.57</v>
      </c>
      <c r="H1132" s="19" t="n">
        <v>11.9</v>
      </c>
      <c r="I1132" s="21" t="n">
        <v>19</v>
      </c>
      <c r="J1132" s="22" t="s">
        <v>80</v>
      </c>
      <c r="K1132" s="11" t="n">
        <v>37</v>
      </c>
      <c r="L1132" s="23" t="n">
        <v>3</v>
      </c>
      <c r="M1132" s="24" t="b">
        <f aca="false">TRUE()</f>
        <v>1</v>
      </c>
      <c r="N1132" s="11" t="s">
        <v>178</v>
      </c>
      <c r="O1132" s="11" t="str">
        <f aca="false">IF(K1132&lt;=StockP33,"Low",IF(K1132&lt;=StockP67,"Moderate","High"))</f>
        <v>High</v>
      </c>
      <c r="P1132" s="11" t="str">
        <f aca="false">IF(H1132=0,"Low",IF(H1132&lt;=MarkdownP75,"Moderate","High"))</f>
        <v>Moderate</v>
      </c>
      <c r="Q1132" s="11" t="str">
        <f aca="false">IF(ISBLANK(L1132),"Unknown",IF(L1132&gt;=4,"Good",IF(L1132&lt;=2,"Poor","Neutral")))</f>
        <v>Neutral</v>
      </c>
      <c r="R1132" s="11" t="str">
        <f aca="false">IF(AND(O1132="Low",P1132="Low",Q1132="Good"),"BUY / PRIORITIZE",IF(AND(O1132="High",P1132="High",OR(Q1132="Poor",M1132=TRUE())),"HOLD / REVIEW","MONITOR"))</f>
        <v>MONITOR</v>
      </c>
      <c r="S1132" s="11" t="n">
        <f aca="false">K1132+(ROW()/10000000)</f>
        <v>37.0001132</v>
      </c>
    </row>
    <row r="1133" customFormat="false" ht="15" hidden="false" customHeight="false" outlineLevel="0" collapsed="false">
      <c r="A1133" s="11" t="s">
        <v>1423</v>
      </c>
      <c r="B1133" s="11" t="s">
        <v>27</v>
      </c>
      <c r="C1133" s="11" t="s">
        <v>86</v>
      </c>
      <c r="D1133" s="11" t="s">
        <v>36</v>
      </c>
      <c r="E1133" s="11" t="s">
        <v>91</v>
      </c>
      <c r="F1133" s="11" t="s">
        <v>124</v>
      </c>
      <c r="G1133" s="21" t="n">
        <v>75.85</v>
      </c>
      <c r="H1133" s="19" t="n">
        <v>50.3</v>
      </c>
      <c r="I1133" s="21" t="n">
        <v>37.7</v>
      </c>
      <c r="J1133" s="22" t="s">
        <v>80</v>
      </c>
      <c r="K1133" s="11" t="n">
        <v>50</v>
      </c>
      <c r="L1133" s="23" t="n">
        <v>4.7</v>
      </c>
      <c r="M1133" s="24" t="b">
        <f aca="false">TRUE()</f>
        <v>1</v>
      </c>
      <c r="N1133" s="11" t="s">
        <v>140</v>
      </c>
      <c r="O1133" s="11" t="str">
        <f aca="false">IF(K1133&lt;=StockP33,"Low",IF(K1133&lt;=StockP67,"Moderate","High"))</f>
        <v>High</v>
      </c>
      <c r="P1133" s="11" t="str">
        <f aca="false">IF(H1133=0,"Low",IF(H1133&lt;=MarkdownP75,"Moderate","High"))</f>
        <v>High</v>
      </c>
      <c r="Q1133" s="11" t="str">
        <f aca="false">IF(ISBLANK(L1133),"Unknown",IF(L1133&gt;=4,"Good",IF(L1133&lt;=2,"Poor","Neutral")))</f>
        <v>Good</v>
      </c>
      <c r="R1133" s="11" t="str">
        <f aca="false">IF(AND(O1133="Low",P1133="Low",Q1133="Good"),"BUY / PRIORITIZE",IF(AND(O1133="High",P1133="High",OR(Q1133="Poor",M1133=TRUE())),"HOLD / REVIEW","MONITOR"))</f>
        <v>HOLD / REVIEW</v>
      </c>
      <c r="S1133" s="11" t="n">
        <f aca="false">K1133+(ROW()/10000000)</f>
        <v>50.0001133</v>
      </c>
    </row>
    <row r="1134" customFormat="false" ht="15" hidden="false" customHeight="false" outlineLevel="0" collapsed="false">
      <c r="A1134" s="11" t="s">
        <v>1424</v>
      </c>
      <c r="B1134" s="11" t="s">
        <v>28</v>
      </c>
      <c r="C1134" s="11" t="s">
        <v>77</v>
      </c>
      <c r="D1134" s="11" t="s">
        <v>35</v>
      </c>
      <c r="E1134" s="11" t="s">
        <v>78</v>
      </c>
      <c r="F1134" s="11" t="s">
        <v>98</v>
      </c>
      <c r="G1134" s="21" t="n">
        <v>170.91</v>
      </c>
      <c r="H1134" s="19" t="n">
        <v>0</v>
      </c>
      <c r="I1134" s="21" t="n">
        <v>170.91</v>
      </c>
      <c r="J1134" s="22" t="s">
        <v>80</v>
      </c>
      <c r="K1134" s="11" t="n">
        <v>36</v>
      </c>
      <c r="L1134" s="23" t="n">
        <v>1.6</v>
      </c>
      <c r="M1134" s="24" t="b">
        <f aca="false">TRUE()</f>
        <v>1</v>
      </c>
      <c r="N1134" s="11" t="s">
        <v>140</v>
      </c>
      <c r="O1134" s="11" t="str">
        <f aca="false">IF(K1134&lt;=StockP33,"Low",IF(K1134&lt;=StockP67,"Moderate","High"))</f>
        <v>High</v>
      </c>
      <c r="P1134" s="11" t="str">
        <f aca="false">IF(H1134=0,"Low",IF(H1134&lt;=MarkdownP75,"Moderate","High"))</f>
        <v>Low</v>
      </c>
      <c r="Q1134" s="11" t="str">
        <f aca="false">IF(ISBLANK(L1134),"Unknown",IF(L1134&gt;=4,"Good",IF(L1134&lt;=2,"Poor","Neutral")))</f>
        <v>Poor</v>
      </c>
      <c r="R1134" s="11" t="str">
        <f aca="false">IF(AND(O1134="Low",P1134="Low",Q1134="Good"),"BUY / PRIORITIZE",IF(AND(O1134="High",P1134="High",OR(Q1134="Poor",M1134=TRUE())),"HOLD / REVIEW","MONITOR"))</f>
        <v>MONITOR</v>
      </c>
      <c r="S1134" s="11" t="n">
        <f aca="false">K1134+(ROW()/10000000)</f>
        <v>36.0001134</v>
      </c>
    </row>
    <row r="1135" customFormat="false" ht="15" hidden="false" customHeight="false" outlineLevel="0" collapsed="false">
      <c r="A1135" s="11" t="s">
        <v>1425</v>
      </c>
      <c r="B1135" s="11" t="s">
        <v>29</v>
      </c>
      <c r="C1135" s="11" t="s">
        <v>101</v>
      </c>
      <c r="D1135" s="11" t="s">
        <v>36</v>
      </c>
      <c r="E1135" s="11" t="s">
        <v>73</v>
      </c>
      <c r="F1135" s="11" t="s">
        <v>88</v>
      </c>
      <c r="G1135" s="21" t="n">
        <v>94.06</v>
      </c>
      <c r="H1135" s="19" t="n">
        <v>22.4</v>
      </c>
      <c r="I1135" s="21" t="n">
        <v>72.99</v>
      </c>
      <c r="J1135" s="22" t="s">
        <v>80</v>
      </c>
      <c r="K1135" s="11" t="n">
        <v>0</v>
      </c>
      <c r="L1135" s="23"/>
      <c r="M1135" s="24" t="b">
        <f aca="false">FALSE()</f>
        <v>0</v>
      </c>
      <c r="N1135" s="11"/>
      <c r="O1135" s="11" t="str">
        <f aca="false">IF(K1135&lt;=StockP33,"Low",IF(K1135&lt;=StockP67,"Moderate","High"))</f>
        <v>Low</v>
      </c>
      <c r="P1135" s="11" t="str">
        <f aca="false">IF(H1135=0,"Low",IF(H1135&lt;=MarkdownP75,"Moderate","High"))</f>
        <v>Moderate</v>
      </c>
      <c r="Q1135" s="11" t="str">
        <f aca="false">IF(ISBLANK(L1135),"Unknown",IF(L1135&gt;=4,"Good",IF(L1135&lt;=2,"Poor","Neutral")))</f>
        <v>Unknown</v>
      </c>
      <c r="R1135" s="11" t="str">
        <f aca="false">IF(AND(O1135="Low",P1135="Low",Q1135="Good"),"BUY / PRIORITIZE",IF(AND(O1135="High",P1135="High",OR(Q1135="Poor",M1135=TRUE())),"HOLD / REVIEW","MONITOR"))</f>
        <v>MONITOR</v>
      </c>
      <c r="S1135" s="11" t="n">
        <f aca="false">K1135+(ROW()/10000000)</f>
        <v>0.0001135</v>
      </c>
    </row>
    <row r="1136" customFormat="false" ht="15" hidden="false" customHeight="false" outlineLevel="0" collapsed="false">
      <c r="A1136" s="11" t="s">
        <v>1426</v>
      </c>
      <c r="B1136" s="11" t="s">
        <v>26</v>
      </c>
      <c r="C1136" s="11" t="s">
        <v>101</v>
      </c>
      <c r="D1136" s="11" t="s">
        <v>35</v>
      </c>
      <c r="E1136" s="11" t="s">
        <v>91</v>
      </c>
      <c r="F1136" s="11" t="s">
        <v>96</v>
      </c>
      <c r="G1136" s="21" t="n">
        <v>84.44</v>
      </c>
      <c r="H1136" s="19" t="n">
        <v>0</v>
      </c>
      <c r="I1136" s="21" t="n">
        <v>84.44</v>
      </c>
      <c r="J1136" s="22" t="s">
        <v>80</v>
      </c>
      <c r="K1136" s="11" t="n">
        <v>2</v>
      </c>
      <c r="L1136" s="23" t="n">
        <v>1.1</v>
      </c>
      <c r="M1136" s="24" t="b">
        <f aca="false">FALSE()</f>
        <v>0</v>
      </c>
      <c r="N1136" s="11"/>
      <c r="O1136" s="11" t="str">
        <f aca="false">IF(K1136&lt;=StockP33,"Low",IF(K1136&lt;=StockP67,"Moderate","High"))</f>
        <v>Low</v>
      </c>
      <c r="P1136" s="11" t="str">
        <f aca="false">IF(H1136=0,"Low",IF(H1136&lt;=MarkdownP75,"Moderate","High"))</f>
        <v>Low</v>
      </c>
      <c r="Q1136" s="11" t="str">
        <f aca="false">IF(ISBLANK(L1136),"Unknown",IF(L1136&gt;=4,"Good",IF(L1136&lt;=2,"Poor","Neutral")))</f>
        <v>Poor</v>
      </c>
      <c r="R1136" s="11" t="str">
        <f aca="false">IF(AND(O1136="Low",P1136="Low",Q1136="Good"),"BUY / PRIORITIZE",IF(AND(O1136="High",P1136="High",OR(Q1136="Poor",M1136=TRUE())),"HOLD / REVIEW","MONITOR"))</f>
        <v>MONITOR</v>
      </c>
      <c r="S1136" s="11" t="n">
        <f aca="false">K1136+(ROW()/10000000)</f>
        <v>2.0001136</v>
      </c>
    </row>
    <row r="1137" customFormat="false" ht="15" hidden="false" customHeight="false" outlineLevel="0" collapsed="false">
      <c r="A1137" s="11" t="s">
        <v>1427</v>
      </c>
      <c r="B1137" s="11" t="s">
        <v>28</v>
      </c>
      <c r="C1137" s="11" t="s">
        <v>72</v>
      </c>
      <c r="D1137" s="11" t="s">
        <v>35</v>
      </c>
      <c r="E1137" s="11" t="s">
        <v>110</v>
      </c>
      <c r="F1137" s="11" t="s">
        <v>79</v>
      </c>
      <c r="G1137" s="21" t="n">
        <v>93.11</v>
      </c>
      <c r="H1137" s="19" t="n">
        <v>0</v>
      </c>
      <c r="I1137" s="21" t="n">
        <v>93.11</v>
      </c>
      <c r="J1137" s="22" t="s">
        <v>80</v>
      </c>
      <c r="K1137" s="11" t="n">
        <v>43</v>
      </c>
      <c r="L1137" s="23" t="n">
        <v>2.8</v>
      </c>
      <c r="M1137" s="24" t="b">
        <f aca="false">FALSE()</f>
        <v>0</v>
      </c>
      <c r="N1137" s="11"/>
      <c r="O1137" s="11" t="str">
        <f aca="false">IF(K1137&lt;=StockP33,"Low",IF(K1137&lt;=StockP67,"Moderate","High"))</f>
        <v>High</v>
      </c>
      <c r="P1137" s="11" t="str">
        <f aca="false">IF(H1137=0,"Low",IF(H1137&lt;=MarkdownP75,"Moderate","High"))</f>
        <v>Low</v>
      </c>
      <c r="Q1137" s="11" t="str">
        <f aca="false">IF(ISBLANK(L1137),"Unknown",IF(L1137&gt;=4,"Good",IF(L1137&lt;=2,"Poor","Neutral")))</f>
        <v>Neutral</v>
      </c>
      <c r="R1137" s="11" t="str">
        <f aca="false">IF(AND(O1137="Low",P1137="Low",Q1137="Good"),"BUY / PRIORITIZE",IF(AND(O1137="High",P1137="High",OR(Q1137="Poor",M1137=TRUE())),"HOLD / REVIEW","MONITOR"))</f>
        <v>MONITOR</v>
      </c>
      <c r="S1137" s="11" t="n">
        <f aca="false">K1137+(ROW()/10000000)</f>
        <v>43.0001137</v>
      </c>
    </row>
    <row r="1138" customFormat="false" ht="15" hidden="false" customHeight="false" outlineLevel="0" collapsed="false">
      <c r="A1138" s="11" t="s">
        <v>1428</v>
      </c>
      <c r="B1138" s="11" t="s">
        <v>30</v>
      </c>
      <c r="C1138" s="11" t="s">
        <v>72</v>
      </c>
      <c r="D1138" s="11" t="s">
        <v>37</v>
      </c>
      <c r="E1138" s="11" t="s">
        <v>91</v>
      </c>
      <c r="F1138" s="11" t="s">
        <v>96</v>
      </c>
      <c r="G1138" s="21" t="n">
        <v>84.85</v>
      </c>
      <c r="H1138" s="19" t="n">
        <v>8.8</v>
      </c>
      <c r="I1138" s="21" t="n">
        <v>77.38</v>
      </c>
      <c r="J1138" s="22" t="s">
        <v>80</v>
      </c>
      <c r="K1138" s="11" t="n">
        <v>19</v>
      </c>
      <c r="L1138" s="23" t="n">
        <v>4.1</v>
      </c>
      <c r="M1138" s="24" t="b">
        <f aca="false">TRUE()</f>
        <v>1</v>
      </c>
      <c r="N1138" s="11" t="s">
        <v>178</v>
      </c>
      <c r="O1138" s="11" t="str">
        <f aca="false">IF(K1138&lt;=StockP33,"Low",IF(K1138&lt;=StockP67,"Moderate","High"))</f>
        <v>Moderate</v>
      </c>
      <c r="P1138" s="11" t="str">
        <f aca="false">IF(H1138=0,"Low",IF(H1138&lt;=MarkdownP75,"Moderate","High"))</f>
        <v>Moderate</v>
      </c>
      <c r="Q1138" s="11" t="str">
        <f aca="false">IF(ISBLANK(L1138),"Unknown",IF(L1138&gt;=4,"Good",IF(L1138&lt;=2,"Poor","Neutral")))</f>
        <v>Good</v>
      </c>
      <c r="R1138" s="11" t="str">
        <f aca="false">IF(AND(O1138="Low",P1138="Low",Q1138="Good"),"BUY / PRIORITIZE",IF(AND(O1138="High",P1138="High",OR(Q1138="Poor",M1138=TRUE())),"HOLD / REVIEW","MONITOR"))</f>
        <v>MONITOR</v>
      </c>
      <c r="S1138" s="11" t="n">
        <f aca="false">K1138+(ROW()/10000000)</f>
        <v>19.0001138</v>
      </c>
    </row>
    <row r="1139" customFormat="false" ht="15" hidden="false" customHeight="false" outlineLevel="0" collapsed="false">
      <c r="A1139" s="11" t="s">
        <v>1429</v>
      </c>
      <c r="B1139" s="11" t="s">
        <v>29</v>
      </c>
      <c r="C1139" s="11" t="s">
        <v>77</v>
      </c>
      <c r="D1139" s="11" t="s">
        <v>34</v>
      </c>
      <c r="E1139" s="11" t="s">
        <v>113</v>
      </c>
      <c r="F1139" s="11" t="s">
        <v>98</v>
      </c>
      <c r="G1139" s="21" t="n">
        <v>138.41</v>
      </c>
      <c r="H1139" s="19" t="n">
        <v>0</v>
      </c>
      <c r="I1139" s="21" t="n">
        <v>138.41</v>
      </c>
      <c r="J1139" s="22" t="s">
        <v>1046</v>
      </c>
      <c r="K1139" s="11" t="n">
        <v>40</v>
      </c>
      <c r="L1139" s="23" t="n">
        <v>3.1</v>
      </c>
      <c r="M1139" s="24" t="b">
        <f aca="false">FALSE()</f>
        <v>0</v>
      </c>
      <c r="N1139" s="11"/>
      <c r="O1139" s="11" t="str">
        <f aca="false">IF(K1139&lt;=StockP33,"Low",IF(K1139&lt;=StockP67,"Moderate","High"))</f>
        <v>High</v>
      </c>
      <c r="P1139" s="11" t="str">
        <f aca="false">IF(H1139=0,"Low",IF(H1139&lt;=MarkdownP75,"Moderate","High"))</f>
        <v>Low</v>
      </c>
      <c r="Q1139" s="11" t="str">
        <f aca="false">IF(ISBLANK(L1139),"Unknown",IF(L1139&gt;=4,"Good",IF(L1139&lt;=2,"Poor","Neutral")))</f>
        <v>Neutral</v>
      </c>
      <c r="R1139" s="11" t="str">
        <f aca="false">IF(AND(O1139="Low",P1139="Low",Q1139="Good"),"BUY / PRIORITIZE",IF(AND(O1139="High",P1139="High",OR(Q1139="Poor",M1139=TRUE())),"HOLD / REVIEW","MONITOR"))</f>
        <v>MONITOR</v>
      </c>
      <c r="S1139" s="11" t="n">
        <f aca="false">K1139+(ROW()/10000000)</f>
        <v>40.0001139</v>
      </c>
    </row>
    <row r="1140" customFormat="false" ht="15" hidden="false" customHeight="false" outlineLevel="0" collapsed="false">
      <c r="A1140" s="11" t="s">
        <v>1430</v>
      </c>
      <c r="B1140" s="11" t="s">
        <v>8</v>
      </c>
      <c r="C1140" s="11" t="s">
        <v>72</v>
      </c>
      <c r="D1140" s="11" t="s">
        <v>36</v>
      </c>
      <c r="E1140" s="11"/>
      <c r="F1140" s="11" t="s">
        <v>79</v>
      </c>
      <c r="G1140" s="21" t="n">
        <v>20.19</v>
      </c>
      <c r="H1140" s="19" t="n">
        <v>21.6</v>
      </c>
      <c r="I1140" s="21" t="n">
        <v>15.83</v>
      </c>
      <c r="J1140" s="22" t="s">
        <v>80</v>
      </c>
      <c r="K1140" s="11" t="n">
        <v>45</v>
      </c>
      <c r="L1140" s="23" t="n">
        <v>4.4</v>
      </c>
      <c r="M1140" s="24" t="b">
        <f aca="false">TRUE()</f>
        <v>1</v>
      </c>
      <c r="N1140" s="11" t="s">
        <v>178</v>
      </c>
      <c r="O1140" s="11" t="str">
        <f aca="false">IF(K1140&lt;=StockP33,"Low",IF(K1140&lt;=StockP67,"Moderate","High"))</f>
        <v>High</v>
      </c>
      <c r="P1140" s="11" t="str">
        <f aca="false">IF(H1140=0,"Low",IF(H1140&lt;=MarkdownP75,"Moderate","High"))</f>
        <v>Moderate</v>
      </c>
      <c r="Q1140" s="11" t="str">
        <f aca="false">IF(ISBLANK(L1140),"Unknown",IF(L1140&gt;=4,"Good",IF(L1140&lt;=2,"Poor","Neutral")))</f>
        <v>Good</v>
      </c>
      <c r="R1140" s="11" t="str">
        <f aca="false">IF(AND(O1140="Low",P1140="Low",Q1140="Good"),"BUY / PRIORITIZE",IF(AND(O1140="High",P1140="High",OR(Q1140="Poor",M1140=TRUE())),"HOLD / REVIEW","MONITOR"))</f>
        <v>MONITOR</v>
      </c>
      <c r="S1140" s="11" t="n">
        <f aca="false">K1140+(ROW()/10000000)</f>
        <v>45.000114</v>
      </c>
    </row>
    <row r="1141" customFormat="false" ht="15" hidden="false" customHeight="false" outlineLevel="0" collapsed="false">
      <c r="A1141" s="11" t="s">
        <v>1431</v>
      </c>
      <c r="B1141" s="11" t="s">
        <v>27</v>
      </c>
      <c r="C1141" s="11" t="s">
        <v>86</v>
      </c>
      <c r="D1141" s="11" t="s">
        <v>36</v>
      </c>
      <c r="E1141" s="11" t="s">
        <v>113</v>
      </c>
      <c r="F1141" s="11" t="s">
        <v>92</v>
      </c>
      <c r="G1141" s="21" t="n">
        <v>124.17</v>
      </c>
      <c r="H1141" s="19" t="n">
        <v>37.6</v>
      </c>
      <c r="I1141" s="21" t="n">
        <v>77.48</v>
      </c>
      <c r="J1141" s="22" t="s">
        <v>80</v>
      </c>
      <c r="K1141" s="11" t="n">
        <v>24</v>
      </c>
      <c r="L1141" s="23" t="n">
        <v>2.3</v>
      </c>
      <c r="M1141" s="24" t="b">
        <f aca="false">FALSE()</f>
        <v>0</v>
      </c>
      <c r="N1141" s="11"/>
      <c r="O1141" s="11" t="str">
        <f aca="false">IF(K1141&lt;=StockP33,"Low",IF(K1141&lt;=StockP67,"Moderate","High"))</f>
        <v>Moderate</v>
      </c>
      <c r="P1141" s="11" t="str">
        <f aca="false">IF(H1141=0,"Low",IF(H1141&lt;=MarkdownP75,"Moderate","High"))</f>
        <v>High</v>
      </c>
      <c r="Q1141" s="11" t="str">
        <f aca="false">IF(ISBLANK(L1141),"Unknown",IF(L1141&gt;=4,"Good",IF(L1141&lt;=2,"Poor","Neutral")))</f>
        <v>Neutral</v>
      </c>
      <c r="R1141" s="11" t="str">
        <f aca="false">IF(AND(O1141="Low",P1141="Low",Q1141="Good"),"BUY / PRIORITIZE",IF(AND(O1141="High",P1141="High",OR(Q1141="Poor",M1141=TRUE())),"HOLD / REVIEW","MONITOR"))</f>
        <v>MONITOR</v>
      </c>
      <c r="S1141" s="11" t="n">
        <f aca="false">K1141+(ROW()/10000000)</f>
        <v>24.0001141</v>
      </c>
    </row>
    <row r="1142" customFormat="false" ht="15" hidden="false" customHeight="false" outlineLevel="0" collapsed="false">
      <c r="A1142" s="11" t="s">
        <v>1432</v>
      </c>
      <c r="B1142" s="11" t="s">
        <v>28</v>
      </c>
      <c r="C1142" s="11" t="s">
        <v>86</v>
      </c>
      <c r="D1142" s="11" t="s">
        <v>34</v>
      </c>
      <c r="E1142" s="11" t="s">
        <v>78</v>
      </c>
      <c r="F1142" s="11" t="s">
        <v>74</v>
      </c>
      <c r="G1142" s="21" t="n">
        <v>133.92</v>
      </c>
      <c r="H1142" s="19" t="n">
        <v>0</v>
      </c>
      <c r="I1142" s="21" t="n">
        <v>133.92</v>
      </c>
      <c r="J1142" s="22" t="s">
        <v>1063</v>
      </c>
      <c r="K1142" s="11" t="n">
        <v>41</v>
      </c>
      <c r="L1142" s="23" t="n">
        <v>2.8</v>
      </c>
      <c r="M1142" s="24" t="b">
        <f aca="false">FALSE()</f>
        <v>0</v>
      </c>
      <c r="N1142" s="11"/>
      <c r="O1142" s="11" t="str">
        <f aca="false">IF(K1142&lt;=StockP33,"Low",IF(K1142&lt;=StockP67,"Moderate","High"))</f>
        <v>High</v>
      </c>
      <c r="P1142" s="11" t="str">
        <f aca="false">IF(H1142=0,"Low",IF(H1142&lt;=MarkdownP75,"Moderate","High"))</f>
        <v>Low</v>
      </c>
      <c r="Q1142" s="11" t="str">
        <f aca="false">IF(ISBLANK(L1142),"Unknown",IF(L1142&gt;=4,"Good",IF(L1142&lt;=2,"Poor","Neutral")))</f>
        <v>Neutral</v>
      </c>
      <c r="R1142" s="11" t="str">
        <f aca="false">IF(AND(O1142="Low",P1142="Low",Q1142="Good"),"BUY / PRIORITIZE",IF(AND(O1142="High",P1142="High",OR(Q1142="Poor",M1142=TRUE())),"HOLD / REVIEW","MONITOR"))</f>
        <v>MONITOR</v>
      </c>
      <c r="S1142" s="11" t="n">
        <f aca="false">K1142+(ROW()/10000000)</f>
        <v>41.0001142</v>
      </c>
    </row>
    <row r="1143" customFormat="false" ht="15" hidden="false" customHeight="false" outlineLevel="0" collapsed="false">
      <c r="A1143" s="11" t="s">
        <v>1433</v>
      </c>
      <c r="B1143" s="11" t="s">
        <v>8</v>
      </c>
      <c r="C1143" s="11" t="s">
        <v>86</v>
      </c>
      <c r="D1143" s="11" t="s">
        <v>34</v>
      </c>
      <c r="E1143" s="11"/>
      <c r="F1143" s="11" t="s">
        <v>92</v>
      </c>
      <c r="G1143" s="21" t="n">
        <v>77.78</v>
      </c>
      <c r="H1143" s="19" t="n">
        <v>0</v>
      </c>
      <c r="I1143" s="21" t="n">
        <v>77.78</v>
      </c>
      <c r="J1143" s="22" t="s">
        <v>84</v>
      </c>
      <c r="K1143" s="11" t="n">
        <v>23</v>
      </c>
      <c r="L1143" s="23" t="n">
        <v>2.5</v>
      </c>
      <c r="M1143" s="24" t="b">
        <f aca="false">TRUE()</f>
        <v>1</v>
      </c>
      <c r="N1143" s="11" t="s">
        <v>128</v>
      </c>
      <c r="O1143" s="11" t="str">
        <f aca="false">IF(K1143&lt;=StockP33,"Low",IF(K1143&lt;=StockP67,"Moderate","High"))</f>
        <v>Moderate</v>
      </c>
      <c r="P1143" s="11" t="str">
        <f aca="false">IF(H1143=0,"Low",IF(H1143&lt;=MarkdownP75,"Moderate","High"))</f>
        <v>Low</v>
      </c>
      <c r="Q1143" s="11" t="str">
        <f aca="false">IF(ISBLANK(L1143),"Unknown",IF(L1143&gt;=4,"Good",IF(L1143&lt;=2,"Poor","Neutral")))</f>
        <v>Neutral</v>
      </c>
      <c r="R1143" s="11" t="str">
        <f aca="false">IF(AND(O1143="Low",P1143="Low",Q1143="Good"),"BUY / PRIORITIZE",IF(AND(O1143="High",P1143="High",OR(Q1143="Poor",M1143=TRUE())),"HOLD / REVIEW","MONITOR"))</f>
        <v>MONITOR</v>
      </c>
      <c r="S1143" s="11" t="n">
        <f aca="false">K1143+(ROW()/10000000)</f>
        <v>23.0001143</v>
      </c>
    </row>
    <row r="1144" customFormat="false" ht="15" hidden="false" customHeight="false" outlineLevel="0" collapsed="false">
      <c r="A1144" s="11" t="s">
        <v>1434</v>
      </c>
      <c r="B1144" s="11" t="s">
        <v>27</v>
      </c>
      <c r="C1144" s="11" t="s">
        <v>95</v>
      </c>
      <c r="D1144" s="11" t="s">
        <v>37</v>
      </c>
      <c r="E1144" s="11" t="s">
        <v>102</v>
      </c>
      <c r="F1144" s="11" t="s">
        <v>124</v>
      </c>
      <c r="G1144" s="21" t="n">
        <v>157.69</v>
      </c>
      <c r="H1144" s="19" t="n">
        <v>35.9</v>
      </c>
      <c r="I1144" s="21" t="n">
        <v>101.08</v>
      </c>
      <c r="J1144" s="22" t="s">
        <v>80</v>
      </c>
      <c r="K1144" s="11" t="n">
        <v>6</v>
      </c>
      <c r="L1144" s="23" t="n">
        <v>1</v>
      </c>
      <c r="M1144" s="24" t="b">
        <f aca="false">FALSE()</f>
        <v>0</v>
      </c>
      <c r="N1144" s="11"/>
      <c r="O1144" s="11" t="str">
        <f aca="false">IF(K1144&lt;=StockP33,"Low",IF(K1144&lt;=StockP67,"Moderate","High"))</f>
        <v>Low</v>
      </c>
      <c r="P1144" s="11" t="str">
        <f aca="false">IF(H1144=0,"Low",IF(H1144&lt;=MarkdownP75,"Moderate","High"))</f>
        <v>High</v>
      </c>
      <c r="Q1144" s="11" t="str">
        <f aca="false">IF(ISBLANK(L1144),"Unknown",IF(L1144&gt;=4,"Good",IF(L1144&lt;=2,"Poor","Neutral")))</f>
        <v>Poor</v>
      </c>
      <c r="R1144" s="11" t="str">
        <f aca="false">IF(AND(O1144="Low",P1144="Low",Q1144="Good"),"BUY / PRIORITIZE",IF(AND(O1144="High",P1144="High",OR(Q1144="Poor",M1144=TRUE())),"HOLD / REVIEW","MONITOR"))</f>
        <v>MONITOR</v>
      </c>
      <c r="S1144" s="11" t="n">
        <f aca="false">K1144+(ROW()/10000000)</f>
        <v>6.0001144</v>
      </c>
    </row>
    <row r="1145" customFormat="false" ht="15" hidden="false" customHeight="false" outlineLevel="0" collapsed="false">
      <c r="A1145" s="11" t="s">
        <v>1435</v>
      </c>
      <c r="B1145" s="11" t="s">
        <v>30</v>
      </c>
      <c r="C1145" s="11" t="s">
        <v>72</v>
      </c>
      <c r="D1145" s="11" t="s">
        <v>37</v>
      </c>
      <c r="E1145" s="11" t="s">
        <v>78</v>
      </c>
      <c r="F1145" s="11" t="s">
        <v>82</v>
      </c>
      <c r="G1145" s="21" t="n">
        <v>99.57</v>
      </c>
      <c r="H1145" s="19" t="n">
        <v>0</v>
      </c>
      <c r="I1145" s="21" t="n">
        <v>99.57</v>
      </c>
      <c r="J1145" s="22" t="s">
        <v>80</v>
      </c>
      <c r="K1145" s="11" t="n">
        <v>17</v>
      </c>
      <c r="L1145" s="23" t="n">
        <v>1</v>
      </c>
      <c r="M1145" s="24" t="b">
        <f aca="false">FALSE()</f>
        <v>0</v>
      </c>
      <c r="N1145" s="11"/>
      <c r="O1145" s="11" t="str">
        <f aca="false">IF(K1145&lt;=StockP33,"Low",IF(K1145&lt;=StockP67,"Moderate","High"))</f>
        <v>Low</v>
      </c>
      <c r="P1145" s="11" t="str">
        <f aca="false">IF(H1145=0,"Low",IF(H1145&lt;=MarkdownP75,"Moderate","High"))</f>
        <v>Low</v>
      </c>
      <c r="Q1145" s="11" t="str">
        <f aca="false">IF(ISBLANK(L1145),"Unknown",IF(L1145&gt;=4,"Good",IF(L1145&lt;=2,"Poor","Neutral")))</f>
        <v>Poor</v>
      </c>
      <c r="R1145" s="11" t="str">
        <f aca="false">IF(AND(O1145="Low",P1145="Low",Q1145="Good"),"BUY / PRIORITIZE",IF(AND(O1145="High",P1145="High",OR(Q1145="Poor",M1145=TRUE())),"HOLD / REVIEW","MONITOR"))</f>
        <v>MONITOR</v>
      </c>
      <c r="S1145" s="11" t="n">
        <f aca="false">K1145+(ROW()/10000000)</f>
        <v>17.0001145</v>
      </c>
    </row>
    <row r="1146" customFormat="false" ht="15" hidden="false" customHeight="false" outlineLevel="0" collapsed="false">
      <c r="A1146" s="11" t="s">
        <v>1436</v>
      </c>
      <c r="B1146" s="11" t="s">
        <v>8</v>
      </c>
      <c r="C1146" s="11" t="s">
        <v>72</v>
      </c>
      <c r="D1146" s="11" t="s">
        <v>35</v>
      </c>
      <c r="E1146" s="11"/>
      <c r="F1146" s="11" t="s">
        <v>124</v>
      </c>
      <c r="G1146" s="21" t="n">
        <v>43.61</v>
      </c>
      <c r="H1146" s="19" t="n">
        <v>33.3</v>
      </c>
      <c r="I1146" s="21" t="n">
        <v>29.09</v>
      </c>
      <c r="J1146" s="22" t="s">
        <v>80</v>
      </c>
      <c r="K1146" s="11" t="n">
        <v>47</v>
      </c>
      <c r="L1146" s="23" t="n">
        <v>2.5</v>
      </c>
      <c r="M1146" s="24" t="b">
        <f aca="false">FALSE()</f>
        <v>0</v>
      </c>
      <c r="N1146" s="11"/>
      <c r="O1146" s="11" t="str">
        <f aca="false">IF(K1146&lt;=StockP33,"Low",IF(K1146&lt;=StockP67,"Moderate","High"))</f>
        <v>High</v>
      </c>
      <c r="P1146" s="11" t="str">
        <f aca="false">IF(H1146=0,"Low",IF(H1146&lt;=MarkdownP75,"Moderate","High"))</f>
        <v>High</v>
      </c>
      <c r="Q1146" s="11" t="str">
        <f aca="false">IF(ISBLANK(L1146),"Unknown",IF(L1146&gt;=4,"Good",IF(L1146&lt;=2,"Poor","Neutral")))</f>
        <v>Neutral</v>
      </c>
      <c r="R1146" s="11" t="str">
        <f aca="false">IF(AND(O1146="Low",P1146="Low",Q1146="Good"),"BUY / PRIORITIZE",IF(AND(O1146="High",P1146="High",OR(Q1146="Poor",M1146=TRUE())),"HOLD / REVIEW","MONITOR"))</f>
        <v>MONITOR</v>
      </c>
      <c r="S1146" s="11" t="n">
        <f aca="false">K1146+(ROW()/10000000)</f>
        <v>47.0001146</v>
      </c>
    </row>
    <row r="1147" customFormat="false" ht="15" hidden="false" customHeight="false" outlineLevel="0" collapsed="false">
      <c r="A1147" s="11" t="s">
        <v>1437</v>
      </c>
      <c r="B1147" s="11" t="s">
        <v>28</v>
      </c>
      <c r="C1147" s="11" t="s">
        <v>116</v>
      </c>
      <c r="D1147" s="11" t="s">
        <v>37</v>
      </c>
      <c r="E1147" s="11" t="s">
        <v>113</v>
      </c>
      <c r="F1147" s="11" t="s">
        <v>124</v>
      </c>
      <c r="G1147" s="21" t="n">
        <v>88.87</v>
      </c>
      <c r="H1147" s="19" t="n">
        <v>0</v>
      </c>
      <c r="I1147" s="21" t="n">
        <v>88.87</v>
      </c>
      <c r="J1147" s="22" t="s">
        <v>80</v>
      </c>
      <c r="K1147" s="11" t="n">
        <v>27</v>
      </c>
      <c r="L1147" s="23" t="n">
        <v>2.4</v>
      </c>
      <c r="M1147" s="24" t="b">
        <f aca="false">FALSE()</f>
        <v>0</v>
      </c>
      <c r="N1147" s="11"/>
      <c r="O1147" s="11" t="str">
        <f aca="false">IF(K1147&lt;=StockP33,"Low",IF(K1147&lt;=StockP67,"Moderate","High"))</f>
        <v>Moderate</v>
      </c>
      <c r="P1147" s="11" t="str">
        <f aca="false">IF(H1147=0,"Low",IF(H1147&lt;=MarkdownP75,"Moderate","High"))</f>
        <v>Low</v>
      </c>
      <c r="Q1147" s="11" t="str">
        <f aca="false">IF(ISBLANK(L1147),"Unknown",IF(L1147&gt;=4,"Good",IF(L1147&lt;=2,"Poor","Neutral")))</f>
        <v>Neutral</v>
      </c>
      <c r="R1147" s="11" t="str">
        <f aca="false">IF(AND(O1147="Low",P1147="Low",Q1147="Good"),"BUY / PRIORITIZE",IF(AND(O1147="High",P1147="High",OR(Q1147="Poor",M1147=TRUE())),"HOLD / REVIEW","MONITOR"))</f>
        <v>MONITOR</v>
      </c>
      <c r="S1147" s="11" t="n">
        <f aca="false">K1147+(ROW()/10000000)</f>
        <v>27.0001147</v>
      </c>
    </row>
    <row r="1148" customFormat="false" ht="15" hidden="false" customHeight="false" outlineLevel="0" collapsed="false">
      <c r="A1148" s="11" t="s">
        <v>1438</v>
      </c>
      <c r="B1148" s="11" t="s">
        <v>26</v>
      </c>
      <c r="C1148" s="11" t="s">
        <v>130</v>
      </c>
      <c r="D1148" s="11" t="s">
        <v>36</v>
      </c>
      <c r="E1148" s="11" t="s">
        <v>113</v>
      </c>
      <c r="F1148" s="11" t="s">
        <v>88</v>
      </c>
      <c r="G1148" s="21" t="n">
        <v>112.6</v>
      </c>
      <c r="H1148" s="19" t="n">
        <v>19.8</v>
      </c>
      <c r="I1148" s="21" t="n">
        <v>90.31</v>
      </c>
      <c r="J1148" s="22" t="s">
        <v>80</v>
      </c>
      <c r="K1148" s="11" t="n">
        <v>2</v>
      </c>
      <c r="L1148" s="23" t="n">
        <v>1</v>
      </c>
      <c r="M1148" s="24" t="b">
        <f aca="false">FALSE()</f>
        <v>0</v>
      </c>
      <c r="N1148" s="11"/>
      <c r="O1148" s="11" t="str">
        <f aca="false">IF(K1148&lt;=StockP33,"Low",IF(K1148&lt;=StockP67,"Moderate","High"))</f>
        <v>Low</v>
      </c>
      <c r="P1148" s="11" t="str">
        <f aca="false">IF(H1148=0,"Low",IF(H1148&lt;=MarkdownP75,"Moderate","High"))</f>
        <v>Moderate</v>
      </c>
      <c r="Q1148" s="11" t="str">
        <f aca="false">IF(ISBLANK(L1148),"Unknown",IF(L1148&gt;=4,"Good",IF(L1148&lt;=2,"Poor","Neutral")))</f>
        <v>Poor</v>
      </c>
      <c r="R1148" s="11" t="str">
        <f aca="false">IF(AND(O1148="Low",P1148="Low",Q1148="Good"),"BUY / PRIORITIZE",IF(AND(O1148="High",P1148="High",OR(Q1148="Poor",M1148=TRUE())),"HOLD / REVIEW","MONITOR"))</f>
        <v>MONITOR</v>
      </c>
      <c r="S1148" s="11" t="n">
        <f aca="false">K1148+(ROW()/10000000)</f>
        <v>2.0001148</v>
      </c>
    </row>
    <row r="1149" customFormat="false" ht="15" hidden="false" customHeight="false" outlineLevel="0" collapsed="false">
      <c r="A1149" s="11" t="s">
        <v>1439</v>
      </c>
      <c r="B1149" s="11" t="s">
        <v>30</v>
      </c>
      <c r="C1149" s="11" t="s">
        <v>77</v>
      </c>
      <c r="D1149" s="11" t="s">
        <v>36</v>
      </c>
      <c r="E1149" s="11" t="s">
        <v>73</v>
      </c>
      <c r="F1149" s="11" t="s">
        <v>98</v>
      </c>
      <c r="G1149" s="21" t="n">
        <v>33.35</v>
      </c>
      <c r="H1149" s="19" t="n">
        <v>0</v>
      </c>
      <c r="I1149" s="21" t="n">
        <v>33.35</v>
      </c>
      <c r="J1149" s="22" t="s">
        <v>80</v>
      </c>
      <c r="K1149" s="11" t="n">
        <v>29</v>
      </c>
      <c r="L1149" s="23" t="n">
        <v>1.2</v>
      </c>
      <c r="M1149" s="24" t="b">
        <f aca="false">FALSE()</f>
        <v>0</v>
      </c>
      <c r="N1149" s="11"/>
      <c r="O1149" s="11" t="str">
        <f aca="false">IF(K1149&lt;=StockP33,"Low",IF(K1149&lt;=StockP67,"Moderate","High"))</f>
        <v>Moderate</v>
      </c>
      <c r="P1149" s="11" t="str">
        <f aca="false">IF(H1149=0,"Low",IF(H1149&lt;=MarkdownP75,"Moderate","High"))</f>
        <v>Low</v>
      </c>
      <c r="Q1149" s="11" t="str">
        <f aca="false">IF(ISBLANK(L1149),"Unknown",IF(L1149&gt;=4,"Good",IF(L1149&lt;=2,"Poor","Neutral")))</f>
        <v>Poor</v>
      </c>
      <c r="R1149" s="11" t="str">
        <f aca="false">IF(AND(O1149="Low",P1149="Low",Q1149="Good"),"BUY / PRIORITIZE",IF(AND(O1149="High",P1149="High",OR(Q1149="Poor",M1149=TRUE())),"HOLD / REVIEW","MONITOR"))</f>
        <v>MONITOR</v>
      </c>
      <c r="S1149" s="11" t="n">
        <f aca="false">K1149+(ROW()/10000000)</f>
        <v>29.0001149</v>
      </c>
    </row>
    <row r="1150" customFormat="false" ht="15" hidden="false" customHeight="false" outlineLevel="0" collapsed="false">
      <c r="A1150" s="11" t="s">
        <v>1440</v>
      </c>
      <c r="B1150" s="11" t="s">
        <v>26</v>
      </c>
      <c r="C1150" s="11" t="s">
        <v>130</v>
      </c>
      <c r="D1150" s="11" t="s">
        <v>36</v>
      </c>
      <c r="E1150" s="11" t="s">
        <v>78</v>
      </c>
      <c r="F1150" s="11" t="s">
        <v>118</v>
      </c>
      <c r="G1150" s="21" t="n">
        <v>115.82</v>
      </c>
      <c r="H1150" s="19" t="n">
        <v>2.9</v>
      </c>
      <c r="I1150" s="21" t="n">
        <v>112.46</v>
      </c>
      <c r="J1150" s="22" t="s">
        <v>80</v>
      </c>
      <c r="K1150" s="11" t="n">
        <v>46</v>
      </c>
      <c r="L1150" s="23"/>
      <c r="M1150" s="24" t="b">
        <f aca="false">FALSE()</f>
        <v>0</v>
      </c>
      <c r="N1150" s="11"/>
      <c r="O1150" s="11" t="str">
        <f aca="false">IF(K1150&lt;=StockP33,"Low",IF(K1150&lt;=StockP67,"Moderate","High"))</f>
        <v>High</v>
      </c>
      <c r="P1150" s="11" t="str">
        <f aca="false">IF(H1150=0,"Low",IF(H1150&lt;=MarkdownP75,"Moderate","High"))</f>
        <v>Moderate</v>
      </c>
      <c r="Q1150" s="11" t="str">
        <f aca="false">IF(ISBLANK(L1150),"Unknown",IF(L1150&gt;=4,"Good",IF(L1150&lt;=2,"Poor","Neutral")))</f>
        <v>Unknown</v>
      </c>
      <c r="R1150" s="11" t="str">
        <f aca="false">IF(AND(O1150="Low",P1150="Low",Q1150="Good"),"BUY / PRIORITIZE",IF(AND(O1150="High",P1150="High",OR(Q1150="Poor",M1150=TRUE())),"HOLD / REVIEW","MONITOR"))</f>
        <v>MONITOR</v>
      </c>
      <c r="S1150" s="11" t="n">
        <f aca="false">K1150+(ROW()/10000000)</f>
        <v>46.000115</v>
      </c>
    </row>
    <row r="1151" customFormat="false" ht="15" hidden="false" customHeight="false" outlineLevel="0" collapsed="false">
      <c r="A1151" s="11" t="s">
        <v>1441</v>
      </c>
      <c r="B1151" s="11" t="s">
        <v>30</v>
      </c>
      <c r="C1151" s="11" t="s">
        <v>86</v>
      </c>
      <c r="D1151" s="11" t="s">
        <v>36</v>
      </c>
      <c r="E1151" s="11" t="s">
        <v>73</v>
      </c>
      <c r="F1151" s="11" t="s">
        <v>88</v>
      </c>
      <c r="G1151" s="21" t="n">
        <v>107.79</v>
      </c>
      <c r="H1151" s="19" t="n">
        <v>3.1</v>
      </c>
      <c r="I1151" s="21" t="n">
        <v>104.45</v>
      </c>
      <c r="J1151" s="22" t="s">
        <v>80</v>
      </c>
      <c r="K1151" s="11" t="n">
        <v>6</v>
      </c>
      <c r="L1151" s="23" t="n">
        <v>2.8</v>
      </c>
      <c r="M1151" s="24" t="b">
        <f aca="false">FALSE()</f>
        <v>0</v>
      </c>
      <c r="N1151" s="11"/>
      <c r="O1151" s="11" t="str">
        <f aca="false">IF(K1151&lt;=StockP33,"Low",IF(K1151&lt;=StockP67,"Moderate","High"))</f>
        <v>Low</v>
      </c>
      <c r="P1151" s="11" t="str">
        <f aca="false">IF(H1151=0,"Low",IF(H1151&lt;=MarkdownP75,"Moderate","High"))</f>
        <v>Moderate</v>
      </c>
      <c r="Q1151" s="11" t="str">
        <f aca="false">IF(ISBLANK(L1151),"Unknown",IF(L1151&gt;=4,"Good",IF(L1151&lt;=2,"Poor","Neutral")))</f>
        <v>Neutral</v>
      </c>
      <c r="R1151" s="11" t="str">
        <f aca="false">IF(AND(O1151="Low",P1151="Low",Q1151="Good"),"BUY / PRIORITIZE",IF(AND(O1151="High",P1151="High",OR(Q1151="Poor",M1151=TRUE())),"HOLD / REVIEW","MONITOR"))</f>
        <v>MONITOR</v>
      </c>
      <c r="S1151" s="11" t="n">
        <f aca="false">K1151+(ROW()/10000000)</f>
        <v>6.0001151</v>
      </c>
    </row>
    <row r="1152" customFormat="false" ht="15" hidden="false" customHeight="false" outlineLevel="0" collapsed="false">
      <c r="A1152" s="11" t="s">
        <v>1442</v>
      </c>
      <c r="B1152" s="11" t="s">
        <v>30</v>
      </c>
      <c r="C1152" s="11" t="s">
        <v>101</v>
      </c>
      <c r="D1152" s="11" t="s">
        <v>35</v>
      </c>
      <c r="E1152" s="11" t="s">
        <v>91</v>
      </c>
      <c r="F1152" s="11" t="s">
        <v>88</v>
      </c>
      <c r="G1152" s="21" t="n">
        <v>53.87</v>
      </c>
      <c r="H1152" s="19" t="n">
        <v>0</v>
      </c>
      <c r="I1152" s="21" t="n">
        <v>53.87</v>
      </c>
      <c r="J1152" s="22" t="s">
        <v>80</v>
      </c>
      <c r="K1152" s="11" t="n">
        <v>50</v>
      </c>
      <c r="L1152" s="23" t="n">
        <v>4.2</v>
      </c>
      <c r="M1152" s="24" t="b">
        <f aca="false">TRUE()</f>
        <v>1</v>
      </c>
      <c r="N1152" s="11" t="s">
        <v>134</v>
      </c>
      <c r="O1152" s="11" t="str">
        <f aca="false">IF(K1152&lt;=StockP33,"Low",IF(K1152&lt;=StockP67,"Moderate","High"))</f>
        <v>High</v>
      </c>
      <c r="P1152" s="11" t="str">
        <f aca="false">IF(H1152=0,"Low",IF(H1152&lt;=MarkdownP75,"Moderate","High"))</f>
        <v>Low</v>
      </c>
      <c r="Q1152" s="11" t="str">
        <f aca="false">IF(ISBLANK(L1152),"Unknown",IF(L1152&gt;=4,"Good",IF(L1152&lt;=2,"Poor","Neutral")))</f>
        <v>Good</v>
      </c>
      <c r="R1152" s="11" t="str">
        <f aca="false">IF(AND(O1152="Low",P1152="Low",Q1152="Good"),"BUY / PRIORITIZE",IF(AND(O1152="High",P1152="High",OR(Q1152="Poor",M1152=TRUE())),"HOLD / REVIEW","MONITOR"))</f>
        <v>MONITOR</v>
      </c>
      <c r="S1152" s="11" t="n">
        <f aca="false">K1152+(ROW()/10000000)</f>
        <v>50.0001152</v>
      </c>
    </row>
    <row r="1153" customFormat="false" ht="15" hidden="false" customHeight="false" outlineLevel="0" collapsed="false">
      <c r="A1153" s="11" t="s">
        <v>1443</v>
      </c>
      <c r="B1153" s="11" t="s">
        <v>30</v>
      </c>
      <c r="C1153" s="11" t="s">
        <v>116</v>
      </c>
      <c r="D1153" s="11" t="s">
        <v>34</v>
      </c>
      <c r="E1153" s="11" t="s">
        <v>110</v>
      </c>
      <c r="F1153" s="11" t="s">
        <v>98</v>
      </c>
      <c r="G1153" s="21" t="n">
        <v>72.5</v>
      </c>
      <c r="H1153" s="19" t="n">
        <v>40.8</v>
      </c>
      <c r="I1153" s="21" t="n">
        <v>42.92</v>
      </c>
      <c r="J1153" s="22" t="s">
        <v>1444</v>
      </c>
      <c r="K1153" s="11" t="n">
        <v>23</v>
      </c>
      <c r="L1153" s="23" t="n">
        <v>4.4</v>
      </c>
      <c r="M1153" s="24" t="b">
        <f aca="false">FALSE()</f>
        <v>0</v>
      </c>
      <c r="N1153" s="11"/>
      <c r="O1153" s="11" t="str">
        <f aca="false">IF(K1153&lt;=StockP33,"Low",IF(K1153&lt;=StockP67,"Moderate","High"))</f>
        <v>Moderate</v>
      </c>
      <c r="P1153" s="11" t="str">
        <f aca="false">IF(H1153=0,"Low",IF(H1153&lt;=MarkdownP75,"Moderate","High"))</f>
        <v>High</v>
      </c>
      <c r="Q1153" s="11" t="str">
        <f aca="false">IF(ISBLANK(L1153),"Unknown",IF(L1153&gt;=4,"Good",IF(L1153&lt;=2,"Poor","Neutral")))</f>
        <v>Good</v>
      </c>
      <c r="R1153" s="11" t="str">
        <f aca="false">IF(AND(O1153="Low",P1153="Low",Q1153="Good"),"BUY / PRIORITIZE",IF(AND(O1153="High",P1153="High",OR(Q1153="Poor",M1153=TRUE())),"HOLD / REVIEW","MONITOR"))</f>
        <v>MONITOR</v>
      </c>
      <c r="S1153" s="11" t="n">
        <f aca="false">K1153+(ROW()/10000000)</f>
        <v>23.0001153</v>
      </c>
    </row>
    <row r="1154" customFormat="false" ht="15" hidden="false" customHeight="false" outlineLevel="0" collapsed="false">
      <c r="A1154" s="11" t="s">
        <v>1445</v>
      </c>
      <c r="B1154" s="11" t="s">
        <v>29</v>
      </c>
      <c r="C1154" s="11" t="s">
        <v>116</v>
      </c>
      <c r="D1154" s="11" t="s">
        <v>34</v>
      </c>
      <c r="E1154" s="11" t="s">
        <v>91</v>
      </c>
      <c r="F1154" s="11" t="s">
        <v>92</v>
      </c>
      <c r="G1154" s="21" t="n">
        <v>152.32</v>
      </c>
      <c r="H1154" s="19" t="n">
        <v>0</v>
      </c>
      <c r="I1154" s="21" t="n">
        <v>152.32</v>
      </c>
      <c r="J1154" s="22" t="s">
        <v>1446</v>
      </c>
      <c r="K1154" s="11" t="n">
        <v>15</v>
      </c>
      <c r="L1154" s="23"/>
      <c r="M1154" s="24" t="b">
        <f aca="false">FALSE()</f>
        <v>0</v>
      </c>
      <c r="N1154" s="11"/>
      <c r="O1154" s="11" t="str">
        <f aca="false">IF(K1154&lt;=StockP33,"Low",IF(K1154&lt;=StockP67,"Moderate","High"))</f>
        <v>Low</v>
      </c>
      <c r="P1154" s="11" t="str">
        <f aca="false">IF(H1154=0,"Low",IF(H1154&lt;=MarkdownP75,"Moderate","High"))</f>
        <v>Low</v>
      </c>
      <c r="Q1154" s="11" t="str">
        <f aca="false">IF(ISBLANK(L1154),"Unknown",IF(L1154&gt;=4,"Good",IF(L1154&lt;=2,"Poor","Neutral")))</f>
        <v>Unknown</v>
      </c>
      <c r="R1154" s="11" t="str">
        <f aca="false">IF(AND(O1154="Low",P1154="Low",Q1154="Good"),"BUY / PRIORITIZE",IF(AND(O1154="High",P1154="High",OR(Q1154="Poor",M1154=TRUE())),"HOLD / REVIEW","MONITOR"))</f>
        <v>MONITOR</v>
      </c>
      <c r="S1154" s="11" t="n">
        <f aca="false">K1154+(ROW()/10000000)</f>
        <v>15.0001154</v>
      </c>
    </row>
    <row r="1155" customFormat="false" ht="15" hidden="false" customHeight="false" outlineLevel="0" collapsed="false">
      <c r="A1155" s="11" t="s">
        <v>1447</v>
      </c>
      <c r="B1155" s="11" t="s">
        <v>27</v>
      </c>
      <c r="C1155" s="11" t="s">
        <v>101</v>
      </c>
      <c r="D1155" s="11" t="s">
        <v>37</v>
      </c>
      <c r="E1155" s="11" t="s">
        <v>113</v>
      </c>
      <c r="F1155" s="11" t="s">
        <v>74</v>
      </c>
      <c r="G1155" s="21" t="n">
        <v>67.63</v>
      </c>
      <c r="H1155" s="19" t="n">
        <v>0</v>
      </c>
      <c r="I1155" s="21" t="n">
        <v>67.63</v>
      </c>
      <c r="J1155" s="22" t="s">
        <v>80</v>
      </c>
      <c r="K1155" s="11" t="n">
        <v>9</v>
      </c>
      <c r="L1155" s="23" t="n">
        <v>4.7</v>
      </c>
      <c r="M1155" s="24" t="b">
        <f aca="false">FALSE()</f>
        <v>0</v>
      </c>
      <c r="N1155" s="11"/>
      <c r="O1155" s="11" t="str">
        <f aca="false">IF(K1155&lt;=StockP33,"Low",IF(K1155&lt;=StockP67,"Moderate","High"))</f>
        <v>Low</v>
      </c>
      <c r="P1155" s="11" t="str">
        <f aca="false">IF(H1155=0,"Low",IF(H1155&lt;=MarkdownP75,"Moderate","High"))</f>
        <v>Low</v>
      </c>
      <c r="Q1155" s="11" t="str">
        <f aca="false">IF(ISBLANK(L1155),"Unknown",IF(L1155&gt;=4,"Good",IF(L1155&lt;=2,"Poor","Neutral")))</f>
        <v>Good</v>
      </c>
      <c r="R1155" s="11" t="str">
        <f aca="false">IF(AND(O1155="Low",P1155="Low",Q1155="Good"),"BUY / PRIORITIZE",IF(AND(O1155="High",P1155="High",OR(Q1155="Poor",M1155=TRUE())),"HOLD / REVIEW","MONITOR"))</f>
        <v>BUY / PRIORITIZE</v>
      </c>
      <c r="S1155" s="11" t="n">
        <f aca="false">K1155+(ROW()/10000000)</f>
        <v>9.0001155</v>
      </c>
    </row>
    <row r="1156" customFormat="false" ht="15" hidden="false" customHeight="false" outlineLevel="0" collapsed="false">
      <c r="A1156" s="11" t="s">
        <v>1448</v>
      </c>
      <c r="B1156" s="11" t="s">
        <v>28</v>
      </c>
      <c r="C1156" s="11" t="s">
        <v>77</v>
      </c>
      <c r="D1156" s="11" t="s">
        <v>35</v>
      </c>
      <c r="E1156" s="11" t="s">
        <v>110</v>
      </c>
      <c r="F1156" s="11" t="s">
        <v>120</v>
      </c>
      <c r="G1156" s="21" t="n">
        <v>221.94</v>
      </c>
      <c r="H1156" s="19" t="n">
        <v>0</v>
      </c>
      <c r="I1156" s="21" t="n">
        <v>221.94</v>
      </c>
      <c r="J1156" s="22" t="s">
        <v>80</v>
      </c>
      <c r="K1156" s="11" t="n">
        <v>35</v>
      </c>
      <c r="L1156" s="23" t="n">
        <v>1.5</v>
      </c>
      <c r="M1156" s="24" t="b">
        <f aca="false">FALSE()</f>
        <v>0</v>
      </c>
      <c r="N1156" s="11"/>
      <c r="O1156" s="11" t="str">
        <f aca="false">IF(K1156&lt;=StockP33,"Low",IF(K1156&lt;=StockP67,"Moderate","High"))</f>
        <v>High</v>
      </c>
      <c r="P1156" s="11" t="str">
        <f aca="false">IF(H1156=0,"Low",IF(H1156&lt;=MarkdownP75,"Moderate","High"))</f>
        <v>Low</v>
      </c>
      <c r="Q1156" s="11" t="str">
        <f aca="false">IF(ISBLANK(L1156),"Unknown",IF(L1156&gt;=4,"Good",IF(L1156&lt;=2,"Poor","Neutral")))</f>
        <v>Poor</v>
      </c>
      <c r="R1156" s="11" t="str">
        <f aca="false">IF(AND(O1156="Low",P1156="Low",Q1156="Good"),"BUY / PRIORITIZE",IF(AND(O1156="High",P1156="High",OR(Q1156="Poor",M1156=TRUE())),"HOLD / REVIEW","MONITOR"))</f>
        <v>MONITOR</v>
      </c>
      <c r="S1156" s="11" t="n">
        <f aca="false">K1156+(ROW()/10000000)</f>
        <v>35.0001156</v>
      </c>
    </row>
    <row r="1157" customFormat="false" ht="15" hidden="false" customHeight="false" outlineLevel="0" collapsed="false">
      <c r="A1157" s="11" t="s">
        <v>1449</v>
      </c>
      <c r="B1157" s="11" t="s">
        <v>26</v>
      </c>
      <c r="C1157" s="11" t="s">
        <v>72</v>
      </c>
      <c r="D1157" s="11" t="s">
        <v>36</v>
      </c>
      <c r="E1157" s="11" t="s">
        <v>110</v>
      </c>
      <c r="F1157" s="11" t="s">
        <v>79</v>
      </c>
      <c r="G1157" s="21" t="n">
        <v>118.77</v>
      </c>
      <c r="H1157" s="19" t="n">
        <v>8.4</v>
      </c>
      <c r="I1157" s="21" t="n">
        <v>108.79</v>
      </c>
      <c r="J1157" s="22" t="s">
        <v>80</v>
      </c>
      <c r="K1157" s="11" t="n">
        <v>30</v>
      </c>
      <c r="L1157" s="23" t="n">
        <v>4.6</v>
      </c>
      <c r="M1157" s="24" t="b">
        <f aca="false">TRUE()</f>
        <v>1</v>
      </c>
      <c r="N1157" s="11" t="s">
        <v>191</v>
      </c>
      <c r="O1157" s="11" t="str">
        <f aca="false">IF(K1157&lt;=StockP33,"Low",IF(K1157&lt;=StockP67,"Moderate","High"))</f>
        <v>Moderate</v>
      </c>
      <c r="P1157" s="11" t="str">
        <f aca="false">IF(H1157=0,"Low",IF(H1157&lt;=MarkdownP75,"Moderate","High"))</f>
        <v>Moderate</v>
      </c>
      <c r="Q1157" s="11" t="str">
        <f aca="false">IF(ISBLANK(L1157),"Unknown",IF(L1157&gt;=4,"Good",IF(L1157&lt;=2,"Poor","Neutral")))</f>
        <v>Good</v>
      </c>
      <c r="R1157" s="11" t="str">
        <f aca="false">IF(AND(O1157="Low",P1157="Low",Q1157="Good"),"BUY / PRIORITIZE",IF(AND(O1157="High",P1157="High",OR(Q1157="Poor",M1157=TRUE())),"HOLD / REVIEW","MONITOR"))</f>
        <v>MONITOR</v>
      </c>
      <c r="S1157" s="11" t="n">
        <f aca="false">K1157+(ROW()/10000000)</f>
        <v>30.0001157</v>
      </c>
    </row>
    <row r="1158" customFormat="false" ht="15" hidden="false" customHeight="false" outlineLevel="0" collapsed="false">
      <c r="A1158" s="11" t="s">
        <v>1450</v>
      </c>
      <c r="B1158" s="11" t="s">
        <v>30</v>
      </c>
      <c r="C1158" s="11" t="s">
        <v>130</v>
      </c>
      <c r="D1158" s="11" t="s">
        <v>36</v>
      </c>
      <c r="E1158" s="11" t="s">
        <v>110</v>
      </c>
      <c r="F1158" s="11" t="s">
        <v>98</v>
      </c>
      <c r="G1158" s="21" t="n">
        <v>100.17</v>
      </c>
      <c r="H1158" s="19" t="n">
        <v>0</v>
      </c>
      <c r="I1158" s="21" t="n">
        <v>100.17</v>
      </c>
      <c r="J1158" s="22" t="s">
        <v>80</v>
      </c>
      <c r="K1158" s="11" t="n">
        <v>18</v>
      </c>
      <c r="L1158" s="23" t="n">
        <v>1.2</v>
      </c>
      <c r="M1158" s="24" t="b">
        <f aca="false">FALSE()</f>
        <v>0</v>
      </c>
      <c r="N1158" s="11"/>
      <c r="O1158" s="11" t="str">
        <f aca="false">IF(K1158&lt;=StockP33,"Low",IF(K1158&lt;=StockP67,"Moderate","High"))</f>
        <v>Moderate</v>
      </c>
      <c r="P1158" s="11" t="str">
        <f aca="false">IF(H1158=0,"Low",IF(H1158&lt;=MarkdownP75,"Moderate","High"))</f>
        <v>Low</v>
      </c>
      <c r="Q1158" s="11" t="str">
        <f aca="false">IF(ISBLANK(L1158),"Unknown",IF(L1158&gt;=4,"Good",IF(L1158&lt;=2,"Poor","Neutral")))</f>
        <v>Poor</v>
      </c>
      <c r="R1158" s="11" t="str">
        <f aca="false">IF(AND(O1158="Low",P1158="Low",Q1158="Good"),"BUY / PRIORITIZE",IF(AND(O1158="High",P1158="High",OR(Q1158="Poor",M1158=TRUE())),"HOLD / REVIEW","MONITOR"))</f>
        <v>MONITOR</v>
      </c>
      <c r="S1158" s="11" t="n">
        <f aca="false">K1158+(ROW()/10000000)</f>
        <v>18.0001158</v>
      </c>
    </row>
    <row r="1159" customFormat="false" ht="15" hidden="false" customHeight="false" outlineLevel="0" collapsed="false">
      <c r="A1159" s="11" t="s">
        <v>1451</v>
      </c>
      <c r="B1159" s="11" t="s">
        <v>8</v>
      </c>
      <c r="C1159" s="11" t="s">
        <v>86</v>
      </c>
      <c r="D1159" s="11" t="s">
        <v>35</v>
      </c>
      <c r="E1159" s="11"/>
      <c r="F1159" s="11" t="s">
        <v>88</v>
      </c>
      <c r="G1159" s="21" t="n">
        <v>18.45</v>
      </c>
      <c r="H1159" s="19" t="n">
        <v>0</v>
      </c>
      <c r="I1159" s="21" t="n">
        <v>18.45</v>
      </c>
      <c r="J1159" s="22" t="s">
        <v>80</v>
      </c>
      <c r="K1159" s="11" t="n">
        <v>39</v>
      </c>
      <c r="L1159" s="23" t="n">
        <v>2.2</v>
      </c>
      <c r="M1159" s="24" t="b">
        <f aca="false">FALSE()</f>
        <v>0</v>
      </c>
      <c r="N1159" s="11"/>
      <c r="O1159" s="11" t="str">
        <f aca="false">IF(K1159&lt;=StockP33,"Low",IF(K1159&lt;=StockP67,"Moderate","High"))</f>
        <v>High</v>
      </c>
      <c r="P1159" s="11" t="str">
        <f aca="false">IF(H1159=0,"Low",IF(H1159&lt;=MarkdownP75,"Moderate","High"))</f>
        <v>Low</v>
      </c>
      <c r="Q1159" s="11" t="str">
        <f aca="false">IF(ISBLANK(L1159),"Unknown",IF(L1159&gt;=4,"Good",IF(L1159&lt;=2,"Poor","Neutral")))</f>
        <v>Neutral</v>
      </c>
      <c r="R1159" s="11" t="str">
        <f aca="false">IF(AND(O1159="Low",P1159="Low",Q1159="Good"),"BUY / PRIORITIZE",IF(AND(O1159="High",P1159="High",OR(Q1159="Poor",M1159=TRUE())),"HOLD / REVIEW","MONITOR"))</f>
        <v>MONITOR</v>
      </c>
      <c r="S1159" s="11" t="n">
        <f aca="false">K1159+(ROW()/10000000)</f>
        <v>39.0001159</v>
      </c>
    </row>
    <row r="1160" customFormat="false" ht="15" hidden="false" customHeight="false" outlineLevel="0" collapsed="false">
      <c r="A1160" s="11" t="s">
        <v>1452</v>
      </c>
      <c r="B1160" s="11" t="s">
        <v>8</v>
      </c>
      <c r="C1160" s="11" t="s">
        <v>116</v>
      </c>
      <c r="D1160" s="11" t="s">
        <v>35</v>
      </c>
      <c r="E1160" s="11"/>
      <c r="F1160" s="11" t="s">
        <v>120</v>
      </c>
      <c r="G1160" s="21" t="n">
        <v>45.56</v>
      </c>
      <c r="H1160" s="19" t="n">
        <v>13.5</v>
      </c>
      <c r="I1160" s="21" t="n">
        <v>39.41</v>
      </c>
      <c r="J1160" s="22" t="s">
        <v>80</v>
      </c>
      <c r="K1160" s="11" t="n">
        <v>40</v>
      </c>
      <c r="L1160" s="23" t="n">
        <v>3.2</v>
      </c>
      <c r="M1160" s="24" t="b">
        <f aca="false">FALSE()</f>
        <v>0</v>
      </c>
      <c r="N1160" s="11"/>
      <c r="O1160" s="11" t="str">
        <f aca="false">IF(K1160&lt;=StockP33,"Low",IF(K1160&lt;=StockP67,"Moderate","High"))</f>
        <v>High</v>
      </c>
      <c r="P1160" s="11" t="str">
        <f aca="false">IF(H1160=0,"Low",IF(H1160&lt;=MarkdownP75,"Moderate","High"))</f>
        <v>Moderate</v>
      </c>
      <c r="Q1160" s="11" t="str">
        <f aca="false">IF(ISBLANK(L1160),"Unknown",IF(L1160&gt;=4,"Good",IF(L1160&lt;=2,"Poor","Neutral")))</f>
        <v>Neutral</v>
      </c>
      <c r="R1160" s="11" t="str">
        <f aca="false">IF(AND(O1160="Low",P1160="Low",Q1160="Good"),"BUY / PRIORITIZE",IF(AND(O1160="High",P1160="High",OR(Q1160="Poor",M1160=TRUE())),"HOLD / REVIEW","MONITOR"))</f>
        <v>MONITOR</v>
      </c>
      <c r="S1160" s="11" t="n">
        <f aca="false">K1160+(ROW()/10000000)</f>
        <v>40.000116</v>
      </c>
    </row>
    <row r="1161" customFormat="false" ht="15" hidden="false" customHeight="false" outlineLevel="0" collapsed="false">
      <c r="A1161" s="11" t="s">
        <v>1453</v>
      </c>
      <c r="B1161" s="11" t="s">
        <v>30</v>
      </c>
      <c r="C1161" s="11" t="s">
        <v>77</v>
      </c>
      <c r="D1161" s="11" t="s">
        <v>34</v>
      </c>
      <c r="E1161" s="11" t="s">
        <v>91</v>
      </c>
      <c r="F1161" s="11" t="s">
        <v>120</v>
      </c>
      <c r="G1161" s="21" t="n">
        <v>62.21</v>
      </c>
      <c r="H1161" s="19" t="n">
        <v>0</v>
      </c>
      <c r="I1161" s="21" t="n">
        <v>62.21</v>
      </c>
      <c r="J1161" s="22" t="s">
        <v>742</v>
      </c>
      <c r="K1161" s="11" t="n">
        <v>38</v>
      </c>
      <c r="L1161" s="23" t="n">
        <v>2.6</v>
      </c>
      <c r="M1161" s="24" t="b">
        <f aca="false">FALSE()</f>
        <v>0</v>
      </c>
      <c r="N1161" s="11"/>
      <c r="O1161" s="11" t="str">
        <f aca="false">IF(K1161&lt;=StockP33,"Low",IF(K1161&lt;=StockP67,"Moderate","High"))</f>
        <v>High</v>
      </c>
      <c r="P1161" s="11" t="str">
        <f aca="false">IF(H1161=0,"Low",IF(H1161&lt;=MarkdownP75,"Moderate","High"))</f>
        <v>Low</v>
      </c>
      <c r="Q1161" s="11" t="str">
        <f aca="false">IF(ISBLANK(L1161),"Unknown",IF(L1161&gt;=4,"Good",IF(L1161&lt;=2,"Poor","Neutral")))</f>
        <v>Neutral</v>
      </c>
      <c r="R1161" s="11" t="str">
        <f aca="false">IF(AND(O1161="Low",P1161="Low",Q1161="Good"),"BUY / PRIORITIZE",IF(AND(O1161="High",P1161="High",OR(Q1161="Poor",M1161=TRUE())),"HOLD / REVIEW","MONITOR"))</f>
        <v>MONITOR</v>
      </c>
      <c r="S1161" s="11" t="n">
        <f aca="false">K1161+(ROW()/10000000)</f>
        <v>38.0001161</v>
      </c>
    </row>
    <row r="1162" customFormat="false" ht="15" hidden="false" customHeight="false" outlineLevel="0" collapsed="false">
      <c r="A1162" s="11" t="s">
        <v>1454</v>
      </c>
      <c r="B1162" s="11" t="s">
        <v>8</v>
      </c>
      <c r="C1162" s="11" t="s">
        <v>130</v>
      </c>
      <c r="D1162" s="11" t="s">
        <v>37</v>
      </c>
      <c r="E1162" s="11"/>
      <c r="F1162" s="11" t="s">
        <v>96</v>
      </c>
      <c r="G1162" s="21" t="n">
        <v>37.02</v>
      </c>
      <c r="H1162" s="19" t="n">
        <v>0</v>
      </c>
      <c r="I1162" s="21" t="n">
        <v>37.02</v>
      </c>
      <c r="J1162" s="22" t="s">
        <v>80</v>
      </c>
      <c r="K1162" s="11" t="n">
        <v>12</v>
      </c>
      <c r="L1162" s="23" t="n">
        <v>4.3</v>
      </c>
      <c r="M1162" s="24" t="b">
        <f aca="false">FALSE()</f>
        <v>0</v>
      </c>
      <c r="N1162" s="11"/>
      <c r="O1162" s="11" t="str">
        <f aca="false">IF(K1162&lt;=StockP33,"Low",IF(K1162&lt;=StockP67,"Moderate","High"))</f>
        <v>Low</v>
      </c>
      <c r="P1162" s="11" t="str">
        <f aca="false">IF(H1162=0,"Low",IF(H1162&lt;=MarkdownP75,"Moderate","High"))</f>
        <v>Low</v>
      </c>
      <c r="Q1162" s="11" t="str">
        <f aca="false">IF(ISBLANK(L1162),"Unknown",IF(L1162&gt;=4,"Good",IF(L1162&lt;=2,"Poor","Neutral")))</f>
        <v>Good</v>
      </c>
      <c r="R1162" s="11" t="str">
        <f aca="false">IF(AND(O1162="Low",P1162="Low",Q1162="Good"),"BUY / PRIORITIZE",IF(AND(O1162="High",P1162="High",OR(Q1162="Poor",M1162=TRUE())),"HOLD / REVIEW","MONITOR"))</f>
        <v>BUY / PRIORITIZE</v>
      </c>
      <c r="S1162" s="11" t="n">
        <f aca="false">K1162+(ROW()/10000000)</f>
        <v>12.0001162</v>
      </c>
    </row>
    <row r="1163" customFormat="false" ht="15" hidden="false" customHeight="false" outlineLevel="0" collapsed="false">
      <c r="A1163" s="11" t="s">
        <v>1455</v>
      </c>
      <c r="B1163" s="11" t="s">
        <v>27</v>
      </c>
      <c r="C1163" s="11" t="s">
        <v>72</v>
      </c>
      <c r="D1163" s="11" t="s">
        <v>35</v>
      </c>
      <c r="E1163" s="11" t="s">
        <v>73</v>
      </c>
      <c r="F1163" s="11" t="s">
        <v>111</v>
      </c>
      <c r="G1163" s="21" t="n">
        <v>51.86</v>
      </c>
      <c r="H1163" s="19" t="n">
        <v>39</v>
      </c>
      <c r="I1163" s="21" t="n">
        <v>31.63</v>
      </c>
      <c r="J1163" s="22" t="s">
        <v>80</v>
      </c>
      <c r="K1163" s="11" t="n">
        <v>40</v>
      </c>
      <c r="L1163" s="23" t="n">
        <v>2.4</v>
      </c>
      <c r="M1163" s="24" t="b">
        <f aca="false">FALSE()</f>
        <v>0</v>
      </c>
      <c r="N1163" s="11"/>
      <c r="O1163" s="11" t="str">
        <f aca="false">IF(K1163&lt;=StockP33,"Low",IF(K1163&lt;=StockP67,"Moderate","High"))</f>
        <v>High</v>
      </c>
      <c r="P1163" s="11" t="str">
        <f aca="false">IF(H1163=0,"Low",IF(H1163&lt;=MarkdownP75,"Moderate","High"))</f>
        <v>High</v>
      </c>
      <c r="Q1163" s="11" t="str">
        <f aca="false">IF(ISBLANK(L1163),"Unknown",IF(L1163&gt;=4,"Good",IF(L1163&lt;=2,"Poor","Neutral")))</f>
        <v>Neutral</v>
      </c>
      <c r="R1163" s="11" t="str">
        <f aca="false">IF(AND(O1163="Low",P1163="Low",Q1163="Good"),"BUY / PRIORITIZE",IF(AND(O1163="High",P1163="High",OR(Q1163="Poor",M1163=TRUE())),"HOLD / REVIEW","MONITOR"))</f>
        <v>MONITOR</v>
      </c>
      <c r="S1163" s="11" t="n">
        <f aca="false">K1163+(ROW()/10000000)</f>
        <v>40.0001163</v>
      </c>
    </row>
    <row r="1164" customFormat="false" ht="15" hidden="false" customHeight="false" outlineLevel="0" collapsed="false">
      <c r="A1164" s="11" t="s">
        <v>1456</v>
      </c>
      <c r="B1164" s="11" t="s">
        <v>27</v>
      </c>
      <c r="C1164" s="11" t="s">
        <v>72</v>
      </c>
      <c r="D1164" s="11" t="s">
        <v>34</v>
      </c>
      <c r="E1164" s="11" t="s">
        <v>110</v>
      </c>
      <c r="F1164" s="11" t="s">
        <v>120</v>
      </c>
      <c r="G1164" s="21" t="n">
        <v>76.24</v>
      </c>
      <c r="H1164" s="19" t="n">
        <v>0</v>
      </c>
      <c r="I1164" s="21" t="n">
        <v>76.24</v>
      </c>
      <c r="J1164" s="22" t="s">
        <v>1065</v>
      </c>
      <c r="K1164" s="11" t="n">
        <v>14</v>
      </c>
      <c r="L1164" s="23" t="n">
        <v>2.8</v>
      </c>
      <c r="M1164" s="24" t="b">
        <f aca="false">FALSE()</f>
        <v>0</v>
      </c>
      <c r="N1164" s="11"/>
      <c r="O1164" s="11" t="str">
        <f aca="false">IF(K1164&lt;=StockP33,"Low",IF(K1164&lt;=StockP67,"Moderate","High"))</f>
        <v>Low</v>
      </c>
      <c r="P1164" s="11" t="str">
        <f aca="false">IF(H1164=0,"Low",IF(H1164&lt;=MarkdownP75,"Moderate","High"))</f>
        <v>Low</v>
      </c>
      <c r="Q1164" s="11" t="str">
        <f aca="false">IF(ISBLANK(L1164),"Unknown",IF(L1164&gt;=4,"Good",IF(L1164&lt;=2,"Poor","Neutral")))</f>
        <v>Neutral</v>
      </c>
      <c r="R1164" s="11" t="str">
        <f aca="false">IF(AND(O1164="Low",P1164="Low",Q1164="Good"),"BUY / PRIORITIZE",IF(AND(O1164="High",P1164="High",OR(Q1164="Poor",M1164=TRUE())),"HOLD / REVIEW","MONITOR"))</f>
        <v>MONITOR</v>
      </c>
      <c r="S1164" s="11" t="n">
        <f aca="false">K1164+(ROW()/10000000)</f>
        <v>14.0001164</v>
      </c>
    </row>
    <row r="1165" customFormat="false" ht="15" hidden="false" customHeight="false" outlineLevel="0" collapsed="false">
      <c r="A1165" s="11" t="s">
        <v>1457</v>
      </c>
      <c r="B1165" s="11" t="s">
        <v>8</v>
      </c>
      <c r="C1165" s="11" t="s">
        <v>72</v>
      </c>
      <c r="D1165" s="11" t="s">
        <v>36</v>
      </c>
      <c r="E1165" s="11"/>
      <c r="F1165" s="11" t="s">
        <v>92</v>
      </c>
      <c r="G1165" s="21" t="n">
        <v>74.17</v>
      </c>
      <c r="H1165" s="19" t="n">
        <v>0</v>
      </c>
      <c r="I1165" s="21" t="n">
        <v>74.17</v>
      </c>
      <c r="J1165" s="22" t="s">
        <v>80</v>
      </c>
      <c r="K1165" s="11" t="n">
        <v>24</v>
      </c>
      <c r="L1165" s="23" t="n">
        <v>1.7</v>
      </c>
      <c r="M1165" s="24" t="b">
        <f aca="false">FALSE()</f>
        <v>0</v>
      </c>
      <c r="N1165" s="11"/>
      <c r="O1165" s="11" t="str">
        <f aca="false">IF(K1165&lt;=StockP33,"Low",IF(K1165&lt;=StockP67,"Moderate","High"))</f>
        <v>Moderate</v>
      </c>
      <c r="P1165" s="11" t="str">
        <f aca="false">IF(H1165=0,"Low",IF(H1165&lt;=MarkdownP75,"Moderate","High"))</f>
        <v>Low</v>
      </c>
      <c r="Q1165" s="11" t="str">
        <f aca="false">IF(ISBLANK(L1165),"Unknown",IF(L1165&gt;=4,"Good",IF(L1165&lt;=2,"Poor","Neutral")))</f>
        <v>Poor</v>
      </c>
      <c r="R1165" s="11" t="str">
        <f aca="false">IF(AND(O1165="Low",P1165="Low",Q1165="Good"),"BUY / PRIORITIZE",IF(AND(O1165="High",P1165="High",OR(Q1165="Poor",M1165=TRUE())),"HOLD / REVIEW","MONITOR"))</f>
        <v>MONITOR</v>
      </c>
      <c r="S1165" s="11" t="n">
        <f aca="false">K1165+(ROW()/10000000)</f>
        <v>24.0001165</v>
      </c>
    </row>
    <row r="1166" customFormat="false" ht="15" hidden="false" customHeight="false" outlineLevel="0" collapsed="false">
      <c r="A1166" s="11" t="s">
        <v>1458</v>
      </c>
      <c r="B1166" s="11" t="s">
        <v>26</v>
      </c>
      <c r="C1166" s="11" t="s">
        <v>130</v>
      </c>
      <c r="D1166" s="11" t="s">
        <v>34</v>
      </c>
      <c r="E1166" s="11" t="s">
        <v>78</v>
      </c>
      <c r="F1166" s="11" t="s">
        <v>111</v>
      </c>
      <c r="G1166" s="21" t="n">
        <v>75.99</v>
      </c>
      <c r="H1166" s="19" t="n">
        <v>0</v>
      </c>
      <c r="I1166" s="21" t="n">
        <v>75.99</v>
      </c>
      <c r="J1166" s="22" t="s">
        <v>1459</v>
      </c>
      <c r="K1166" s="11" t="n">
        <v>19</v>
      </c>
      <c r="L1166" s="23" t="n">
        <v>1.7</v>
      </c>
      <c r="M1166" s="24" t="b">
        <f aca="false">TRUE()</f>
        <v>1</v>
      </c>
      <c r="N1166" s="11" t="s">
        <v>128</v>
      </c>
      <c r="O1166" s="11" t="str">
        <f aca="false">IF(K1166&lt;=StockP33,"Low",IF(K1166&lt;=StockP67,"Moderate","High"))</f>
        <v>Moderate</v>
      </c>
      <c r="P1166" s="11" t="str">
        <f aca="false">IF(H1166=0,"Low",IF(H1166&lt;=MarkdownP75,"Moderate","High"))</f>
        <v>Low</v>
      </c>
      <c r="Q1166" s="11" t="str">
        <f aca="false">IF(ISBLANK(L1166),"Unknown",IF(L1166&gt;=4,"Good",IF(L1166&lt;=2,"Poor","Neutral")))</f>
        <v>Poor</v>
      </c>
      <c r="R1166" s="11" t="str">
        <f aca="false">IF(AND(O1166="Low",P1166="Low",Q1166="Good"),"BUY / PRIORITIZE",IF(AND(O1166="High",P1166="High",OR(Q1166="Poor",M1166=TRUE())),"HOLD / REVIEW","MONITOR"))</f>
        <v>MONITOR</v>
      </c>
      <c r="S1166" s="11" t="n">
        <f aca="false">K1166+(ROW()/10000000)</f>
        <v>19.0001166</v>
      </c>
    </row>
    <row r="1167" customFormat="false" ht="15" hidden="false" customHeight="false" outlineLevel="0" collapsed="false">
      <c r="A1167" s="11" t="s">
        <v>1460</v>
      </c>
      <c r="B1167" s="11" t="s">
        <v>26</v>
      </c>
      <c r="C1167" s="11" t="s">
        <v>101</v>
      </c>
      <c r="D1167" s="11" t="s">
        <v>37</v>
      </c>
      <c r="E1167" s="11" t="s">
        <v>110</v>
      </c>
      <c r="F1167" s="11" t="s">
        <v>118</v>
      </c>
      <c r="G1167" s="21" t="n">
        <v>62.33</v>
      </c>
      <c r="H1167" s="19" t="n">
        <v>49.4</v>
      </c>
      <c r="I1167" s="21" t="n">
        <v>31.54</v>
      </c>
      <c r="J1167" s="22" t="s">
        <v>80</v>
      </c>
      <c r="K1167" s="11" t="n">
        <v>46</v>
      </c>
      <c r="L1167" s="23" t="n">
        <v>3.5</v>
      </c>
      <c r="M1167" s="24" t="b">
        <f aca="false">FALSE()</f>
        <v>0</v>
      </c>
      <c r="N1167" s="11"/>
      <c r="O1167" s="11" t="str">
        <f aca="false">IF(K1167&lt;=StockP33,"Low",IF(K1167&lt;=StockP67,"Moderate","High"))</f>
        <v>High</v>
      </c>
      <c r="P1167" s="11" t="str">
        <f aca="false">IF(H1167=0,"Low",IF(H1167&lt;=MarkdownP75,"Moderate","High"))</f>
        <v>High</v>
      </c>
      <c r="Q1167" s="11" t="str">
        <f aca="false">IF(ISBLANK(L1167),"Unknown",IF(L1167&gt;=4,"Good",IF(L1167&lt;=2,"Poor","Neutral")))</f>
        <v>Neutral</v>
      </c>
      <c r="R1167" s="11" t="str">
        <f aca="false">IF(AND(O1167="Low",P1167="Low",Q1167="Good"),"BUY / PRIORITIZE",IF(AND(O1167="High",P1167="High",OR(Q1167="Poor",M1167=TRUE())),"HOLD / REVIEW","MONITOR"))</f>
        <v>MONITOR</v>
      </c>
      <c r="S1167" s="11" t="n">
        <f aca="false">K1167+(ROW()/10000000)</f>
        <v>46.0001167</v>
      </c>
    </row>
    <row r="1168" customFormat="false" ht="15" hidden="false" customHeight="false" outlineLevel="0" collapsed="false">
      <c r="A1168" s="11" t="s">
        <v>1461</v>
      </c>
      <c r="B1168" s="11" t="s">
        <v>26</v>
      </c>
      <c r="C1168" s="11" t="s">
        <v>95</v>
      </c>
      <c r="D1168" s="11" t="s">
        <v>37</v>
      </c>
      <c r="E1168" s="11" t="s">
        <v>102</v>
      </c>
      <c r="F1168" s="11" t="s">
        <v>74</v>
      </c>
      <c r="G1168" s="21" t="n">
        <v>93.59</v>
      </c>
      <c r="H1168" s="19" t="n">
        <v>0</v>
      </c>
      <c r="I1168" s="21" t="n">
        <v>93.59</v>
      </c>
      <c r="J1168" s="22" t="s">
        <v>80</v>
      </c>
      <c r="K1168" s="11" t="n">
        <v>38</v>
      </c>
      <c r="L1168" s="23" t="n">
        <v>1.9</v>
      </c>
      <c r="M1168" s="24" t="b">
        <f aca="false">FALSE()</f>
        <v>0</v>
      </c>
      <c r="N1168" s="11"/>
      <c r="O1168" s="11" t="str">
        <f aca="false">IF(K1168&lt;=StockP33,"Low",IF(K1168&lt;=StockP67,"Moderate","High"))</f>
        <v>High</v>
      </c>
      <c r="P1168" s="11" t="str">
        <f aca="false">IF(H1168=0,"Low",IF(H1168&lt;=MarkdownP75,"Moderate","High"))</f>
        <v>Low</v>
      </c>
      <c r="Q1168" s="11" t="str">
        <f aca="false">IF(ISBLANK(L1168),"Unknown",IF(L1168&gt;=4,"Good",IF(L1168&lt;=2,"Poor","Neutral")))</f>
        <v>Poor</v>
      </c>
      <c r="R1168" s="11" t="str">
        <f aca="false">IF(AND(O1168="Low",P1168="Low",Q1168="Good"),"BUY / PRIORITIZE",IF(AND(O1168="High",P1168="High",OR(Q1168="Poor",M1168=TRUE())),"HOLD / REVIEW","MONITOR"))</f>
        <v>MONITOR</v>
      </c>
      <c r="S1168" s="11" t="n">
        <f aca="false">K1168+(ROW()/10000000)</f>
        <v>38.0001168</v>
      </c>
    </row>
    <row r="1169" customFormat="false" ht="15" hidden="false" customHeight="false" outlineLevel="0" collapsed="false">
      <c r="A1169" s="11" t="s">
        <v>1462</v>
      </c>
      <c r="B1169" s="11" t="s">
        <v>30</v>
      </c>
      <c r="C1169" s="11" t="s">
        <v>130</v>
      </c>
      <c r="D1169" s="11" t="s">
        <v>36</v>
      </c>
      <c r="E1169" s="11"/>
      <c r="F1169" s="11" t="s">
        <v>96</v>
      </c>
      <c r="G1169" s="21" t="n">
        <v>72.83</v>
      </c>
      <c r="H1169" s="19" t="n">
        <v>35.7</v>
      </c>
      <c r="I1169" s="21" t="n">
        <v>46.83</v>
      </c>
      <c r="J1169" s="22" t="s">
        <v>80</v>
      </c>
      <c r="K1169" s="11" t="n">
        <v>11</v>
      </c>
      <c r="L1169" s="23" t="n">
        <v>3.1</v>
      </c>
      <c r="M1169" s="24" t="b">
        <f aca="false">FALSE()</f>
        <v>0</v>
      </c>
      <c r="N1169" s="11"/>
      <c r="O1169" s="11" t="str">
        <f aca="false">IF(K1169&lt;=StockP33,"Low",IF(K1169&lt;=StockP67,"Moderate","High"))</f>
        <v>Low</v>
      </c>
      <c r="P1169" s="11" t="str">
        <f aca="false">IF(H1169=0,"Low",IF(H1169&lt;=MarkdownP75,"Moderate","High"))</f>
        <v>High</v>
      </c>
      <c r="Q1169" s="11" t="str">
        <f aca="false">IF(ISBLANK(L1169),"Unknown",IF(L1169&gt;=4,"Good",IF(L1169&lt;=2,"Poor","Neutral")))</f>
        <v>Neutral</v>
      </c>
      <c r="R1169" s="11" t="str">
        <f aca="false">IF(AND(O1169="Low",P1169="Low",Q1169="Good"),"BUY / PRIORITIZE",IF(AND(O1169="High",P1169="High",OR(Q1169="Poor",M1169=TRUE())),"HOLD / REVIEW","MONITOR"))</f>
        <v>MONITOR</v>
      </c>
      <c r="S1169" s="11" t="n">
        <f aca="false">K1169+(ROW()/10000000)</f>
        <v>11.0001169</v>
      </c>
    </row>
    <row r="1170" customFormat="false" ht="15" hidden="false" customHeight="false" outlineLevel="0" collapsed="false">
      <c r="A1170" s="11" t="s">
        <v>1463</v>
      </c>
      <c r="B1170" s="11" t="s">
        <v>28</v>
      </c>
      <c r="C1170" s="11" t="s">
        <v>77</v>
      </c>
      <c r="D1170" s="11" t="s">
        <v>37</v>
      </c>
      <c r="E1170" s="11" t="s">
        <v>102</v>
      </c>
      <c r="F1170" s="11" t="s">
        <v>92</v>
      </c>
      <c r="G1170" s="21" t="n">
        <v>134.59</v>
      </c>
      <c r="H1170" s="19" t="n">
        <v>33.6</v>
      </c>
      <c r="I1170" s="21" t="n">
        <v>89.37</v>
      </c>
      <c r="J1170" s="22" t="s">
        <v>80</v>
      </c>
      <c r="K1170" s="11" t="n">
        <v>42</v>
      </c>
      <c r="L1170" s="23" t="n">
        <v>2.9</v>
      </c>
      <c r="M1170" s="24" t="b">
        <f aca="false">FALSE()</f>
        <v>0</v>
      </c>
      <c r="N1170" s="11"/>
      <c r="O1170" s="11" t="str">
        <f aca="false">IF(K1170&lt;=StockP33,"Low",IF(K1170&lt;=StockP67,"Moderate","High"))</f>
        <v>High</v>
      </c>
      <c r="P1170" s="11" t="str">
        <f aca="false">IF(H1170=0,"Low",IF(H1170&lt;=MarkdownP75,"Moderate","High"))</f>
        <v>High</v>
      </c>
      <c r="Q1170" s="11" t="str">
        <f aca="false">IF(ISBLANK(L1170),"Unknown",IF(L1170&gt;=4,"Good",IF(L1170&lt;=2,"Poor","Neutral")))</f>
        <v>Neutral</v>
      </c>
      <c r="R1170" s="11" t="str">
        <f aca="false">IF(AND(O1170="Low",P1170="Low",Q1170="Good"),"BUY / PRIORITIZE",IF(AND(O1170="High",P1170="High",OR(Q1170="Poor",M1170=TRUE())),"HOLD / REVIEW","MONITOR"))</f>
        <v>MONITOR</v>
      </c>
      <c r="S1170" s="11" t="n">
        <f aca="false">K1170+(ROW()/10000000)</f>
        <v>42.000117</v>
      </c>
    </row>
    <row r="1171" customFormat="false" ht="15" hidden="false" customHeight="false" outlineLevel="0" collapsed="false">
      <c r="A1171" s="11" t="s">
        <v>1464</v>
      </c>
      <c r="B1171" s="11" t="s">
        <v>26</v>
      </c>
      <c r="C1171" s="11" t="s">
        <v>72</v>
      </c>
      <c r="D1171" s="11" t="s">
        <v>34</v>
      </c>
      <c r="E1171" s="11"/>
      <c r="F1171" s="11" t="s">
        <v>111</v>
      </c>
      <c r="G1171" s="21" t="n">
        <v>71.6</v>
      </c>
      <c r="H1171" s="19" t="n">
        <v>41.9</v>
      </c>
      <c r="I1171" s="21" t="n">
        <v>41.6</v>
      </c>
      <c r="J1171" s="22" t="s">
        <v>270</v>
      </c>
      <c r="K1171" s="11" t="n">
        <v>16</v>
      </c>
      <c r="L1171" s="23" t="n">
        <v>2.8</v>
      </c>
      <c r="M1171" s="24" t="b">
        <f aca="false">FALSE()</f>
        <v>0</v>
      </c>
      <c r="N1171" s="11"/>
      <c r="O1171" s="11" t="str">
        <f aca="false">IF(K1171&lt;=StockP33,"Low",IF(K1171&lt;=StockP67,"Moderate","High"))</f>
        <v>Low</v>
      </c>
      <c r="P1171" s="11" t="str">
        <f aca="false">IF(H1171=0,"Low",IF(H1171&lt;=MarkdownP75,"Moderate","High"))</f>
        <v>High</v>
      </c>
      <c r="Q1171" s="11" t="str">
        <f aca="false">IF(ISBLANK(L1171),"Unknown",IF(L1171&gt;=4,"Good",IF(L1171&lt;=2,"Poor","Neutral")))</f>
        <v>Neutral</v>
      </c>
      <c r="R1171" s="11" t="str">
        <f aca="false">IF(AND(O1171="Low",P1171="Low",Q1171="Good"),"BUY / PRIORITIZE",IF(AND(O1171="High",P1171="High",OR(Q1171="Poor",M1171=TRUE())),"HOLD / REVIEW","MONITOR"))</f>
        <v>MONITOR</v>
      </c>
      <c r="S1171" s="11" t="n">
        <f aca="false">K1171+(ROW()/10000000)</f>
        <v>16.0001171</v>
      </c>
    </row>
    <row r="1172" customFormat="false" ht="15" hidden="false" customHeight="false" outlineLevel="0" collapsed="false">
      <c r="A1172" s="11" t="s">
        <v>1465</v>
      </c>
      <c r="B1172" s="11" t="s">
        <v>29</v>
      </c>
      <c r="C1172" s="11" t="s">
        <v>107</v>
      </c>
      <c r="D1172" s="11" t="s">
        <v>35</v>
      </c>
      <c r="E1172" s="11" t="s">
        <v>73</v>
      </c>
      <c r="F1172" s="11" t="s">
        <v>74</v>
      </c>
      <c r="G1172" s="21" t="n">
        <v>62.35</v>
      </c>
      <c r="H1172" s="19" t="n">
        <v>53.5</v>
      </c>
      <c r="I1172" s="21" t="n">
        <v>28.99</v>
      </c>
      <c r="J1172" s="22" t="s">
        <v>80</v>
      </c>
      <c r="K1172" s="11" t="n">
        <v>1</v>
      </c>
      <c r="L1172" s="23" t="n">
        <v>4.1</v>
      </c>
      <c r="M1172" s="24" t="b">
        <f aca="false">FALSE()</f>
        <v>0</v>
      </c>
      <c r="N1172" s="11"/>
      <c r="O1172" s="11" t="str">
        <f aca="false">IF(K1172&lt;=StockP33,"Low",IF(K1172&lt;=StockP67,"Moderate","High"))</f>
        <v>Low</v>
      </c>
      <c r="P1172" s="11" t="str">
        <f aca="false">IF(H1172=0,"Low",IF(H1172&lt;=MarkdownP75,"Moderate","High"))</f>
        <v>High</v>
      </c>
      <c r="Q1172" s="11" t="str">
        <f aca="false">IF(ISBLANK(L1172),"Unknown",IF(L1172&gt;=4,"Good",IF(L1172&lt;=2,"Poor","Neutral")))</f>
        <v>Good</v>
      </c>
      <c r="R1172" s="11" t="str">
        <f aca="false">IF(AND(O1172="Low",P1172="Low",Q1172="Good"),"BUY / PRIORITIZE",IF(AND(O1172="High",P1172="High",OR(Q1172="Poor",M1172=TRUE())),"HOLD / REVIEW","MONITOR"))</f>
        <v>MONITOR</v>
      </c>
      <c r="S1172" s="11" t="n">
        <f aca="false">K1172+(ROW()/10000000)</f>
        <v>1.0001172</v>
      </c>
    </row>
    <row r="1173" customFormat="false" ht="15" hidden="false" customHeight="false" outlineLevel="0" collapsed="false">
      <c r="A1173" s="11" t="s">
        <v>1466</v>
      </c>
      <c r="B1173" s="11" t="s">
        <v>28</v>
      </c>
      <c r="C1173" s="11" t="s">
        <v>107</v>
      </c>
      <c r="D1173" s="11" t="s">
        <v>34</v>
      </c>
      <c r="E1173" s="11" t="s">
        <v>110</v>
      </c>
      <c r="F1173" s="11" t="s">
        <v>118</v>
      </c>
      <c r="G1173" s="21" t="n">
        <v>80.55</v>
      </c>
      <c r="H1173" s="19" t="n">
        <v>43.7</v>
      </c>
      <c r="I1173" s="21" t="n">
        <v>45.35</v>
      </c>
      <c r="J1173" s="22" t="s">
        <v>1467</v>
      </c>
      <c r="K1173" s="11" t="n">
        <v>41</v>
      </c>
      <c r="L1173" s="23" t="n">
        <v>4.8</v>
      </c>
      <c r="M1173" s="24" t="b">
        <f aca="false">TRUE()</f>
        <v>1</v>
      </c>
      <c r="N1173" s="11" t="s">
        <v>178</v>
      </c>
      <c r="O1173" s="11" t="str">
        <f aca="false">IF(K1173&lt;=StockP33,"Low",IF(K1173&lt;=StockP67,"Moderate","High"))</f>
        <v>High</v>
      </c>
      <c r="P1173" s="11" t="str">
        <f aca="false">IF(H1173=0,"Low",IF(H1173&lt;=MarkdownP75,"Moderate","High"))</f>
        <v>High</v>
      </c>
      <c r="Q1173" s="11" t="str">
        <f aca="false">IF(ISBLANK(L1173),"Unknown",IF(L1173&gt;=4,"Good",IF(L1173&lt;=2,"Poor","Neutral")))</f>
        <v>Good</v>
      </c>
      <c r="R1173" s="11" t="str">
        <f aca="false">IF(AND(O1173="Low",P1173="Low",Q1173="Good"),"BUY / PRIORITIZE",IF(AND(O1173="High",P1173="High",OR(Q1173="Poor",M1173=TRUE())),"HOLD / REVIEW","MONITOR"))</f>
        <v>HOLD / REVIEW</v>
      </c>
      <c r="S1173" s="11" t="n">
        <f aca="false">K1173+(ROW()/10000000)</f>
        <v>41.0001173</v>
      </c>
    </row>
    <row r="1174" customFormat="false" ht="15" hidden="false" customHeight="false" outlineLevel="0" collapsed="false">
      <c r="A1174" s="11" t="s">
        <v>1468</v>
      </c>
      <c r="B1174" s="11" t="s">
        <v>29</v>
      </c>
      <c r="C1174" s="11" t="s">
        <v>86</v>
      </c>
      <c r="D1174" s="11" t="s">
        <v>37</v>
      </c>
      <c r="E1174" s="11" t="s">
        <v>113</v>
      </c>
      <c r="F1174" s="11" t="s">
        <v>111</v>
      </c>
      <c r="G1174" s="21" t="n">
        <v>171.48</v>
      </c>
      <c r="H1174" s="19" t="n">
        <v>0</v>
      </c>
      <c r="I1174" s="21" t="n">
        <v>171.48</v>
      </c>
      <c r="J1174" s="22" t="s">
        <v>80</v>
      </c>
      <c r="K1174" s="11" t="n">
        <v>15</v>
      </c>
      <c r="L1174" s="23" t="n">
        <v>2.4</v>
      </c>
      <c r="M1174" s="24" t="b">
        <f aca="false">FALSE()</f>
        <v>0</v>
      </c>
      <c r="N1174" s="11"/>
      <c r="O1174" s="11" t="str">
        <f aca="false">IF(K1174&lt;=StockP33,"Low",IF(K1174&lt;=StockP67,"Moderate","High"))</f>
        <v>Low</v>
      </c>
      <c r="P1174" s="11" t="str">
        <f aca="false">IF(H1174=0,"Low",IF(H1174&lt;=MarkdownP75,"Moderate","High"))</f>
        <v>Low</v>
      </c>
      <c r="Q1174" s="11" t="str">
        <f aca="false">IF(ISBLANK(L1174),"Unknown",IF(L1174&gt;=4,"Good",IF(L1174&lt;=2,"Poor","Neutral")))</f>
        <v>Neutral</v>
      </c>
      <c r="R1174" s="11" t="str">
        <f aca="false">IF(AND(O1174="Low",P1174="Low",Q1174="Good"),"BUY / PRIORITIZE",IF(AND(O1174="High",P1174="High",OR(Q1174="Poor",M1174=TRUE())),"HOLD / REVIEW","MONITOR"))</f>
        <v>MONITOR</v>
      </c>
      <c r="S1174" s="11" t="n">
        <f aca="false">K1174+(ROW()/10000000)</f>
        <v>15.0001174</v>
      </c>
    </row>
    <row r="1175" customFormat="false" ht="15" hidden="false" customHeight="false" outlineLevel="0" collapsed="false">
      <c r="A1175" s="11" t="s">
        <v>1469</v>
      </c>
      <c r="B1175" s="11" t="s">
        <v>30</v>
      </c>
      <c r="C1175" s="11" t="s">
        <v>107</v>
      </c>
      <c r="D1175" s="11" t="s">
        <v>34</v>
      </c>
      <c r="E1175" s="11" t="s">
        <v>73</v>
      </c>
      <c r="F1175" s="11" t="s">
        <v>118</v>
      </c>
      <c r="G1175" s="21" t="n">
        <v>30.81</v>
      </c>
      <c r="H1175" s="19" t="n">
        <v>15.7</v>
      </c>
      <c r="I1175" s="21" t="n">
        <v>25.97</v>
      </c>
      <c r="J1175" s="22" t="s">
        <v>1470</v>
      </c>
      <c r="K1175" s="11" t="n">
        <v>4</v>
      </c>
      <c r="L1175" s="23"/>
      <c r="M1175" s="24" t="b">
        <f aca="false">FALSE()</f>
        <v>0</v>
      </c>
      <c r="N1175" s="11"/>
      <c r="O1175" s="11" t="str">
        <f aca="false">IF(K1175&lt;=StockP33,"Low",IF(K1175&lt;=StockP67,"Moderate","High"))</f>
        <v>Low</v>
      </c>
      <c r="P1175" s="11" t="str">
        <f aca="false">IF(H1175=0,"Low",IF(H1175&lt;=MarkdownP75,"Moderate","High"))</f>
        <v>Moderate</v>
      </c>
      <c r="Q1175" s="11" t="str">
        <f aca="false">IF(ISBLANK(L1175),"Unknown",IF(L1175&gt;=4,"Good",IF(L1175&lt;=2,"Poor","Neutral")))</f>
        <v>Unknown</v>
      </c>
      <c r="R1175" s="11" t="str">
        <f aca="false">IF(AND(O1175="Low",P1175="Low",Q1175="Good"),"BUY / PRIORITIZE",IF(AND(O1175="High",P1175="High",OR(Q1175="Poor",M1175=TRUE())),"HOLD / REVIEW","MONITOR"))</f>
        <v>MONITOR</v>
      </c>
      <c r="S1175" s="11" t="n">
        <f aca="false">K1175+(ROW()/10000000)</f>
        <v>4.0001175</v>
      </c>
    </row>
    <row r="1176" customFormat="false" ht="15" hidden="false" customHeight="false" outlineLevel="0" collapsed="false">
      <c r="A1176" s="11" t="s">
        <v>1471</v>
      </c>
      <c r="B1176" s="11" t="s">
        <v>27</v>
      </c>
      <c r="C1176" s="11" t="s">
        <v>101</v>
      </c>
      <c r="D1176" s="11" t="s">
        <v>35</v>
      </c>
      <c r="E1176" s="11" t="s">
        <v>78</v>
      </c>
      <c r="F1176" s="11" t="s">
        <v>96</v>
      </c>
      <c r="G1176" s="21" t="n">
        <v>97.14</v>
      </c>
      <c r="H1176" s="19" t="n">
        <v>0</v>
      </c>
      <c r="I1176" s="21" t="n">
        <v>97.14</v>
      </c>
      <c r="J1176" s="22" t="s">
        <v>80</v>
      </c>
      <c r="K1176" s="11" t="n">
        <v>20</v>
      </c>
      <c r="L1176" s="23" t="n">
        <v>4.1</v>
      </c>
      <c r="M1176" s="24" t="b">
        <f aca="false">FALSE()</f>
        <v>0</v>
      </c>
      <c r="N1176" s="11"/>
      <c r="O1176" s="11" t="str">
        <f aca="false">IF(K1176&lt;=StockP33,"Low",IF(K1176&lt;=StockP67,"Moderate","High"))</f>
        <v>Moderate</v>
      </c>
      <c r="P1176" s="11" t="str">
        <f aca="false">IF(H1176=0,"Low",IF(H1176&lt;=MarkdownP75,"Moderate","High"))</f>
        <v>Low</v>
      </c>
      <c r="Q1176" s="11" t="str">
        <f aca="false">IF(ISBLANK(L1176),"Unknown",IF(L1176&gt;=4,"Good",IF(L1176&lt;=2,"Poor","Neutral")))</f>
        <v>Good</v>
      </c>
      <c r="R1176" s="11" t="str">
        <f aca="false">IF(AND(O1176="Low",P1176="Low",Q1176="Good"),"BUY / PRIORITIZE",IF(AND(O1176="High",P1176="High",OR(Q1176="Poor",M1176=TRUE())),"HOLD / REVIEW","MONITOR"))</f>
        <v>MONITOR</v>
      </c>
      <c r="S1176" s="11" t="n">
        <f aca="false">K1176+(ROW()/10000000)</f>
        <v>20.0001176</v>
      </c>
    </row>
    <row r="1177" customFormat="false" ht="15" hidden="false" customHeight="false" outlineLevel="0" collapsed="false">
      <c r="A1177" s="11" t="s">
        <v>1472</v>
      </c>
      <c r="B1177" s="11" t="s">
        <v>29</v>
      </c>
      <c r="C1177" s="11" t="s">
        <v>130</v>
      </c>
      <c r="D1177" s="11" t="s">
        <v>36</v>
      </c>
      <c r="E1177" s="11" t="s">
        <v>91</v>
      </c>
      <c r="F1177" s="11" t="s">
        <v>88</v>
      </c>
      <c r="G1177" s="21" t="n">
        <v>128.27</v>
      </c>
      <c r="H1177" s="19" t="n">
        <v>0</v>
      </c>
      <c r="I1177" s="21" t="n">
        <v>128.27</v>
      </c>
      <c r="J1177" s="22" t="s">
        <v>80</v>
      </c>
      <c r="K1177" s="11" t="n">
        <v>28</v>
      </c>
      <c r="L1177" s="23"/>
      <c r="M1177" s="24" t="b">
        <f aca="false">FALSE()</f>
        <v>0</v>
      </c>
      <c r="N1177" s="11"/>
      <c r="O1177" s="11" t="str">
        <f aca="false">IF(K1177&lt;=StockP33,"Low",IF(K1177&lt;=StockP67,"Moderate","High"))</f>
        <v>Moderate</v>
      </c>
      <c r="P1177" s="11" t="str">
        <f aca="false">IF(H1177=0,"Low",IF(H1177&lt;=MarkdownP75,"Moderate","High"))</f>
        <v>Low</v>
      </c>
      <c r="Q1177" s="11" t="str">
        <f aca="false">IF(ISBLANK(L1177),"Unknown",IF(L1177&gt;=4,"Good",IF(L1177&lt;=2,"Poor","Neutral")))</f>
        <v>Unknown</v>
      </c>
      <c r="R1177" s="11" t="str">
        <f aca="false">IF(AND(O1177="Low",P1177="Low",Q1177="Good"),"BUY / PRIORITIZE",IF(AND(O1177="High",P1177="High",OR(Q1177="Poor",M1177=TRUE())),"HOLD / REVIEW","MONITOR"))</f>
        <v>MONITOR</v>
      </c>
      <c r="S1177" s="11" t="n">
        <f aca="false">K1177+(ROW()/10000000)</f>
        <v>28.0001177</v>
      </c>
    </row>
    <row r="1178" customFormat="false" ht="15" hidden="false" customHeight="false" outlineLevel="0" collapsed="false">
      <c r="A1178" s="11" t="s">
        <v>1473</v>
      </c>
      <c r="B1178" s="11" t="s">
        <v>27</v>
      </c>
      <c r="C1178" s="11" t="s">
        <v>72</v>
      </c>
      <c r="D1178" s="11" t="s">
        <v>37</v>
      </c>
      <c r="E1178" s="11" t="s">
        <v>73</v>
      </c>
      <c r="F1178" s="11" t="s">
        <v>98</v>
      </c>
      <c r="G1178" s="21" t="n">
        <v>174.86</v>
      </c>
      <c r="H1178" s="19" t="n">
        <v>0</v>
      </c>
      <c r="I1178" s="21" t="n">
        <v>174.86</v>
      </c>
      <c r="J1178" s="22" t="s">
        <v>80</v>
      </c>
      <c r="K1178" s="11" t="n">
        <v>43</v>
      </c>
      <c r="L1178" s="23" t="n">
        <v>4.6</v>
      </c>
      <c r="M1178" s="24" t="b">
        <f aca="false">FALSE()</f>
        <v>0</v>
      </c>
      <c r="N1178" s="11"/>
      <c r="O1178" s="11" t="str">
        <f aca="false">IF(K1178&lt;=StockP33,"Low",IF(K1178&lt;=StockP67,"Moderate","High"))</f>
        <v>High</v>
      </c>
      <c r="P1178" s="11" t="str">
        <f aca="false">IF(H1178=0,"Low",IF(H1178&lt;=MarkdownP75,"Moderate","High"))</f>
        <v>Low</v>
      </c>
      <c r="Q1178" s="11" t="str">
        <f aca="false">IF(ISBLANK(L1178),"Unknown",IF(L1178&gt;=4,"Good",IF(L1178&lt;=2,"Poor","Neutral")))</f>
        <v>Good</v>
      </c>
      <c r="R1178" s="11" t="str">
        <f aca="false">IF(AND(O1178="Low",P1178="Low",Q1178="Good"),"BUY / PRIORITIZE",IF(AND(O1178="High",P1178="High",OR(Q1178="Poor",M1178=TRUE())),"HOLD / REVIEW","MONITOR"))</f>
        <v>MONITOR</v>
      </c>
      <c r="S1178" s="11" t="n">
        <f aca="false">K1178+(ROW()/10000000)</f>
        <v>43.0001178</v>
      </c>
    </row>
    <row r="1179" customFormat="false" ht="15" hidden="false" customHeight="false" outlineLevel="0" collapsed="false">
      <c r="A1179" s="11" t="s">
        <v>1474</v>
      </c>
      <c r="B1179" s="11" t="s">
        <v>27</v>
      </c>
      <c r="C1179" s="11" t="s">
        <v>86</v>
      </c>
      <c r="D1179" s="11" t="s">
        <v>37</v>
      </c>
      <c r="E1179" s="11" t="s">
        <v>73</v>
      </c>
      <c r="F1179" s="11" t="s">
        <v>88</v>
      </c>
      <c r="G1179" s="21" t="n">
        <v>100.03</v>
      </c>
      <c r="H1179" s="19" t="n">
        <v>0</v>
      </c>
      <c r="I1179" s="21" t="n">
        <v>100.03</v>
      </c>
      <c r="J1179" s="22" t="s">
        <v>80</v>
      </c>
      <c r="K1179" s="11" t="n">
        <v>36</v>
      </c>
      <c r="L1179" s="23" t="n">
        <v>1.9</v>
      </c>
      <c r="M1179" s="24" t="b">
        <f aca="false">TRUE()</f>
        <v>1</v>
      </c>
      <c r="N1179" s="11" t="s">
        <v>140</v>
      </c>
      <c r="O1179" s="11" t="str">
        <f aca="false">IF(K1179&lt;=StockP33,"Low",IF(K1179&lt;=StockP67,"Moderate","High"))</f>
        <v>High</v>
      </c>
      <c r="P1179" s="11" t="str">
        <f aca="false">IF(H1179=0,"Low",IF(H1179&lt;=MarkdownP75,"Moderate","High"))</f>
        <v>Low</v>
      </c>
      <c r="Q1179" s="11" t="str">
        <f aca="false">IF(ISBLANK(L1179),"Unknown",IF(L1179&gt;=4,"Good",IF(L1179&lt;=2,"Poor","Neutral")))</f>
        <v>Poor</v>
      </c>
      <c r="R1179" s="11" t="str">
        <f aca="false">IF(AND(O1179="Low",P1179="Low",Q1179="Good"),"BUY / PRIORITIZE",IF(AND(O1179="High",P1179="High",OR(Q1179="Poor",M1179=TRUE())),"HOLD / REVIEW","MONITOR"))</f>
        <v>MONITOR</v>
      </c>
      <c r="S1179" s="11" t="n">
        <f aca="false">K1179+(ROW()/10000000)</f>
        <v>36.0001179</v>
      </c>
    </row>
    <row r="1180" customFormat="false" ht="15" hidden="false" customHeight="false" outlineLevel="0" collapsed="false">
      <c r="A1180" s="11" t="s">
        <v>1475</v>
      </c>
      <c r="B1180" s="11" t="s">
        <v>27</v>
      </c>
      <c r="C1180" s="11" t="s">
        <v>72</v>
      </c>
      <c r="D1180" s="11" t="s">
        <v>37</v>
      </c>
      <c r="E1180" s="11" t="s">
        <v>91</v>
      </c>
      <c r="F1180" s="11" t="s">
        <v>120</v>
      </c>
      <c r="G1180" s="21" t="n">
        <v>49.89</v>
      </c>
      <c r="H1180" s="19" t="n">
        <v>0</v>
      </c>
      <c r="I1180" s="21" t="n">
        <v>49.89</v>
      </c>
      <c r="J1180" s="22" t="s">
        <v>80</v>
      </c>
      <c r="K1180" s="11" t="n">
        <v>0</v>
      </c>
      <c r="L1180" s="23" t="n">
        <v>3.5</v>
      </c>
      <c r="M1180" s="24" t="b">
        <f aca="false">TRUE()</f>
        <v>1</v>
      </c>
      <c r="N1180" s="11" t="s">
        <v>191</v>
      </c>
      <c r="O1180" s="11" t="str">
        <f aca="false">IF(K1180&lt;=StockP33,"Low",IF(K1180&lt;=StockP67,"Moderate","High"))</f>
        <v>Low</v>
      </c>
      <c r="P1180" s="11" t="str">
        <f aca="false">IF(H1180=0,"Low",IF(H1180&lt;=MarkdownP75,"Moderate","High"))</f>
        <v>Low</v>
      </c>
      <c r="Q1180" s="11" t="str">
        <f aca="false">IF(ISBLANK(L1180),"Unknown",IF(L1180&gt;=4,"Good",IF(L1180&lt;=2,"Poor","Neutral")))</f>
        <v>Neutral</v>
      </c>
      <c r="R1180" s="11" t="str">
        <f aca="false">IF(AND(O1180="Low",P1180="Low",Q1180="Good"),"BUY / PRIORITIZE",IF(AND(O1180="High",P1180="High",OR(Q1180="Poor",M1180=TRUE())),"HOLD / REVIEW","MONITOR"))</f>
        <v>MONITOR</v>
      </c>
      <c r="S1180" s="11" t="n">
        <f aca="false">K1180+(ROW()/10000000)</f>
        <v>0.000118</v>
      </c>
    </row>
    <row r="1181" customFormat="false" ht="15" hidden="false" customHeight="false" outlineLevel="0" collapsed="false">
      <c r="A1181" s="11" t="s">
        <v>1476</v>
      </c>
      <c r="B1181" s="11" t="s">
        <v>29</v>
      </c>
      <c r="C1181" s="11" t="s">
        <v>101</v>
      </c>
      <c r="D1181" s="11" t="s">
        <v>36</v>
      </c>
      <c r="E1181" s="11" t="s">
        <v>73</v>
      </c>
      <c r="F1181" s="11" t="s">
        <v>124</v>
      </c>
      <c r="G1181" s="21" t="n">
        <v>170.43</v>
      </c>
      <c r="H1181" s="19" t="n">
        <v>0</v>
      </c>
      <c r="I1181" s="21" t="n">
        <v>170.43</v>
      </c>
      <c r="J1181" s="22" t="s">
        <v>80</v>
      </c>
      <c r="K1181" s="11" t="n">
        <v>22</v>
      </c>
      <c r="L1181" s="23"/>
      <c r="M1181" s="24" t="b">
        <f aca="false">FALSE()</f>
        <v>0</v>
      </c>
      <c r="N1181" s="11"/>
      <c r="O1181" s="11" t="str">
        <f aca="false">IF(K1181&lt;=StockP33,"Low",IF(K1181&lt;=StockP67,"Moderate","High"))</f>
        <v>Moderate</v>
      </c>
      <c r="P1181" s="11" t="str">
        <f aca="false">IF(H1181=0,"Low",IF(H1181&lt;=MarkdownP75,"Moderate","High"))</f>
        <v>Low</v>
      </c>
      <c r="Q1181" s="11" t="str">
        <f aca="false">IF(ISBLANK(L1181),"Unknown",IF(L1181&gt;=4,"Good",IF(L1181&lt;=2,"Poor","Neutral")))</f>
        <v>Unknown</v>
      </c>
      <c r="R1181" s="11" t="str">
        <f aca="false">IF(AND(O1181="Low",P1181="Low",Q1181="Good"),"BUY / PRIORITIZE",IF(AND(O1181="High",P1181="High",OR(Q1181="Poor",M1181=TRUE())),"HOLD / REVIEW","MONITOR"))</f>
        <v>MONITOR</v>
      </c>
      <c r="S1181" s="11" t="n">
        <f aca="false">K1181+(ROW()/10000000)</f>
        <v>22.0001181</v>
      </c>
    </row>
    <row r="1182" customFormat="false" ht="15" hidden="false" customHeight="false" outlineLevel="0" collapsed="false">
      <c r="A1182" s="11" t="s">
        <v>1477</v>
      </c>
      <c r="B1182" s="11" t="s">
        <v>28</v>
      </c>
      <c r="C1182" s="11" t="s">
        <v>116</v>
      </c>
      <c r="D1182" s="11" t="s">
        <v>35</v>
      </c>
      <c r="E1182" s="11" t="s">
        <v>110</v>
      </c>
      <c r="F1182" s="11" t="s">
        <v>118</v>
      </c>
      <c r="G1182" s="21" t="n">
        <v>186.78</v>
      </c>
      <c r="H1182" s="19" t="n">
        <v>0</v>
      </c>
      <c r="I1182" s="21" t="n">
        <v>186.78</v>
      </c>
      <c r="J1182" s="22" t="s">
        <v>80</v>
      </c>
      <c r="K1182" s="11" t="n">
        <v>22</v>
      </c>
      <c r="L1182" s="23" t="n">
        <v>2.9</v>
      </c>
      <c r="M1182" s="24" t="b">
        <f aca="false">FALSE()</f>
        <v>0</v>
      </c>
      <c r="N1182" s="11"/>
      <c r="O1182" s="11" t="str">
        <f aca="false">IF(K1182&lt;=StockP33,"Low",IF(K1182&lt;=StockP67,"Moderate","High"))</f>
        <v>Moderate</v>
      </c>
      <c r="P1182" s="11" t="str">
        <f aca="false">IF(H1182=0,"Low",IF(H1182&lt;=MarkdownP75,"Moderate","High"))</f>
        <v>Low</v>
      </c>
      <c r="Q1182" s="11" t="str">
        <f aca="false">IF(ISBLANK(L1182),"Unknown",IF(L1182&gt;=4,"Good",IF(L1182&lt;=2,"Poor","Neutral")))</f>
        <v>Neutral</v>
      </c>
      <c r="R1182" s="11" t="str">
        <f aca="false">IF(AND(O1182="Low",P1182="Low",Q1182="Good"),"BUY / PRIORITIZE",IF(AND(O1182="High",P1182="High",OR(Q1182="Poor",M1182=TRUE())),"HOLD / REVIEW","MONITOR"))</f>
        <v>MONITOR</v>
      </c>
      <c r="S1182" s="11" t="n">
        <f aca="false">K1182+(ROW()/10000000)</f>
        <v>22.0001182</v>
      </c>
    </row>
    <row r="1183" customFormat="false" ht="15" hidden="false" customHeight="false" outlineLevel="0" collapsed="false">
      <c r="A1183" s="11" t="s">
        <v>1478</v>
      </c>
      <c r="B1183" s="11" t="s">
        <v>8</v>
      </c>
      <c r="C1183" s="11" t="s">
        <v>130</v>
      </c>
      <c r="D1183" s="11" t="s">
        <v>36</v>
      </c>
      <c r="E1183" s="11"/>
      <c r="F1183" s="11" t="s">
        <v>118</v>
      </c>
      <c r="G1183" s="21" t="n">
        <v>63.98</v>
      </c>
      <c r="H1183" s="19" t="n">
        <v>0</v>
      </c>
      <c r="I1183" s="21" t="n">
        <v>63.98</v>
      </c>
      <c r="J1183" s="22" t="s">
        <v>80</v>
      </c>
      <c r="K1183" s="11" t="n">
        <v>36</v>
      </c>
      <c r="L1183" s="23" t="n">
        <v>1.7</v>
      </c>
      <c r="M1183" s="24" t="b">
        <f aca="false">FALSE()</f>
        <v>0</v>
      </c>
      <c r="N1183" s="11"/>
      <c r="O1183" s="11" t="str">
        <f aca="false">IF(K1183&lt;=StockP33,"Low",IF(K1183&lt;=StockP67,"Moderate","High"))</f>
        <v>High</v>
      </c>
      <c r="P1183" s="11" t="str">
        <f aca="false">IF(H1183=0,"Low",IF(H1183&lt;=MarkdownP75,"Moderate","High"))</f>
        <v>Low</v>
      </c>
      <c r="Q1183" s="11" t="str">
        <f aca="false">IF(ISBLANK(L1183),"Unknown",IF(L1183&gt;=4,"Good",IF(L1183&lt;=2,"Poor","Neutral")))</f>
        <v>Poor</v>
      </c>
      <c r="R1183" s="11" t="str">
        <f aca="false">IF(AND(O1183="Low",P1183="Low",Q1183="Good"),"BUY / PRIORITIZE",IF(AND(O1183="High",P1183="High",OR(Q1183="Poor",M1183=TRUE())),"HOLD / REVIEW","MONITOR"))</f>
        <v>MONITOR</v>
      </c>
      <c r="S1183" s="11" t="n">
        <f aca="false">K1183+(ROW()/10000000)</f>
        <v>36.0001183</v>
      </c>
    </row>
    <row r="1184" customFormat="false" ht="15" hidden="false" customHeight="false" outlineLevel="0" collapsed="false">
      <c r="A1184" s="11" t="s">
        <v>1479</v>
      </c>
      <c r="B1184" s="11" t="s">
        <v>28</v>
      </c>
      <c r="C1184" s="11" t="s">
        <v>130</v>
      </c>
      <c r="D1184" s="11" t="s">
        <v>36</v>
      </c>
      <c r="E1184" s="11" t="s">
        <v>110</v>
      </c>
      <c r="F1184" s="11" t="s">
        <v>118</v>
      </c>
      <c r="G1184" s="21" t="n">
        <v>225.64</v>
      </c>
      <c r="H1184" s="19" t="n">
        <v>0</v>
      </c>
      <c r="I1184" s="21" t="n">
        <v>225.64</v>
      </c>
      <c r="J1184" s="22" t="s">
        <v>80</v>
      </c>
      <c r="K1184" s="11" t="n">
        <v>31</v>
      </c>
      <c r="L1184" s="23" t="n">
        <v>1.3</v>
      </c>
      <c r="M1184" s="24" t="b">
        <f aca="false">FALSE()</f>
        <v>0</v>
      </c>
      <c r="N1184" s="11"/>
      <c r="O1184" s="11" t="str">
        <f aca="false">IF(K1184&lt;=StockP33,"Low",IF(K1184&lt;=StockP67,"Moderate","High"))</f>
        <v>Moderate</v>
      </c>
      <c r="P1184" s="11" t="str">
        <f aca="false">IF(H1184=0,"Low",IF(H1184&lt;=MarkdownP75,"Moderate","High"))</f>
        <v>Low</v>
      </c>
      <c r="Q1184" s="11" t="str">
        <f aca="false">IF(ISBLANK(L1184),"Unknown",IF(L1184&gt;=4,"Good",IF(L1184&lt;=2,"Poor","Neutral")))</f>
        <v>Poor</v>
      </c>
      <c r="R1184" s="11" t="str">
        <f aca="false">IF(AND(O1184="Low",P1184="Low",Q1184="Good"),"BUY / PRIORITIZE",IF(AND(O1184="High",P1184="High",OR(Q1184="Poor",M1184=TRUE())),"HOLD / REVIEW","MONITOR"))</f>
        <v>MONITOR</v>
      </c>
      <c r="S1184" s="11" t="n">
        <f aca="false">K1184+(ROW()/10000000)</f>
        <v>31.0001184</v>
      </c>
    </row>
    <row r="1185" customFormat="false" ht="15" hidden="false" customHeight="false" outlineLevel="0" collapsed="false">
      <c r="A1185" s="11" t="s">
        <v>1480</v>
      </c>
      <c r="B1185" s="11" t="s">
        <v>30</v>
      </c>
      <c r="C1185" s="11" t="s">
        <v>95</v>
      </c>
      <c r="D1185" s="11" t="s">
        <v>36</v>
      </c>
      <c r="E1185" s="11" t="s">
        <v>110</v>
      </c>
      <c r="F1185" s="11" t="s">
        <v>88</v>
      </c>
      <c r="G1185" s="21" t="n">
        <v>115.29</v>
      </c>
      <c r="H1185" s="19" t="n">
        <v>13.9</v>
      </c>
      <c r="I1185" s="21" t="n">
        <v>99.26</v>
      </c>
      <c r="J1185" s="22" t="s">
        <v>80</v>
      </c>
      <c r="K1185" s="11" t="n">
        <v>37</v>
      </c>
      <c r="L1185" s="23"/>
      <c r="M1185" s="24" t="b">
        <f aca="false">FALSE()</f>
        <v>0</v>
      </c>
      <c r="N1185" s="11"/>
      <c r="O1185" s="11" t="str">
        <f aca="false">IF(K1185&lt;=StockP33,"Low",IF(K1185&lt;=StockP67,"Moderate","High"))</f>
        <v>High</v>
      </c>
      <c r="P1185" s="11" t="str">
        <f aca="false">IF(H1185=0,"Low",IF(H1185&lt;=MarkdownP75,"Moderate","High"))</f>
        <v>Moderate</v>
      </c>
      <c r="Q1185" s="11" t="str">
        <f aca="false">IF(ISBLANK(L1185),"Unknown",IF(L1185&gt;=4,"Good",IF(L1185&lt;=2,"Poor","Neutral")))</f>
        <v>Unknown</v>
      </c>
      <c r="R1185" s="11" t="str">
        <f aca="false">IF(AND(O1185="Low",P1185="Low",Q1185="Good"),"BUY / PRIORITIZE",IF(AND(O1185="High",P1185="High",OR(Q1185="Poor",M1185=TRUE())),"HOLD / REVIEW","MONITOR"))</f>
        <v>MONITOR</v>
      </c>
      <c r="S1185" s="11" t="n">
        <f aca="false">K1185+(ROW()/10000000)</f>
        <v>37.0001185</v>
      </c>
    </row>
    <row r="1186" customFormat="false" ht="15" hidden="false" customHeight="false" outlineLevel="0" collapsed="false">
      <c r="A1186" s="11" t="s">
        <v>1481</v>
      </c>
      <c r="B1186" s="11" t="s">
        <v>26</v>
      </c>
      <c r="C1186" s="11" t="s">
        <v>95</v>
      </c>
      <c r="D1186" s="11" t="s">
        <v>36</v>
      </c>
      <c r="E1186" s="11" t="s">
        <v>110</v>
      </c>
      <c r="F1186" s="11" t="s">
        <v>88</v>
      </c>
      <c r="G1186" s="21" t="n">
        <v>92.59</v>
      </c>
      <c r="H1186" s="19" t="n">
        <v>0</v>
      </c>
      <c r="I1186" s="21" t="n">
        <v>92.59</v>
      </c>
      <c r="J1186" s="22" t="s">
        <v>80</v>
      </c>
      <c r="K1186" s="11" t="n">
        <v>39</v>
      </c>
      <c r="L1186" s="23" t="n">
        <v>2.3</v>
      </c>
      <c r="M1186" s="24" t="b">
        <f aca="false">FALSE()</f>
        <v>0</v>
      </c>
      <c r="N1186" s="11"/>
      <c r="O1186" s="11" t="str">
        <f aca="false">IF(K1186&lt;=StockP33,"Low",IF(K1186&lt;=StockP67,"Moderate","High"))</f>
        <v>High</v>
      </c>
      <c r="P1186" s="11" t="str">
        <f aca="false">IF(H1186=0,"Low",IF(H1186&lt;=MarkdownP75,"Moderate","High"))</f>
        <v>Low</v>
      </c>
      <c r="Q1186" s="11" t="str">
        <f aca="false">IF(ISBLANK(L1186),"Unknown",IF(L1186&gt;=4,"Good",IF(L1186&lt;=2,"Poor","Neutral")))</f>
        <v>Neutral</v>
      </c>
      <c r="R1186" s="11" t="str">
        <f aca="false">IF(AND(O1186="Low",P1186="Low",Q1186="Good"),"BUY / PRIORITIZE",IF(AND(O1186="High",P1186="High",OR(Q1186="Poor",M1186=TRUE())),"HOLD / REVIEW","MONITOR"))</f>
        <v>MONITOR</v>
      </c>
      <c r="S1186" s="11" t="n">
        <f aca="false">K1186+(ROW()/10000000)</f>
        <v>39.0001186</v>
      </c>
    </row>
    <row r="1187" customFormat="false" ht="15" hidden="false" customHeight="false" outlineLevel="0" collapsed="false">
      <c r="A1187" s="11" t="s">
        <v>1482</v>
      </c>
      <c r="B1187" s="11" t="s">
        <v>8</v>
      </c>
      <c r="C1187" s="11" t="s">
        <v>77</v>
      </c>
      <c r="D1187" s="11" t="s">
        <v>34</v>
      </c>
      <c r="E1187" s="11"/>
      <c r="F1187" s="11" t="s">
        <v>111</v>
      </c>
      <c r="G1187" s="21" t="n">
        <v>67.65</v>
      </c>
      <c r="H1187" s="19" t="n">
        <v>26.2</v>
      </c>
      <c r="I1187" s="21" t="n">
        <v>49.93</v>
      </c>
      <c r="J1187" s="22" t="s">
        <v>1376</v>
      </c>
      <c r="K1187" s="11" t="n">
        <v>23</v>
      </c>
      <c r="L1187" s="23" t="n">
        <v>1.7</v>
      </c>
      <c r="M1187" s="24" t="b">
        <f aca="false">FALSE()</f>
        <v>0</v>
      </c>
      <c r="N1187" s="11"/>
      <c r="O1187" s="11" t="str">
        <f aca="false">IF(K1187&lt;=StockP33,"Low",IF(K1187&lt;=StockP67,"Moderate","High"))</f>
        <v>Moderate</v>
      </c>
      <c r="P1187" s="11" t="str">
        <f aca="false">IF(H1187=0,"Low",IF(H1187&lt;=MarkdownP75,"Moderate","High"))</f>
        <v>High</v>
      </c>
      <c r="Q1187" s="11" t="str">
        <f aca="false">IF(ISBLANK(L1187),"Unknown",IF(L1187&gt;=4,"Good",IF(L1187&lt;=2,"Poor","Neutral")))</f>
        <v>Poor</v>
      </c>
      <c r="R1187" s="11" t="str">
        <f aca="false">IF(AND(O1187="Low",P1187="Low",Q1187="Good"),"BUY / PRIORITIZE",IF(AND(O1187="High",P1187="High",OR(Q1187="Poor",M1187=TRUE())),"HOLD / REVIEW","MONITOR"))</f>
        <v>MONITOR</v>
      </c>
      <c r="S1187" s="11" t="n">
        <f aca="false">K1187+(ROW()/10000000)</f>
        <v>23.0001187</v>
      </c>
    </row>
    <row r="1188" customFormat="false" ht="15" hidden="false" customHeight="false" outlineLevel="0" collapsed="false">
      <c r="A1188" s="11" t="s">
        <v>1483</v>
      </c>
      <c r="B1188" s="11" t="s">
        <v>28</v>
      </c>
      <c r="C1188" s="11" t="s">
        <v>107</v>
      </c>
      <c r="D1188" s="11" t="s">
        <v>34</v>
      </c>
      <c r="E1188" s="11" t="s">
        <v>78</v>
      </c>
      <c r="F1188" s="11" t="s">
        <v>88</v>
      </c>
      <c r="G1188" s="21" t="n">
        <v>128.92</v>
      </c>
      <c r="H1188" s="19" t="n">
        <v>0</v>
      </c>
      <c r="I1188" s="21" t="n">
        <v>128.92</v>
      </c>
      <c r="J1188" s="22" t="s">
        <v>171</v>
      </c>
      <c r="K1188" s="11" t="n">
        <v>40</v>
      </c>
      <c r="L1188" s="23" t="n">
        <v>1.5</v>
      </c>
      <c r="M1188" s="24" t="b">
        <f aca="false">FALSE()</f>
        <v>0</v>
      </c>
      <c r="N1188" s="11"/>
      <c r="O1188" s="11" t="str">
        <f aca="false">IF(K1188&lt;=StockP33,"Low",IF(K1188&lt;=StockP67,"Moderate","High"))</f>
        <v>High</v>
      </c>
      <c r="P1188" s="11" t="str">
        <f aca="false">IF(H1188=0,"Low",IF(H1188&lt;=MarkdownP75,"Moderate","High"))</f>
        <v>Low</v>
      </c>
      <c r="Q1188" s="11" t="str">
        <f aca="false">IF(ISBLANK(L1188),"Unknown",IF(L1188&gt;=4,"Good",IF(L1188&lt;=2,"Poor","Neutral")))</f>
        <v>Poor</v>
      </c>
      <c r="R1188" s="11" t="str">
        <f aca="false">IF(AND(O1188="Low",P1188="Low",Q1188="Good"),"BUY / PRIORITIZE",IF(AND(O1188="High",P1188="High",OR(Q1188="Poor",M1188=TRUE())),"HOLD / REVIEW","MONITOR"))</f>
        <v>MONITOR</v>
      </c>
      <c r="S1188" s="11" t="n">
        <f aca="false">K1188+(ROW()/10000000)</f>
        <v>40.0001188</v>
      </c>
    </row>
    <row r="1189" customFormat="false" ht="15" hidden="false" customHeight="false" outlineLevel="0" collapsed="false">
      <c r="A1189" s="11" t="s">
        <v>1484</v>
      </c>
      <c r="B1189" s="11" t="s">
        <v>8</v>
      </c>
      <c r="C1189" s="11" t="s">
        <v>86</v>
      </c>
      <c r="D1189" s="11" t="s">
        <v>36</v>
      </c>
      <c r="E1189" s="11"/>
      <c r="F1189" s="11" t="s">
        <v>74</v>
      </c>
      <c r="G1189" s="21" t="n">
        <v>16.51</v>
      </c>
      <c r="H1189" s="19" t="n">
        <v>16.8</v>
      </c>
      <c r="I1189" s="21" t="n">
        <v>13.74</v>
      </c>
      <c r="J1189" s="22" t="s">
        <v>80</v>
      </c>
      <c r="K1189" s="11" t="n">
        <v>47</v>
      </c>
      <c r="L1189" s="23" t="n">
        <v>1.2</v>
      </c>
      <c r="M1189" s="24" t="b">
        <f aca="false">FALSE()</f>
        <v>0</v>
      </c>
      <c r="N1189" s="11"/>
      <c r="O1189" s="11" t="str">
        <f aca="false">IF(K1189&lt;=StockP33,"Low",IF(K1189&lt;=StockP67,"Moderate","High"))</f>
        <v>High</v>
      </c>
      <c r="P1189" s="11" t="str">
        <f aca="false">IF(H1189=0,"Low",IF(H1189&lt;=MarkdownP75,"Moderate","High"))</f>
        <v>Moderate</v>
      </c>
      <c r="Q1189" s="11" t="str">
        <f aca="false">IF(ISBLANK(L1189),"Unknown",IF(L1189&gt;=4,"Good",IF(L1189&lt;=2,"Poor","Neutral")))</f>
        <v>Poor</v>
      </c>
      <c r="R1189" s="11" t="str">
        <f aca="false">IF(AND(O1189="Low",P1189="Low",Q1189="Good"),"BUY / PRIORITIZE",IF(AND(O1189="High",P1189="High",OR(Q1189="Poor",M1189=TRUE())),"HOLD / REVIEW","MONITOR"))</f>
        <v>MONITOR</v>
      </c>
      <c r="S1189" s="11" t="n">
        <f aca="false">K1189+(ROW()/10000000)</f>
        <v>47.0001189</v>
      </c>
    </row>
    <row r="1190" customFormat="false" ht="15" hidden="false" customHeight="false" outlineLevel="0" collapsed="false">
      <c r="A1190" s="11" t="s">
        <v>1485</v>
      </c>
      <c r="B1190" s="11" t="s">
        <v>29</v>
      </c>
      <c r="C1190" s="11" t="s">
        <v>86</v>
      </c>
      <c r="D1190" s="11" t="s">
        <v>37</v>
      </c>
      <c r="E1190" s="11"/>
      <c r="F1190" s="11" t="s">
        <v>92</v>
      </c>
      <c r="G1190" s="21" t="n">
        <v>173.66</v>
      </c>
      <c r="H1190" s="19" t="n">
        <v>42.7</v>
      </c>
      <c r="I1190" s="21" t="n">
        <v>99.51</v>
      </c>
      <c r="J1190" s="22" t="s">
        <v>80</v>
      </c>
      <c r="K1190" s="11" t="n">
        <v>1</v>
      </c>
      <c r="L1190" s="23" t="n">
        <v>3.1</v>
      </c>
      <c r="M1190" s="24" t="b">
        <f aca="false">FALSE()</f>
        <v>0</v>
      </c>
      <c r="N1190" s="11"/>
      <c r="O1190" s="11" t="str">
        <f aca="false">IF(K1190&lt;=StockP33,"Low",IF(K1190&lt;=StockP67,"Moderate","High"))</f>
        <v>Low</v>
      </c>
      <c r="P1190" s="11" t="str">
        <f aca="false">IF(H1190=0,"Low",IF(H1190&lt;=MarkdownP75,"Moderate","High"))</f>
        <v>High</v>
      </c>
      <c r="Q1190" s="11" t="str">
        <f aca="false">IF(ISBLANK(L1190),"Unknown",IF(L1190&gt;=4,"Good",IF(L1190&lt;=2,"Poor","Neutral")))</f>
        <v>Neutral</v>
      </c>
      <c r="R1190" s="11" t="str">
        <f aca="false">IF(AND(O1190="Low",P1190="Low",Q1190="Good"),"BUY / PRIORITIZE",IF(AND(O1190="High",P1190="High",OR(Q1190="Poor",M1190=TRUE())),"HOLD / REVIEW","MONITOR"))</f>
        <v>MONITOR</v>
      </c>
      <c r="S1190" s="11" t="n">
        <f aca="false">K1190+(ROW()/10000000)</f>
        <v>1.000119</v>
      </c>
    </row>
    <row r="1191" customFormat="false" ht="15" hidden="false" customHeight="false" outlineLevel="0" collapsed="false">
      <c r="A1191" s="11" t="s">
        <v>1486</v>
      </c>
      <c r="B1191" s="11" t="s">
        <v>30</v>
      </c>
      <c r="C1191" s="11" t="s">
        <v>101</v>
      </c>
      <c r="D1191" s="11" t="s">
        <v>34</v>
      </c>
      <c r="E1191" s="11" t="s">
        <v>91</v>
      </c>
      <c r="F1191" s="11" t="s">
        <v>82</v>
      </c>
      <c r="G1191" s="21" t="n">
        <v>71.49</v>
      </c>
      <c r="H1191" s="19" t="n">
        <v>20.9</v>
      </c>
      <c r="I1191" s="21" t="n">
        <v>56.55</v>
      </c>
      <c r="J1191" s="22" t="s">
        <v>1487</v>
      </c>
      <c r="K1191" s="11" t="n">
        <v>33</v>
      </c>
      <c r="L1191" s="23" t="n">
        <v>1.3</v>
      </c>
      <c r="M1191" s="24" t="b">
        <f aca="false">FALSE()</f>
        <v>0</v>
      </c>
      <c r="N1191" s="11"/>
      <c r="O1191" s="11" t="str">
        <f aca="false">IF(K1191&lt;=StockP33,"Low",IF(K1191&lt;=StockP67,"Moderate","High"))</f>
        <v>Moderate</v>
      </c>
      <c r="P1191" s="11" t="str">
        <f aca="false">IF(H1191=0,"Low",IF(H1191&lt;=MarkdownP75,"Moderate","High"))</f>
        <v>Moderate</v>
      </c>
      <c r="Q1191" s="11" t="str">
        <f aca="false">IF(ISBLANK(L1191),"Unknown",IF(L1191&gt;=4,"Good",IF(L1191&lt;=2,"Poor","Neutral")))</f>
        <v>Poor</v>
      </c>
      <c r="R1191" s="11" t="str">
        <f aca="false">IF(AND(O1191="Low",P1191="Low",Q1191="Good"),"BUY / PRIORITIZE",IF(AND(O1191="High",P1191="High",OR(Q1191="Poor",M1191=TRUE())),"HOLD / REVIEW","MONITOR"))</f>
        <v>MONITOR</v>
      </c>
      <c r="S1191" s="11" t="n">
        <f aca="false">K1191+(ROW()/10000000)</f>
        <v>33.0001191</v>
      </c>
    </row>
    <row r="1192" customFormat="false" ht="15" hidden="false" customHeight="false" outlineLevel="0" collapsed="false">
      <c r="A1192" s="11" t="s">
        <v>1488</v>
      </c>
      <c r="B1192" s="11" t="s">
        <v>28</v>
      </c>
      <c r="C1192" s="11" t="s">
        <v>77</v>
      </c>
      <c r="D1192" s="11" t="s">
        <v>36</v>
      </c>
      <c r="E1192" s="11" t="s">
        <v>102</v>
      </c>
      <c r="F1192" s="11" t="s">
        <v>92</v>
      </c>
      <c r="G1192" s="21" t="n">
        <v>230.81</v>
      </c>
      <c r="H1192" s="19" t="n">
        <v>24.3</v>
      </c>
      <c r="I1192" s="21" t="n">
        <v>174.72</v>
      </c>
      <c r="J1192" s="22" t="s">
        <v>80</v>
      </c>
      <c r="K1192" s="11" t="n">
        <v>26</v>
      </c>
      <c r="L1192" s="23"/>
      <c r="M1192" s="24" t="b">
        <f aca="false">TRUE()</f>
        <v>1</v>
      </c>
      <c r="N1192" s="11" t="s">
        <v>128</v>
      </c>
      <c r="O1192" s="11" t="str">
        <f aca="false">IF(K1192&lt;=StockP33,"Low",IF(K1192&lt;=StockP67,"Moderate","High"))</f>
        <v>Moderate</v>
      </c>
      <c r="P1192" s="11" t="str">
        <f aca="false">IF(H1192=0,"Low",IF(H1192&lt;=MarkdownP75,"Moderate","High"))</f>
        <v>High</v>
      </c>
      <c r="Q1192" s="11" t="str">
        <f aca="false">IF(ISBLANK(L1192),"Unknown",IF(L1192&gt;=4,"Good",IF(L1192&lt;=2,"Poor","Neutral")))</f>
        <v>Unknown</v>
      </c>
      <c r="R1192" s="11" t="str">
        <f aca="false">IF(AND(O1192="Low",P1192="Low",Q1192="Good"),"BUY / PRIORITIZE",IF(AND(O1192="High",P1192="High",OR(Q1192="Poor",M1192=TRUE())),"HOLD / REVIEW","MONITOR"))</f>
        <v>MONITOR</v>
      </c>
      <c r="S1192" s="11" t="n">
        <f aca="false">K1192+(ROW()/10000000)</f>
        <v>26.0001192</v>
      </c>
    </row>
    <row r="1193" customFormat="false" ht="15" hidden="false" customHeight="false" outlineLevel="0" collapsed="false">
      <c r="A1193" s="11" t="s">
        <v>1489</v>
      </c>
      <c r="B1193" s="11" t="s">
        <v>29</v>
      </c>
      <c r="C1193" s="11" t="s">
        <v>101</v>
      </c>
      <c r="D1193" s="11" t="s">
        <v>34</v>
      </c>
      <c r="E1193" s="11" t="s">
        <v>110</v>
      </c>
      <c r="F1193" s="11" t="s">
        <v>98</v>
      </c>
      <c r="G1193" s="21" t="n">
        <v>101</v>
      </c>
      <c r="H1193" s="19" t="n">
        <v>58.6</v>
      </c>
      <c r="I1193" s="21" t="n">
        <v>41.81</v>
      </c>
      <c r="J1193" s="22" t="s">
        <v>253</v>
      </c>
      <c r="K1193" s="11" t="n">
        <v>44</v>
      </c>
      <c r="L1193" s="23" t="n">
        <v>1.2</v>
      </c>
      <c r="M1193" s="24" t="b">
        <f aca="false">FALSE()</f>
        <v>0</v>
      </c>
      <c r="N1193" s="11"/>
      <c r="O1193" s="11" t="str">
        <f aca="false">IF(K1193&lt;=StockP33,"Low",IF(K1193&lt;=StockP67,"Moderate","High"))</f>
        <v>High</v>
      </c>
      <c r="P1193" s="11" t="str">
        <f aca="false">IF(H1193=0,"Low",IF(H1193&lt;=MarkdownP75,"Moderate","High"))</f>
        <v>High</v>
      </c>
      <c r="Q1193" s="11" t="str">
        <f aca="false">IF(ISBLANK(L1193),"Unknown",IF(L1193&gt;=4,"Good",IF(L1193&lt;=2,"Poor","Neutral")))</f>
        <v>Poor</v>
      </c>
      <c r="R1193" s="11" t="str">
        <f aca="false">IF(AND(O1193="Low",P1193="Low",Q1193="Good"),"BUY / PRIORITIZE",IF(AND(O1193="High",P1193="High",OR(Q1193="Poor",M1193=TRUE())),"HOLD / REVIEW","MONITOR"))</f>
        <v>HOLD / REVIEW</v>
      </c>
      <c r="S1193" s="11" t="n">
        <f aca="false">K1193+(ROW()/10000000)</f>
        <v>44.0001193</v>
      </c>
    </row>
    <row r="1194" customFormat="false" ht="15" hidden="false" customHeight="false" outlineLevel="0" collapsed="false">
      <c r="A1194" s="11" t="s">
        <v>1490</v>
      </c>
      <c r="B1194" s="11" t="s">
        <v>28</v>
      </c>
      <c r="C1194" s="11" t="s">
        <v>95</v>
      </c>
      <c r="D1194" s="11" t="s">
        <v>37</v>
      </c>
      <c r="E1194" s="11" t="s">
        <v>102</v>
      </c>
      <c r="F1194" s="11" t="s">
        <v>124</v>
      </c>
      <c r="G1194" s="21" t="n">
        <v>116.37</v>
      </c>
      <c r="H1194" s="19" t="n">
        <v>52.6</v>
      </c>
      <c r="I1194" s="21" t="n">
        <v>55.16</v>
      </c>
      <c r="J1194" s="22" t="s">
        <v>80</v>
      </c>
      <c r="K1194" s="11" t="n">
        <v>43</v>
      </c>
      <c r="L1194" s="23" t="n">
        <v>2.4</v>
      </c>
      <c r="M1194" s="24" t="b">
        <f aca="false">FALSE()</f>
        <v>0</v>
      </c>
      <c r="N1194" s="11"/>
      <c r="O1194" s="11" t="str">
        <f aca="false">IF(K1194&lt;=StockP33,"Low",IF(K1194&lt;=StockP67,"Moderate","High"))</f>
        <v>High</v>
      </c>
      <c r="P1194" s="11" t="str">
        <f aca="false">IF(H1194=0,"Low",IF(H1194&lt;=MarkdownP75,"Moderate","High"))</f>
        <v>High</v>
      </c>
      <c r="Q1194" s="11" t="str">
        <f aca="false">IF(ISBLANK(L1194),"Unknown",IF(L1194&gt;=4,"Good",IF(L1194&lt;=2,"Poor","Neutral")))</f>
        <v>Neutral</v>
      </c>
      <c r="R1194" s="11" t="str">
        <f aca="false">IF(AND(O1194="Low",P1194="Low",Q1194="Good"),"BUY / PRIORITIZE",IF(AND(O1194="High",P1194="High",OR(Q1194="Poor",M1194=TRUE())),"HOLD / REVIEW","MONITOR"))</f>
        <v>MONITOR</v>
      </c>
      <c r="S1194" s="11" t="n">
        <f aca="false">K1194+(ROW()/10000000)</f>
        <v>43.0001194</v>
      </c>
    </row>
    <row r="1195" customFormat="false" ht="15" hidden="false" customHeight="false" outlineLevel="0" collapsed="false">
      <c r="A1195" s="11" t="s">
        <v>1491</v>
      </c>
      <c r="B1195" s="11" t="s">
        <v>29</v>
      </c>
      <c r="C1195" s="11" t="s">
        <v>101</v>
      </c>
      <c r="D1195" s="11" t="s">
        <v>34</v>
      </c>
      <c r="E1195" s="11" t="s">
        <v>78</v>
      </c>
      <c r="F1195" s="11" t="s">
        <v>111</v>
      </c>
      <c r="G1195" s="21" t="n">
        <v>150.28</v>
      </c>
      <c r="H1195" s="19" t="n">
        <v>8.3</v>
      </c>
      <c r="I1195" s="21" t="n">
        <v>137.81</v>
      </c>
      <c r="J1195" s="22" t="s">
        <v>482</v>
      </c>
      <c r="K1195" s="11" t="n">
        <v>48</v>
      </c>
      <c r="L1195" s="23" t="n">
        <v>2.9</v>
      </c>
      <c r="M1195" s="24" t="b">
        <f aca="false">FALSE()</f>
        <v>0</v>
      </c>
      <c r="N1195" s="11"/>
      <c r="O1195" s="11" t="str">
        <f aca="false">IF(K1195&lt;=StockP33,"Low",IF(K1195&lt;=StockP67,"Moderate","High"))</f>
        <v>High</v>
      </c>
      <c r="P1195" s="11" t="str">
        <f aca="false">IF(H1195=0,"Low",IF(H1195&lt;=MarkdownP75,"Moderate","High"))</f>
        <v>Moderate</v>
      </c>
      <c r="Q1195" s="11" t="str">
        <f aca="false">IF(ISBLANK(L1195),"Unknown",IF(L1195&gt;=4,"Good",IF(L1195&lt;=2,"Poor","Neutral")))</f>
        <v>Neutral</v>
      </c>
      <c r="R1195" s="11" t="str">
        <f aca="false">IF(AND(O1195="Low",P1195="Low",Q1195="Good"),"BUY / PRIORITIZE",IF(AND(O1195="High",P1195="High",OR(Q1195="Poor",M1195=TRUE())),"HOLD / REVIEW","MONITOR"))</f>
        <v>MONITOR</v>
      </c>
      <c r="S1195" s="11" t="n">
        <f aca="false">K1195+(ROW()/10000000)</f>
        <v>48.0001195</v>
      </c>
    </row>
    <row r="1196" customFormat="false" ht="15" hidden="false" customHeight="false" outlineLevel="0" collapsed="false">
      <c r="A1196" s="11" t="s">
        <v>1492</v>
      </c>
      <c r="B1196" s="11" t="s">
        <v>28</v>
      </c>
      <c r="C1196" s="11" t="s">
        <v>72</v>
      </c>
      <c r="D1196" s="11" t="s">
        <v>37</v>
      </c>
      <c r="E1196" s="11" t="s">
        <v>73</v>
      </c>
      <c r="F1196" s="11" t="s">
        <v>92</v>
      </c>
      <c r="G1196" s="21" t="n">
        <v>107.81</v>
      </c>
      <c r="H1196" s="19" t="n">
        <v>0</v>
      </c>
      <c r="I1196" s="21" t="n">
        <v>107.81</v>
      </c>
      <c r="J1196" s="22" t="s">
        <v>80</v>
      </c>
      <c r="K1196" s="11" t="n">
        <v>15</v>
      </c>
      <c r="L1196" s="23" t="n">
        <v>2.7</v>
      </c>
      <c r="M1196" s="24" t="b">
        <f aca="false">FALSE()</f>
        <v>0</v>
      </c>
      <c r="N1196" s="11"/>
      <c r="O1196" s="11" t="str">
        <f aca="false">IF(K1196&lt;=StockP33,"Low",IF(K1196&lt;=StockP67,"Moderate","High"))</f>
        <v>Low</v>
      </c>
      <c r="P1196" s="11" t="str">
        <f aca="false">IF(H1196=0,"Low",IF(H1196&lt;=MarkdownP75,"Moderate","High"))</f>
        <v>Low</v>
      </c>
      <c r="Q1196" s="11" t="str">
        <f aca="false">IF(ISBLANK(L1196),"Unknown",IF(L1196&gt;=4,"Good",IF(L1196&lt;=2,"Poor","Neutral")))</f>
        <v>Neutral</v>
      </c>
      <c r="R1196" s="11" t="str">
        <f aca="false">IF(AND(O1196="Low",P1196="Low",Q1196="Good"),"BUY / PRIORITIZE",IF(AND(O1196="High",P1196="High",OR(Q1196="Poor",M1196=TRUE())),"HOLD / REVIEW","MONITOR"))</f>
        <v>MONITOR</v>
      </c>
      <c r="S1196" s="11" t="n">
        <f aca="false">K1196+(ROW()/10000000)</f>
        <v>15.0001196</v>
      </c>
    </row>
    <row r="1197" customFormat="false" ht="15" hidden="false" customHeight="false" outlineLevel="0" collapsed="false">
      <c r="A1197" s="11" t="s">
        <v>1493</v>
      </c>
      <c r="B1197" s="11" t="s">
        <v>27</v>
      </c>
      <c r="C1197" s="11" t="s">
        <v>72</v>
      </c>
      <c r="D1197" s="11" t="s">
        <v>34</v>
      </c>
      <c r="E1197" s="11" t="s">
        <v>78</v>
      </c>
      <c r="F1197" s="11" t="s">
        <v>118</v>
      </c>
      <c r="G1197" s="21" t="n">
        <v>61.24</v>
      </c>
      <c r="H1197" s="19" t="n">
        <v>0</v>
      </c>
      <c r="I1197" s="21" t="n">
        <v>61.24</v>
      </c>
      <c r="J1197" s="22" t="s">
        <v>1494</v>
      </c>
      <c r="K1197" s="11" t="n">
        <v>3</v>
      </c>
      <c r="L1197" s="23"/>
      <c r="M1197" s="24" t="b">
        <f aca="false">FALSE()</f>
        <v>0</v>
      </c>
      <c r="N1197" s="11"/>
      <c r="O1197" s="11" t="str">
        <f aca="false">IF(K1197&lt;=StockP33,"Low",IF(K1197&lt;=StockP67,"Moderate","High"))</f>
        <v>Low</v>
      </c>
      <c r="P1197" s="11" t="str">
        <f aca="false">IF(H1197=0,"Low",IF(H1197&lt;=MarkdownP75,"Moderate","High"))</f>
        <v>Low</v>
      </c>
      <c r="Q1197" s="11" t="str">
        <f aca="false">IF(ISBLANK(L1197),"Unknown",IF(L1197&gt;=4,"Good",IF(L1197&lt;=2,"Poor","Neutral")))</f>
        <v>Unknown</v>
      </c>
      <c r="R1197" s="11" t="str">
        <f aca="false">IF(AND(O1197="Low",P1197="Low",Q1197="Good"),"BUY / PRIORITIZE",IF(AND(O1197="High",P1197="High",OR(Q1197="Poor",M1197=TRUE())),"HOLD / REVIEW","MONITOR"))</f>
        <v>MONITOR</v>
      </c>
      <c r="S1197" s="11" t="n">
        <f aca="false">K1197+(ROW()/10000000)</f>
        <v>3.0001197</v>
      </c>
    </row>
    <row r="1198" customFormat="false" ht="15" hidden="false" customHeight="false" outlineLevel="0" collapsed="false">
      <c r="A1198" s="11" t="s">
        <v>1495</v>
      </c>
      <c r="B1198" s="11" t="s">
        <v>8</v>
      </c>
      <c r="C1198" s="11" t="s">
        <v>72</v>
      </c>
      <c r="D1198" s="11" t="s">
        <v>37</v>
      </c>
      <c r="E1198" s="11"/>
      <c r="F1198" s="11" t="s">
        <v>98</v>
      </c>
      <c r="G1198" s="21" t="n">
        <v>34.04</v>
      </c>
      <c r="H1198" s="19" t="n">
        <v>0</v>
      </c>
      <c r="I1198" s="21" t="n">
        <v>34.04</v>
      </c>
      <c r="J1198" s="22" t="s">
        <v>80</v>
      </c>
      <c r="K1198" s="11" t="n">
        <v>3</v>
      </c>
      <c r="L1198" s="23" t="n">
        <v>1.9</v>
      </c>
      <c r="M1198" s="24" t="b">
        <f aca="false">FALSE()</f>
        <v>0</v>
      </c>
      <c r="N1198" s="11"/>
      <c r="O1198" s="11" t="str">
        <f aca="false">IF(K1198&lt;=StockP33,"Low",IF(K1198&lt;=StockP67,"Moderate","High"))</f>
        <v>Low</v>
      </c>
      <c r="P1198" s="11" t="str">
        <f aca="false">IF(H1198=0,"Low",IF(H1198&lt;=MarkdownP75,"Moderate","High"))</f>
        <v>Low</v>
      </c>
      <c r="Q1198" s="11" t="str">
        <f aca="false">IF(ISBLANK(L1198),"Unknown",IF(L1198&gt;=4,"Good",IF(L1198&lt;=2,"Poor","Neutral")))</f>
        <v>Poor</v>
      </c>
      <c r="R1198" s="11" t="str">
        <f aca="false">IF(AND(O1198="Low",P1198="Low",Q1198="Good"),"BUY / PRIORITIZE",IF(AND(O1198="High",P1198="High",OR(Q1198="Poor",M1198=TRUE())),"HOLD / REVIEW","MONITOR"))</f>
        <v>MONITOR</v>
      </c>
      <c r="S1198" s="11" t="n">
        <f aca="false">K1198+(ROW()/10000000)</f>
        <v>3.0001198</v>
      </c>
    </row>
    <row r="1199" customFormat="false" ht="15" hidden="false" customHeight="false" outlineLevel="0" collapsed="false">
      <c r="A1199" s="11" t="s">
        <v>1496</v>
      </c>
      <c r="B1199" s="11" t="s">
        <v>27</v>
      </c>
      <c r="C1199" s="11" t="s">
        <v>116</v>
      </c>
      <c r="D1199" s="11" t="s">
        <v>35</v>
      </c>
      <c r="E1199" s="11" t="s">
        <v>91</v>
      </c>
      <c r="F1199" s="11" t="s">
        <v>124</v>
      </c>
      <c r="G1199" s="21" t="n">
        <v>168.16</v>
      </c>
      <c r="H1199" s="19" t="n">
        <v>45.9</v>
      </c>
      <c r="I1199" s="21" t="n">
        <v>90.97</v>
      </c>
      <c r="J1199" s="22" t="s">
        <v>80</v>
      </c>
      <c r="K1199" s="11" t="n">
        <v>44</v>
      </c>
      <c r="L1199" s="23" t="n">
        <v>1.5</v>
      </c>
      <c r="M1199" s="24" t="b">
        <f aca="false">FALSE()</f>
        <v>0</v>
      </c>
      <c r="N1199" s="11"/>
      <c r="O1199" s="11" t="str">
        <f aca="false">IF(K1199&lt;=StockP33,"Low",IF(K1199&lt;=StockP67,"Moderate","High"))</f>
        <v>High</v>
      </c>
      <c r="P1199" s="11" t="str">
        <f aca="false">IF(H1199=0,"Low",IF(H1199&lt;=MarkdownP75,"Moderate","High"))</f>
        <v>High</v>
      </c>
      <c r="Q1199" s="11" t="str">
        <f aca="false">IF(ISBLANK(L1199),"Unknown",IF(L1199&gt;=4,"Good",IF(L1199&lt;=2,"Poor","Neutral")))</f>
        <v>Poor</v>
      </c>
      <c r="R1199" s="11" t="str">
        <f aca="false">IF(AND(O1199="Low",P1199="Low",Q1199="Good"),"BUY / PRIORITIZE",IF(AND(O1199="High",P1199="High",OR(Q1199="Poor",M1199=TRUE())),"HOLD / REVIEW","MONITOR"))</f>
        <v>HOLD / REVIEW</v>
      </c>
      <c r="S1199" s="11" t="n">
        <f aca="false">K1199+(ROW()/10000000)</f>
        <v>44.0001199</v>
      </c>
    </row>
    <row r="1200" customFormat="false" ht="15" hidden="false" customHeight="false" outlineLevel="0" collapsed="false">
      <c r="A1200" s="11" t="s">
        <v>1497</v>
      </c>
      <c r="B1200" s="11" t="s">
        <v>30</v>
      </c>
      <c r="C1200" s="11" t="s">
        <v>107</v>
      </c>
      <c r="D1200" s="11" t="s">
        <v>36</v>
      </c>
      <c r="E1200" s="11" t="s">
        <v>113</v>
      </c>
      <c r="F1200" s="11" t="s">
        <v>74</v>
      </c>
      <c r="G1200" s="21" t="n">
        <v>74.07</v>
      </c>
      <c r="H1200" s="19" t="n">
        <v>0</v>
      </c>
      <c r="I1200" s="21" t="n">
        <v>74.07</v>
      </c>
      <c r="J1200" s="22" t="s">
        <v>80</v>
      </c>
      <c r="K1200" s="11" t="n">
        <v>47</v>
      </c>
      <c r="L1200" s="23" t="n">
        <v>1.4</v>
      </c>
      <c r="M1200" s="24" t="b">
        <f aca="false">FALSE()</f>
        <v>0</v>
      </c>
      <c r="N1200" s="11"/>
      <c r="O1200" s="11" t="str">
        <f aca="false">IF(K1200&lt;=StockP33,"Low",IF(K1200&lt;=StockP67,"Moderate","High"))</f>
        <v>High</v>
      </c>
      <c r="P1200" s="11" t="str">
        <f aca="false">IF(H1200=0,"Low",IF(H1200&lt;=MarkdownP75,"Moderate","High"))</f>
        <v>Low</v>
      </c>
      <c r="Q1200" s="11" t="str">
        <f aca="false">IF(ISBLANK(L1200),"Unknown",IF(L1200&gt;=4,"Good",IF(L1200&lt;=2,"Poor","Neutral")))</f>
        <v>Poor</v>
      </c>
      <c r="R1200" s="11" t="str">
        <f aca="false">IF(AND(O1200="Low",P1200="Low",Q1200="Good"),"BUY / PRIORITIZE",IF(AND(O1200="High",P1200="High",OR(Q1200="Poor",M1200=TRUE())),"HOLD / REVIEW","MONITOR"))</f>
        <v>MONITOR</v>
      </c>
      <c r="S1200" s="11" t="n">
        <f aca="false">K1200+(ROW()/10000000)</f>
        <v>47.00012</v>
      </c>
    </row>
    <row r="1201" customFormat="false" ht="15" hidden="false" customHeight="false" outlineLevel="0" collapsed="false">
      <c r="A1201" s="11" t="s">
        <v>1498</v>
      </c>
      <c r="B1201" s="11" t="s">
        <v>30</v>
      </c>
      <c r="C1201" s="11" t="s">
        <v>130</v>
      </c>
      <c r="D1201" s="11" t="s">
        <v>37</v>
      </c>
      <c r="E1201" s="11" t="s">
        <v>102</v>
      </c>
      <c r="F1201" s="11" t="s">
        <v>124</v>
      </c>
      <c r="G1201" s="21" t="n">
        <v>84.75</v>
      </c>
      <c r="H1201" s="19" t="n">
        <v>0</v>
      </c>
      <c r="I1201" s="21" t="n">
        <v>84.75</v>
      </c>
      <c r="J1201" s="22" t="s">
        <v>80</v>
      </c>
      <c r="K1201" s="11" t="n">
        <v>7</v>
      </c>
      <c r="L1201" s="23" t="n">
        <v>2.5</v>
      </c>
      <c r="M1201" s="24" t="b">
        <f aca="false">FALSE()</f>
        <v>0</v>
      </c>
      <c r="N1201" s="11"/>
      <c r="O1201" s="11" t="str">
        <f aca="false">IF(K1201&lt;=StockP33,"Low",IF(K1201&lt;=StockP67,"Moderate","High"))</f>
        <v>Low</v>
      </c>
      <c r="P1201" s="11" t="str">
        <f aca="false">IF(H1201=0,"Low",IF(H1201&lt;=MarkdownP75,"Moderate","High"))</f>
        <v>Low</v>
      </c>
      <c r="Q1201" s="11" t="str">
        <f aca="false">IF(ISBLANK(L1201),"Unknown",IF(L1201&gt;=4,"Good",IF(L1201&lt;=2,"Poor","Neutral")))</f>
        <v>Neutral</v>
      </c>
      <c r="R1201" s="11" t="str">
        <f aca="false">IF(AND(O1201="Low",P1201="Low",Q1201="Good"),"BUY / PRIORITIZE",IF(AND(O1201="High",P1201="High",OR(Q1201="Poor",M1201=TRUE())),"HOLD / REVIEW","MONITOR"))</f>
        <v>MONITOR</v>
      </c>
      <c r="S1201" s="11" t="n">
        <f aca="false">K1201+(ROW()/10000000)</f>
        <v>7.0001201</v>
      </c>
    </row>
    <row r="1202" customFormat="false" ht="15" hidden="false" customHeight="false" outlineLevel="0" collapsed="false">
      <c r="A1202" s="11" t="s">
        <v>1499</v>
      </c>
      <c r="B1202" s="11" t="s">
        <v>29</v>
      </c>
      <c r="C1202" s="11" t="s">
        <v>95</v>
      </c>
      <c r="D1202" s="11" t="s">
        <v>35</v>
      </c>
      <c r="E1202" s="11" t="s">
        <v>113</v>
      </c>
      <c r="F1202" s="11" t="s">
        <v>74</v>
      </c>
      <c r="G1202" s="21" t="n">
        <v>187.47</v>
      </c>
      <c r="H1202" s="19" t="n">
        <v>9.6</v>
      </c>
      <c r="I1202" s="21" t="n">
        <v>169.47</v>
      </c>
      <c r="J1202" s="22" t="s">
        <v>80</v>
      </c>
      <c r="K1202" s="11" t="n">
        <v>28</v>
      </c>
      <c r="L1202" s="23" t="n">
        <v>4</v>
      </c>
      <c r="M1202" s="24" t="b">
        <f aca="false">FALSE()</f>
        <v>0</v>
      </c>
      <c r="N1202" s="11"/>
      <c r="O1202" s="11" t="str">
        <f aca="false">IF(K1202&lt;=StockP33,"Low",IF(K1202&lt;=StockP67,"Moderate","High"))</f>
        <v>Moderate</v>
      </c>
      <c r="P1202" s="11" t="str">
        <f aca="false">IF(H1202=0,"Low",IF(H1202&lt;=MarkdownP75,"Moderate","High"))</f>
        <v>Moderate</v>
      </c>
      <c r="Q1202" s="11" t="str">
        <f aca="false">IF(ISBLANK(L1202),"Unknown",IF(L1202&gt;=4,"Good",IF(L1202&lt;=2,"Poor","Neutral")))</f>
        <v>Good</v>
      </c>
      <c r="R1202" s="11" t="str">
        <f aca="false">IF(AND(O1202="Low",P1202="Low",Q1202="Good"),"BUY / PRIORITIZE",IF(AND(O1202="High",P1202="High",OR(Q1202="Poor",M1202=TRUE())),"HOLD / REVIEW","MONITOR"))</f>
        <v>MONITOR</v>
      </c>
      <c r="S1202" s="11" t="n">
        <f aca="false">K1202+(ROW()/10000000)</f>
        <v>28.0001202</v>
      </c>
    </row>
    <row r="1203" customFormat="false" ht="15" hidden="false" customHeight="false" outlineLevel="0" collapsed="false">
      <c r="A1203" s="11" t="s">
        <v>1500</v>
      </c>
      <c r="B1203" s="11" t="s">
        <v>8</v>
      </c>
      <c r="C1203" s="11" t="s">
        <v>77</v>
      </c>
      <c r="D1203" s="11" t="s">
        <v>34</v>
      </c>
      <c r="E1203" s="11"/>
      <c r="F1203" s="11" t="s">
        <v>98</v>
      </c>
      <c r="G1203" s="21" t="n">
        <v>45.81</v>
      </c>
      <c r="H1203" s="19" t="n">
        <v>14.1</v>
      </c>
      <c r="I1203" s="21" t="n">
        <v>39.35</v>
      </c>
      <c r="J1203" s="22" t="s">
        <v>1501</v>
      </c>
      <c r="K1203" s="11" t="n">
        <v>29</v>
      </c>
      <c r="L1203" s="23"/>
      <c r="M1203" s="24" t="b">
        <f aca="false">FALSE()</f>
        <v>0</v>
      </c>
      <c r="N1203" s="11"/>
      <c r="O1203" s="11" t="str">
        <f aca="false">IF(K1203&lt;=StockP33,"Low",IF(K1203&lt;=StockP67,"Moderate","High"))</f>
        <v>Moderate</v>
      </c>
      <c r="P1203" s="11" t="str">
        <f aca="false">IF(H1203=0,"Low",IF(H1203&lt;=MarkdownP75,"Moderate","High"))</f>
        <v>Moderate</v>
      </c>
      <c r="Q1203" s="11" t="str">
        <f aca="false">IF(ISBLANK(L1203),"Unknown",IF(L1203&gt;=4,"Good",IF(L1203&lt;=2,"Poor","Neutral")))</f>
        <v>Unknown</v>
      </c>
      <c r="R1203" s="11" t="str">
        <f aca="false">IF(AND(O1203="Low",P1203="Low",Q1203="Good"),"BUY / PRIORITIZE",IF(AND(O1203="High",P1203="High",OR(Q1203="Poor",M1203=TRUE())),"HOLD / REVIEW","MONITOR"))</f>
        <v>MONITOR</v>
      </c>
      <c r="S1203" s="11" t="n">
        <f aca="false">K1203+(ROW()/10000000)</f>
        <v>29.0001203</v>
      </c>
    </row>
    <row r="1204" customFormat="false" ht="15" hidden="false" customHeight="false" outlineLevel="0" collapsed="false">
      <c r="A1204" s="11" t="s">
        <v>1502</v>
      </c>
      <c r="B1204" s="11" t="s">
        <v>28</v>
      </c>
      <c r="C1204" s="11" t="s">
        <v>86</v>
      </c>
      <c r="D1204" s="11" t="s">
        <v>36</v>
      </c>
      <c r="E1204" s="11" t="s">
        <v>73</v>
      </c>
      <c r="F1204" s="11" t="s">
        <v>124</v>
      </c>
      <c r="G1204" s="21" t="n">
        <v>87.09</v>
      </c>
      <c r="H1204" s="19" t="n">
        <v>0</v>
      </c>
      <c r="I1204" s="21" t="n">
        <v>87.09</v>
      </c>
      <c r="J1204" s="22" t="s">
        <v>80</v>
      </c>
      <c r="K1204" s="11" t="n">
        <v>8</v>
      </c>
      <c r="L1204" s="23" t="n">
        <v>2.8</v>
      </c>
      <c r="M1204" s="24" t="b">
        <f aca="false">FALSE()</f>
        <v>0</v>
      </c>
      <c r="N1204" s="11"/>
      <c r="O1204" s="11" t="str">
        <f aca="false">IF(K1204&lt;=StockP33,"Low",IF(K1204&lt;=StockP67,"Moderate","High"))</f>
        <v>Low</v>
      </c>
      <c r="P1204" s="11" t="str">
        <f aca="false">IF(H1204=0,"Low",IF(H1204&lt;=MarkdownP75,"Moderate","High"))</f>
        <v>Low</v>
      </c>
      <c r="Q1204" s="11" t="str">
        <f aca="false">IF(ISBLANK(L1204),"Unknown",IF(L1204&gt;=4,"Good",IF(L1204&lt;=2,"Poor","Neutral")))</f>
        <v>Neutral</v>
      </c>
      <c r="R1204" s="11" t="str">
        <f aca="false">IF(AND(O1204="Low",P1204="Low",Q1204="Good"),"BUY / PRIORITIZE",IF(AND(O1204="High",P1204="High",OR(Q1204="Poor",M1204=TRUE())),"HOLD / REVIEW","MONITOR"))</f>
        <v>MONITOR</v>
      </c>
      <c r="S1204" s="11" t="n">
        <f aca="false">K1204+(ROW()/10000000)</f>
        <v>8.0001204</v>
      </c>
    </row>
    <row r="1205" customFormat="false" ht="15" hidden="false" customHeight="false" outlineLevel="0" collapsed="false">
      <c r="A1205" s="11" t="s">
        <v>1503</v>
      </c>
      <c r="B1205" s="11" t="s">
        <v>28</v>
      </c>
      <c r="C1205" s="11" t="s">
        <v>101</v>
      </c>
      <c r="D1205" s="11" t="s">
        <v>35</v>
      </c>
      <c r="E1205" s="11" t="s">
        <v>110</v>
      </c>
      <c r="F1205" s="11" t="s">
        <v>124</v>
      </c>
      <c r="G1205" s="21" t="n">
        <v>232.5</v>
      </c>
      <c r="H1205" s="19" t="n">
        <v>56.8</v>
      </c>
      <c r="I1205" s="21" t="n">
        <v>100.44</v>
      </c>
      <c r="J1205" s="22" t="s">
        <v>80</v>
      </c>
      <c r="K1205" s="11" t="n">
        <v>23</v>
      </c>
      <c r="L1205" s="23" t="n">
        <v>2.9</v>
      </c>
      <c r="M1205" s="24" t="b">
        <f aca="false">TRUE()</f>
        <v>1</v>
      </c>
      <c r="N1205" s="11" t="s">
        <v>128</v>
      </c>
      <c r="O1205" s="11" t="str">
        <f aca="false">IF(K1205&lt;=StockP33,"Low",IF(K1205&lt;=StockP67,"Moderate","High"))</f>
        <v>Moderate</v>
      </c>
      <c r="P1205" s="11" t="str">
        <f aca="false">IF(H1205=0,"Low",IF(H1205&lt;=MarkdownP75,"Moderate","High"))</f>
        <v>High</v>
      </c>
      <c r="Q1205" s="11" t="str">
        <f aca="false">IF(ISBLANK(L1205),"Unknown",IF(L1205&gt;=4,"Good",IF(L1205&lt;=2,"Poor","Neutral")))</f>
        <v>Neutral</v>
      </c>
      <c r="R1205" s="11" t="str">
        <f aca="false">IF(AND(O1205="Low",P1205="Low",Q1205="Good"),"BUY / PRIORITIZE",IF(AND(O1205="High",P1205="High",OR(Q1205="Poor",M1205=TRUE())),"HOLD / REVIEW","MONITOR"))</f>
        <v>MONITOR</v>
      </c>
      <c r="S1205" s="11" t="n">
        <f aca="false">K1205+(ROW()/10000000)</f>
        <v>23.0001205</v>
      </c>
    </row>
    <row r="1206" customFormat="false" ht="15" hidden="false" customHeight="false" outlineLevel="0" collapsed="false">
      <c r="A1206" s="11" t="s">
        <v>1504</v>
      </c>
      <c r="B1206" s="11" t="s">
        <v>29</v>
      </c>
      <c r="C1206" s="11" t="s">
        <v>107</v>
      </c>
      <c r="D1206" s="11" t="s">
        <v>34</v>
      </c>
      <c r="E1206" s="11" t="s">
        <v>110</v>
      </c>
      <c r="F1206" s="11" t="s">
        <v>120</v>
      </c>
      <c r="G1206" s="21" t="n">
        <v>184.87</v>
      </c>
      <c r="H1206" s="19" t="n">
        <v>0</v>
      </c>
      <c r="I1206" s="21" t="n">
        <v>184.87</v>
      </c>
      <c r="J1206" s="22" t="s">
        <v>364</v>
      </c>
      <c r="K1206" s="11" t="n">
        <v>32</v>
      </c>
      <c r="L1206" s="23" t="n">
        <v>1.8</v>
      </c>
      <c r="M1206" s="24" t="b">
        <f aca="false">FALSE()</f>
        <v>0</v>
      </c>
      <c r="N1206" s="11"/>
      <c r="O1206" s="11" t="str">
        <f aca="false">IF(K1206&lt;=StockP33,"Low",IF(K1206&lt;=StockP67,"Moderate","High"))</f>
        <v>Moderate</v>
      </c>
      <c r="P1206" s="11" t="str">
        <f aca="false">IF(H1206=0,"Low",IF(H1206&lt;=MarkdownP75,"Moderate","High"))</f>
        <v>Low</v>
      </c>
      <c r="Q1206" s="11" t="str">
        <f aca="false">IF(ISBLANK(L1206),"Unknown",IF(L1206&gt;=4,"Good",IF(L1206&lt;=2,"Poor","Neutral")))</f>
        <v>Poor</v>
      </c>
      <c r="R1206" s="11" t="str">
        <f aca="false">IF(AND(O1206="Low",P1206="Low",Q1206="Good"),"BUY / PRIORITIZE",IF(AND(O1206="High",P1206="High",OR(Q1206="Poor",M1206=TRUE())),"HOLD / REVIEW","MONITOR"))</f>
        <v>MONITOR</v>
      </c>
      <c r="S1206" s="11" t="n">
        <f aca="false">K1206+(ROW()/10000000)</f>
        <v>32.0001206</v>
      </c>
    </row>
    <row r="1207" customFormat="false" ht="15" hidden="false" customHeight="false" outlineLevel="0" collapsed="false">
      <c r="A1207" s="11" t="s">
        <v>1505</v>
      </c>
      <c r="B1207" s="11" t="s">
        <v>30</v>
      </c>
      <c r="C1207" s="11" t="s">
        <v>116</v>
      </c>
      <c r="D1207" s="11" t="s">
        <v>36</v>
      </c>
      <c r="E1207" s="11" t="s">
        <v>110</v>
      </c>
      <c r="F1207" s="11" t="s">
        <v>92</v>
      </c>
      <c r="G1207" s="21" t="n">
        <v>31.36</v>
      </c>
      <c r="H1207" s="19" t="n">
        <v>0</v>
      </c>
      <c r="I1207" s="21" t="n">
        <v>31.36</v>
      </c>
      <c r="J1207" s="22" t="s">
        <v>80</v>
      </c>
      <c r="K1207" s="11" t="n">
        <v>50</v>
      </c>
      <c r="L1207" s="23" t="n">
        <v>3.4</v>
      </c>
      <c r="M1207" s="24" t="b">
        <f aca="false">FALSE()</f>
        <v>0</v>
      </c>
      <c r="N1207" s="11"/>
      <c r="O1207" s="11" t="str">
        <f aca="false">IF(K1207&lt;=StockP33,"Low",IF(K1207&lt;=StockP67,"Moderate","High"))</f>
        <v>High</v>
      </c>
      <c r="P1207" s="11" t="str">
        <f aca="false">IF(H1207=0,"Low",IF(H1207&lt;=MarkdownP75,"Moderate","High"))</f>
        <v>Low</v>
      </c>
      <c r="Q1207" s="11" t="str">
        <f aca="false">IF(ISBLANK(L1207),"Unknown",IF(L1207&gt;=4,"Good",IF(L1207&lt;=2,"Poor","Neutral")))</f>
        <v>Neutral</v>
      </c>
      <c r="R1207" s="11" t="str">
        <f aca="false">IF(AND(O1207="Low",P1207="Low",Q1207="Good"),"BUY / PRIORITIZE",IF(AND(O1207="High",P1207="High",OR(Q1207="Poor",M1207=TRUE())),"HOLD / REVIEW","MONITOR"))</f>
        <v>MONITOR</v>
      </c>
      <c r="S1207" s="11" t="n">
        <f aca="false">K1207+(ROW()/10000000)</f>
        <v>50.0001207</v>
      </c>
    </row>
    <row r="1208" customFormat="false" ht="15" hidden="false" customHeight="false" outlineLevel="0" collapsed="false">
      <c r="A1208" s="11" t="s">
        <v>1506</v>
      </c>
      <c r="B1208" s="11" t="s">
        <v>8</v>
      </c>
      <c r="C1208" s="11" t="s">
        <v>101</v>
      </c>
      <c r="D1208" s="11" t="s">
        <v>37</v>
      </c>
      <c r="E1208" s="11"/>
      <c r="F1208" s="11" t="s">
        <v>118</v>
      </c>
      <c r="G1208" s="21" t="n">
        <v>62.26</v>
      </c>
      <c r="H1208" s="19" t="n">
        <v>24.6</v>
      </c>
      <c r="I1208" s="21" t="n">
        <v>46.94</v>
      </c>
      <c r="J1208" s="22" t="s">
        <v>80</v>
      </c>
      <c r="K1208" s="11" t="n">
        <v>33</v>
      </c>
      <c r="L1208" s="23" t="n">
        <v>3.5</v>
      </c>
      <c r="M1208" s="24" t="b">
        <f aca="false">FALSE()</f>
        <v>0</v>
      </c>
      <c r="N1208" s="11"/>
      <c r="O1208" s="11" t="str">
        <f aca="false">IF(K1208&lt;=StockP33,"Low",IF(K1208&lt;=StockP67,"Moderate","High"))</f>
        <v>Moderate</v>
      </c>
      <c r="P1208" s="11" t="str">
        <f aca="false">IF(H1208=0,"Low",IF(H1208&lt;=MarkdownP75,"Moderate","High"))</f>
        <v>High</v>
      </c>
      <c r="Q1208" s="11" t="str">
        <f aca="false">IF(ISBLANK(L1208),"Unknown",IF(L1208&gt;=4,"Good",IF(L1208&lt;=2,"Poor","Neutral")))</f>
        <v>Neutral</v>
      </c>
      <c r="R1208" s="11" t="str">
        <f aca="false">IF(AND(O1208="Low",P1208="Low",Q1208="Good"),"BUY / PRIORITIZE",IF(AND(O1208="High",P1208="High",OR(Q1208="Poor",M1208=TRUE())),"HOLD / REVIEW","MONITOR"))</f>
        <v>MONITOR</v>
      </c>
      <c r="S1208" s="11" t="n">
        <f aca="false">K1208+(ROW()/10000000)</f>
        <v>33.0001208</v>
      </c>
    </row>
    <row r="1209" customFormat="false" ht="15" hidden="false" customHeight="false" outlineLevel="0" collapsed="false">
      <c r="A1209" s="11" t="s">
        <v>1507</v>
      </c>
      <c r="B1209" s="11" t="s">
        <v>8</v>
      </c>
      <c r="C1209" s="11" t="s">
        <v>95</v>
      </c>
      <c r="D1209" s="11" t="s">
        <v>35</v>
      </c>
      <c r="E1209" s="11"/>
      <c r="F1209" s="11" t="s">
        <v>118</v>
      </c>
      <c r="G1209" s="21" t="n">
        <v>64.82</v>
      </c>
      <c r="H1209" s="19" t="n">
        <v>42.2</v>
      </c>
      <c r="I1209" s="21" t="n">
        <v>37.47</v>
      </c>
      <c r="J1209" s="22" t="s">
        <v>80</v>
      </c>
      <c r="K1209" s="11" t="n">
        <v>26</v>
      </c>
      <c r="L1209" s="23" t="n">
        <v>1.3</v>
      </c>
      <c r="M1209" s="24" t="b">
        <f aca="false">FALSE()</f>
        <v>0</v>
      </c>
      <c r="N1209" s="11"/>
      <c r="O1209" s="11" t="str">
        <f aca="false">IF(K1209&lt;=StockP33,"Low",IF(K1209&lt;=StockP67,"Moderate","High"))</f>
        <v>Moderate</v>
      </c>
      <c r="P1209" s="11" t="str">
        <f aca="false">IF(H1209=0,"Low",IF(H1209&lt;=MarkdownP75,"Moderate","High"))</f>
        <v>High</v>
      </c>
      <c r="Q1209" s="11" t="str">
        <f aca="false">IF(ISBLANK(L1209),"Unknown",IF(L1209&gt;=4,"Good",IF(L1209&lt;=2,"Poor","Neutral")))</f>
        <v>Poor</v>
      </c>
      <c r="R1209" s="11" t="str">
        <f aca="false">IF(AND(O1209="Low",P1209="Low",Q1209="Good"),"BUY / PRIORITIZE",IF(AND(O1209="High",P1209="High",OR(Q1209="Poor",M1209=TRUE())),"HOLD / REVIEW","MONITOR"))</f>
        <v>MONITOR</v>
      </c>
      <c r="S1209" s="11" t="n">
        <f aca="false">K1209+(ROW()/10000000)</f>
        <v>26.0001209</v>
      </c>
    </row>
    <row r="1210" customFormat="false" ht="15" hidden="false" customHeight="false" outlineLevel="0" collapsed="false">
      <c r="A1210" s="11" t="s">
        <v>1508</v>
      </c>
      <c r="B1210" s="11" t="s">
        <v>8</v>
      </c>
      <c r="C1210" s="11" t="s">
        <v>72</v>
      </c>
      <c r="D1210" s="11" t="s">
        <v>34</v>
      </c>
      <c r="E1210" s="11"/>
      <c r="F1210" s="11" t="s">
        <v>96</v>
      </c>
      <c r="G1210" s="21" t="n">
        <v>15.92</v>
      </c>
      <c r="H1210" s="19" t="n">
        <v>0</v>
      </c>
      <c r="I1210" s="21" t="n">
        <v>15.92</v>
      </c>
      <c r="J1210" s="22" t="s">
        <v>247</v>
      </c>
      <c r="K1210" s="11" t="n">
        <v>7</v>
      </c>
      <c r="L1210" s="23" t="n">
        <v>4.1</v>
      </c>
      <c r="M1210" s="24" t="b">
        <f aca="false">FALSE()</f>
        <v>0</v>
      </c>
      <c r="N1210" s="11"/>
      <c r="O1210" s="11" t="str">
        <f aca="false">IF(K1210&lt;=StockP33,"Low",IF(K1210&lt;=StockP67,"Moderate","High"))</f>
        <v>Low</v>
      </c>
      <c r="P1210" s="11" t="str">
        <f aca="false">IF(H1210=0,"Low",IF(H1210&lt;=MarkdownP75,"Moderate","High"))</f>
        <v>Low</v>
      </c>
      <c r="Q1210" s="11" t="str">
        <f aca="false">IF(ISBLANK(L1210),"Unknown",IF(L1210&gt;=4,"Good",IF(L1210&lt;=2,"Poor","Neutral")))</f>
        <v>Good</v>
      </c>
      <c r="R1210" s="11" t="str">
        <f aca="false">IF(AND(O1210="Low",P1210="Low",Q1210="Good"),"BUY / PRIORITIZE",IF(AND(O1210="High",P1210="High",OR(Q1210="Poor",M1210=TRUE())),"HOLD / REVIEW","MONITOR"))</f>
        <v>BUY / PRIORITIZE</v>
      </c>
      <c r="S1210" s="11" t="n">
        <f aca="false">K1210+(ROW()/10000000)</f>
        <v>7.000121</v>
      </c>
    </row>
    <row r="1211" customFormat="false" ht="15" hidden="false" customHeight="false" outlineLevel="0" collapsed="false">
      <c r="A1211" s="11" t="s">
        <v>1509</v>
      </c>
      <c r="B1211" s="11" t="s">
        <v>28</v>
      </c>
      <c r="C1211" s="11" t="s">
        <v>101</v>
      </c>
      <c r="D1211" s="11" t="s">
        <v>34</v>
      </c>
      <c r="E1211" s="11" t="s">
        <v>113</v>
      </c>
      <c r="F1211" s="11" t="s">
        <v>120</v>
      </c>
      <c r="G1211" s="21" t="n">
        <v>180.83</v>
      </c>
      <c r="H1211" s="19" t="n">
        <v>0</v>
      </c>
      <c r="I1211" s="21" t="n">
        <v>180.83</v>
      </c>
      <c r="J1211" s="22" t="s">
        <v>1510</v>
      </c>
      <c r="K1211" s="11" t="n">
        <v>20</v>
      </c>
      <c r="L1211" s="23" t="n">
        <v>2</v>
      </c>
      <c r="M1211" s="24" t="b">
        <f aca="false">FALSE()</f>
        <v>0</v>
      </c>
      <c r="N1211" s="11"/>
      <c r="O1211" s="11" t="str">
        <f aca="false">IF(K1211&lt;=StockP33,"Low",IF(K1211&lt;=StockP67,"Moderate","High"))</f>
        <v>Moderate</v>
      </c>
      <c r="P1211" s="11" t="str">
        <f aca="false">IF(H1211=0,"Low",IF(H1211&lt;=MarkdownP75,"Moderate","High"))</f>
        <v>Low</v>
      </c>
      <c r="Q1211" s="11" t="str">
        <f aca="false">IF(ISBLANK(L1211),"Unknown",IF(L1211&gt;=4,"Good",IF(L1211&lt;=2,"Poor","Neutral")))</f>
        <v>Poor</v>
      </c>
      <c r="R1211" s="11" t="str">
        <f aca="false">IF(AND(O1211="Low",P1211="Low",Q1211="Good"),"BUY / PRIORITIZE",IF(AND(O1211="High",P1211="High",OR(Q1211="Poor",M1211=TRUE())),"HOLD / REVIEW","MONITOR"))</f>
        <v>MONITOR</v>
      </c>
      <c r="S1211" s="11" t="n">
        <f aca="false">K1211+(ROW()/10000000)</f>
        <v>20.0001211</v>
      </c>
    </row>
    <row r="1212" customFormat="false" ht="15" hidden="false" customHeight="false" outlineLevel="0" collapsed="false">
      <c r="A1212" s="11" t="s">
        <v>1511</v>
      </c>
      <c r="B1212" s="11" t="s">
        <v>29</v>
      </c>
      <c r="C1212" s="11" t="s">
        <v>130</v>
      </c>
      <c r="D1212" s="11" t="s">
        <v>35</v>
      </c>
      <c r="E1212" s="11" t="s">
        <v>78</v>
      </c>
      <c r="F1212" s="11" t="s">
        <v>124</v>
      </c>
      <c r="G1212" s="21" t="n">
        <v>73.81</v>
      </c>
      <c r="H1212" s="19" t="n">
        <v>0</v>
      </c>
      <c r="I1212" s="21" t="n">
        <v>73.81</v>
      </c>
      <c r="J1212" s="22" t="s">
        <v>80</v>
      </c>
      <c r="K1212" s="11" t="n">
        <v>44</v>
      </c>
      <c r="L1212" s="23" t="n">
        <v>1.3</v>
      </c>
      <c r="M1212" s="24" t="b">
        <f aca="false">FALSE()</f>
        <v>0</v>
      </c>
      <c r="N1212" s="11"/>
      <c r="O1212" s="11" t="str">
        <f aca="false">IF(K1212&lt;=StockP33,"Low",IF(K1212&lt;=StockP67,"Moderate","High"))</f>
        <v>High</v>
      </c>
      <c r="P1212" s="11" t="str">
        <f aca="false">IF(H1212=0,"Low",IF(H1212&lt;=MarkdownP75,"Moderate","High"))</f>
        <v>Low</v>
      </c>
      <c r="Q1212" s="11" t="str">
        <f aca="false">IF(ISBLANK(L1212),"Unknown",IF(L1212&gt;=4,"Good",IF(L1212&lt;=2,"Poor","Neutral")))</f>
        <v>Poor</v>
      </c>
      <c r="R1212" s="11" t="str">
        <f aca="false">IF(AND(O1212="Low",P1212="Low",Q1212="Good"),"BUY / PRIORITIZE",IF(AND(O1212="High",P1212="High",OR(Q1212="Poor",M1212=TRUE())),"HOLD / REVIEW","MONITOR"))</f>
        <v>MONITOR</v>
      </c>
      <c r="S1212" s="11" t="n">
        <f aca="false">K1212+(ROW()/10000000)</f>
        <v>44.0001212</v>
      </c>
    </row>
    <row r="1213" customFormat="false" ht="15" hidden="false" customHeight="false" outlineLevel="0" collapsed="false">
      <c r="A1213" s="11" t="s">
        <v>1512</v>
      </c>
      <c r="B1213" s="11" t="s">
        <v>29</v>
      </c>
      <c r="C1213" s="11" t="s">
        <v>107</v>
      </c>
      <c r="D1213" s="11" t="s">
        <v>35</v>
      </c>
      <c r="E1213" s="11" t="s">
        <v>102</v>
      </c>
      <c r="F1213" s="11" t="s">
        <v>111</v>
      </c>
      <c r="G1213" s="21" t="n">
        <v>127.52</v>
      </c>
      <c r="H1213" s="19" t="n">
        <v>0</v>
      </c>
      <c r="I1213" s="21" t="n">
        <v>127.52</v>
      </c>
      <c r="J1213" s="22" t="s">
        <v>80</v>
      </c>
      <c r="K1213" s="11" t="n">
        <v>0</v>
      </c>
      <c r="L1213" s="23" t="n">
        <v>3.4</v>
      </c>
      <c r="M1213" s="24" t="b">
        <f aca="false">FALSE()</f>
        <v>0</v>
      </c>
      <c r="N1213" s="11"/>
      <c r="O1213" s="11" t="str">
        <f aca="false">IF(K1213&lt;=StockP33,"Low",IF(K1213&lt;=StockP67,"Moderate","High"))</f>
        <v>Low</v>
      </c>
      <c r="P1213" s="11" t="str">
        <f aca="false">IF(H1213=0,"Low",IF(H1213&lt;=MarkdownP75,"Moderate","High"))</f>
        <v>Low</v>
      </c>
      <c r="Q1213" s="11" t="str">
        <f aca="false">IF(ISBLANK(L1213),"Unknown",IF(L1213&gt;=4,"Good",IF(L1213&lt;=2,"Poor","Neutral")))</f>
        <v>Neutral</v>
      </c>
      <c r="R1213" s="11" t="str">
        <f aca="false">IF(AND(O1213="Low",P1213="Low",Q1213="Good"),"BUY / PRIORITIZE",IF(AND(O1213="High",P1213="High",OR(Q1213="Poor",M1213=TRUE())),"HOLD / REVIEW","MONITOR"))</f>
        <v>MONITOR</v>
      </c>
      <c r="S1213" s="11" t="n">
        <f aca="false">K1213+(ROW()/10000000)</f>
        <v>0.0001213</v>
      </c>
    </row>
    <row r="1214" customFormat="false" ht="15" hidden="false" customHeight="false" outlineLevel="0" collapsed="false">
      <c r="A1214" s="11" t="s">
        <v>1513</v>
      </c>
      <c r="B1214" s="11" t="s">
        <v>26</v>
      </c>
      <c r="C1214" s="11" t="s">
        <v>101</v>
      </c>
      <c r="D1214" s="11" t="s">
        <v>36</v>
      </c>
      <c r="E1214" s="11"/>
      <c r="F1214" s="11" t="s">
        <v>124</v>
      </c>
      <c r="G1214" s="21" t="n">
        <v>52.08</v>
      </c>
      <c r="H1214" s="19" t="n">
        <v>0</v>
      </c>
      <c r="I1214" s="21" t="n">
        <v>52.08</v>
      </c>
      <c r="J1214" s="22" t="s">
        <v>80</v>
      </c>
      <c r="K1214" s="11" t="n">
        <v>12</v>
      </c>
      <c r="L1214" s="23"/>
      <c r="M1214" s="24" t="b">
        <f aca="false">FALSE()</f>
        <v>0</v>
      </c>
      <c r="N1214" s="11"/>
      <c r="O1214" s="11" t="str">
        <f aca="false">IF(K1214&lt;=StockP33,"Low",IF(K1214&lt;=StockP67,"Moderate","High"))</f>
        <v>Low</v>
      </c>
      <c r="P1214" s="11" t="str">
        <f aca="false">IF(H1214=0,"Low",IF(H1214&lt;=MarkdownP75,"Moderate","High"))</f>
        <v>Low</v>
      </c>
      <c r="Q1214" s="11" t="str">
        <f aca="false">IF(ISBLANK(L1214),"Unknown",IF(L1214&gt;=4,"Good",IF(L1214&lt;=2,"Poor","Neutral")))</f>
        <v>Unknown</v>
      </c>
      <c r="R1214" s="11" t="str">
        <f aca="false">IF(AND(O1214="Low",P1214="Low",Q1214="Good"),"BUY / PRIORITIZE",IF(AND(O1214="High",P1214="High",OR(Q1214="Poor",M1214=TRUE())),"HOLD / REVIEW","MONITOR"))</f>
        <v>MONITOR</v>
      </c>
      <c r="S1214" s="11" t="n">
        <f aca="false">K1214+(ROW()/10000000)</f>
        <v>12.0001214</v>
      </c>
    </row>
    <row r="1215" customFormat="false" ht="15" hidden="false" customHeight="false" outlineLevel="0" collapsed="false">
      <c r="A1215" s="11" t="s">
        <v>1514</v>
      </c>
      <c r="B1215" s="11" t="s">
        <v>26</v>
      </c>
      <c r="C1215" s="11" t="s">
        <v>130</v>
      </c>
      <c r="D1215" s="11" t="s">
        <v>37</v>
      </c>
      <c r="E1215" s="11" t="s">
        <v>110</v>
      </c>
      <c r="F1215" s="11" t="s">
        <v>74</v>
      </c>
      <c r="G1215" s="21" t="n">
        <v>32.83</v>
      </c>
      <c r="H1215" s="19" t="n">
        <v>23</v>
      </c>
      <c r="I1215" s="21" t="n">
        <v>25.28</v>
      </c>
      <c r="J1215" s="22" t="s">
        <v>80</v>
      </c>
      <c r="K1215" s="11" t="n">
        <v>24</v>
      </c>
      <c r="L1215" s="23" t="n">
        <v>1.1</v>
      </c>
      <c r="M1215" s="24" t="b">
        <f aca="false">FALSE()</f>
        <v>0</v>
      </c>
      <c r="N1215" s="11"/>
      <c r="O1215" s="11" t="str">
        <f aca="false">IF(K1215&lt;=StockP33,"Low",IF(K1215&lt;=StockP67,"Moderate","High"))</f>
        <v>Moderate</v>
      </c>
      <c r="P1215" s="11" t="str">
        <f aca="false">IF(H1215=0,"Low",IF(H1215&lt;=MarkdownP75,"Moderate","High"))</f>
        <v>High</v>
      </c>
      <c r="Q1215" s="11" t="str">
        <f aca="false">IF(ISBLANK(L1215),"Unknown",IF(L1215&gt;=4,"Good",IF(L1215&lt;=2,"Poor","Neutral")))</f>
        <v>Poor</v>
      </c>
      <c r="R1215" s="11" t="str">
        <f aca="false">IF(AND(O1215="Low",P1215="Low",Q1215="Good"),"BUY / PRIORITIZE",IF(AND(O1215="High",P1215="High",OR(Q1215="Poor",M1215=TRUE())),"HOLD / REVIEW","MONITOR"))</f>
        <v>MONITOR</v>
      </c>
      <c r="S1215" s="11" t="n">
        <f aca="false">K1215+(ROW()/10000000)</f>
        <v>24.0001215</v>
      </c>
    </row>
    <row r="1216" customFormat="false" ht="15" hidden="false" customHeight="false" outlineLevel="0" collapsed="false">
      <c r="A1216" s="11" t="s">
        <v>1515</v>
      </c>
      <c r="B1216" s="11" t="s">
        <v>30</v>
      </c>
      <c r="C1216" s="11" t="s">
        <v>86</v>
      </c>
      <c r="D1216" s="11" t="s">
        <v>37</v>
      </c>
      <c r="E1216" s="11" t="s">
        <v>91</v>
      </c>
      <c r="F1216" s="11" t="s">
        <v>120</v>
      </c>
      <c r="G1216" s="21" t="n">
        <v>108.92</v>
      </c>
      <c r="H1216" s="19" t="n">
        <v>0</v>
      </c>
      <c r="I1216" s="21" t="n">
        <v>108.92</v>
      </c>
      <c r="J1216" s="22" t="s">
        <v>80</v>
      </c>
      <c r="K1216" s="11" t="n">
        <v>6</v>
      </c>
      <c r="L1216" s="23" t="n">
        <v>1.8</v>
      </c>
      <c r="M1216" s="24" t="b">
        <f aca="false">FALSE()</f>
        <v>0</v>
      </c>
      <c r="N1216" s="11"/>
      <c r="O1216" s="11" t="str">
        <f aca="false">IF(K1216&lt;=StockP33,"Low",IF(K1216&lt;=StockP67,"Moderate","High"))</f>
        <v>Low</v>
      </c>
      <c r="P1216" s="11" t="str">
        <f aca="false">IF(H1216=0,"Low",IF(H1216&lt;=MarkdownP75,"Moderate","High"))</f>
        <v>Low</v>
      </c>
      <c r="Q1216" s="11" t="str">
        <f aca="false">IF(ISBLANK(L1216),"Unknown",IF(L1216&gt;=4,"Good",IF(L1216&lt;=2,"Poor","Neutral")))</f>
        <v>Poor</v>
      </c>
      <c r="R1216" s="11" t="str">
        <f aca="false">IF(AND(O1216="Low",P1216="Low",Q1216="Good"),"BUY / PRIORITIZE",IF(AND(O1216="High",P1216="High",OR(Q1216="Poor",M1216=TRUE())),"HOLD / REVIEW","MONITOR"))</f>
        <v>MONITOR</v>
      </c>
      <c r="S1216" s="11" t="n">
        <f aca="false">K1216+(ROW()/10000000)</f>
        <v>6.0001216</v>
      </c>
    </row>
    <row r="1217" customFormat="false" ht="15" hidden="false" customHeight="false" outlineLevel="0" collapsed="false">
      <c r="A1217" s="11" t="s">
        <v>1516</v>
      </c>
      <c r="B1217" s="11" t="s">
        <v>29</v>
      </c>
      <c r="C1217" s="11" t="s">
        <v>130</v>
      </c>
      <c r="D1217" s="11" t="s">
        <v>37</v>
      </c>
      <c r="E1217" s="11"/>
      <c r="F1217" s="11" t="s">
        <v>118</v>
      </c>
      <c r="G1217" s="21" t="n">
        <v>85.83</v>
      </c>
      <c r="H1217" s="19" t="n">
        <v>47.5</v>
      </c>
      <c r="I1217" s="21" t="n">
        <v>45.06</v>
      </c>
      <c r="J1217" s="22" t="s">
        <v>80</v>
      </c>
      <c r="K1217" s="11" t="n">
        <v>8</v>
      </c>
      <c r="L1217" s="23" t="n">
        <v>1.1</v>
      </c>
      <c r="M1217" s="24" t="b">
        <f aca="false">FALSE()</f>
        <v>0</v>
      </c>
      <c r="N1217" s="11"/>
      <c r="O1217" s="11" t="str">
        <f aca="false">IF(K1217&lt;=StockP33,"Low",IF(K1217&lt;=StockP67,"Moderate","High"))</f>
        <v>Low</v>
      </c>
      <c r="P1217" s="11" t="str">
        <f aca="false">IF(H1217=0,"Low",IF(H1217&lt;=MarkdownP75,"Moderate","High"))</f>
        <v>High</v>
      </c>
      <c r="Q1217" s="11" t="str">
        <f aca="false">IF(ISBLANK(L1217),"Unknown",IF(L1217&gt;=4,"Good",IF(L1217&lt;=2,"Poor","Neutral")))</f>
        <v>Poor</v>
      </c>
      <c r="R1217" s="11" t="str">
        <f aca="false">IF(AND(O1217="Low",P1217="Low",Q1217="Good"),"BUY / PRIORITIZE",IF(AND(O1217="High",P1217="High",OR(Q1217="Poor",M1217=TRUE())),"HOLD / REVIEW","MONITOR"))</f>
        <v>MONITOR</v>
      </c>
      <c r="S1217" s="11" t="n">
        <f aca="false">K1217+(ROW()/10000000)</f>
        <v>8.0001217</v>
      </c>
    </row>
    <row r="1218" customFormat="false" ht="15" hidden="false" customHeight="false" outlineLevel="0" collapsed="false">
      <c r="A1218" s="11" t="s">
        <v>1517</v>
      </c>
      <c r="B1218" s="11" t="s">
        <v>8</v>
      </c>
      <c r="C1218" s="11" t="s">
        <v>72</v>
      </c>
      <c r="D1218" s="11" t="s">
        <v>34</v>
      </c>
      <c r="E1218" s="11"/>
      <c r="F1218" s="11" t="s">
        <v>96</v>
      </c>
      <c r="G1218" s="21" t="n">
        <v>62.02</v>
      </c>
      <c r="H1218" s="19" t="n">
        <v>0</v>
      </c>
      <c r="I1218" s="21" t="n">
        <v>62.02</v>
      </c>
      <c r="J1218" s="22" t="s">
        <v>104</v>
      </c>
      <c r="K1218" s="11" t="n">
        <v>3</v>
      </c>
      <c r="L1218" s="23" t="n">
        <v>3.7</v>
      </c>
      <c r="M1218" s="24" t="b">
        <f aca="false">FALSE()</f>
        <v>0</v>
      </c>
      <c r="N1218" s="11"/>
      <c r="O1218" s="11" t="str">
        <f aca="false">IF(K1218&lt;=StockP33,"Low",IF(K1218&lt;=StockP67,"Moderate","High"))</f>
        <v>Low</v>
      </c>
      <c r="P1218" s="11" t="str">
        <f aca="false">IF(H1218=0,"Low",IF(H1218&lt;=MarkdownP75,"Moderate","High"))</f>
        <v>Low</v>
      </c>
      <c r="Q1218" s="11" t="str">
        <f aca="false">IF(ISBLANK(L1218),"Unknown",IF(L1218&gt;=4,"Good",IF(L1218&lt;=2,"Poor","Neutral")))</f>
        <v>Neutral</v>
      </c>
      <c r="R1218" s="11" t="str">
        <f aca="false">IF(AND(O1218="Low",P1218="Low",Q1218="Good"),"BUY / PRIORITIZE",IF(AND(O1218="High",P1218="High",OR(Q1218="Poor",M1218=TRUE())),"HOLD / REVIEW","MONITOR"))</f>
        <v>MONITOR</v>
      </c>
      <c r="S1218" s="11" t="n">
        <f aca="false">K1218+(ROW()/10000000)</f>
        <v>3.0001218</v>
      </c>
    </row>
    <row r="1219" customFormat="false" ht="15" hidden="false" customHeight="false" outlineLevel="0" collapsed="false">
      <c r="A1219" s="11" t="s">
        <v>1518</v>
      </c>
      <c r="B1219" s="11" t="s">
        <v>29</v>
      </c>
      <c r="C1219" s="11" t="s">
        <v>101</v>
      </c>
      <c r="D1219" s="11" t="s">
        <v>35</v>
      </c>
      <c r="E1219" s="11" t="s">
        <v>73</v>
      </c>
      <c r="F1219" s="11" t="s">
        <v>82</v>
      </c>
      <c r="G1219" s="21" t="n">
        <v>127.31</v>
      </c>
      <c r="H1219" s="19" t="n">
        <v>5.4</v>
      </c>
      <c r="I1219" s="21" t="n">
        <v>120.44</v>
      </c>
      <c r="J1219" s="22" t="s">
        <v>80</v>
      </c>
      <c r="K1219" s="11" t="n">
        <v>34</v>
      </c>
      <c r="L1219" s="23" t="n">
        <v>2.5</v>
      </c>
      <c r="M1219" s="24" t="b">
        <f aca="false">FALSE()</f>
        <v>0</v>
      </c>
      <c r="N1219" s="11"/>
      <c r="O1219" s="11" t="str">
        <f aca="false">IF(K1219&lt;=StockP33,"Low",IF(K1219&lt;=StockP67,"Moderate","High"))</f>
        <v>High</v>
      </c>
      <c r="P1219" s="11" t="str">
        <f aca="false">IF(H1219=0,"Low",IF(H1219&lt;=MarkdownP75,"Moderate","High"))</f>
        <v>Moderate</v>
      </c>
      <c r="Q1219" s="11" t="str">
        <f aca="false">IF(ISBLANK(L1219),"Unknown",IF(L1219&gt;=4,"Good",IF(L1219&lt;=2,"Poor","Neutral")))</f>
        <v>Neutral</v>
      </c>
      <c r="R1219" s="11" t="str">
        <f aca="false">IF(AND(O1219="Low",P1219="Low",Q1219="Good"),"BUY / PRIORITIZE",IF(AND(O1219="High",P1219="High",OR(Q1219="Poor",M1219=TRUE())),"HOLD / REVIEW","MONITOR"))</f>
        <v>MONITOR</v>
      </c>
      <c r="S1219" s="11" t="n">
        <f aca="false">K1219+(ROW()/10000000)</f>
        <v>34.0001219</v>
      </c>
    </row>
    <row r="1220" customFormat="false" ht="15" hidden="false" customHeight="false" outlineLevel="0" collapsed="false">
      <c r="A1220" s="11" t="s">
        <v>1519</v>
      </c>
      <c r="B1220" s="11" t="s">
        <v>30</v>
      </c>
      <c r="C1220" s="11" t="s">
        <v>107</v>
      </c>
      <c r="D1220" s="11" t="s">
        <v>36</v>
      </c>
      <c r="E1220" s="11"/>
      <c r="F1220" s="11" t="s">
        <v>74</v>
      </c>
      <c r="G1220" s="21" t="n">
        <v>35.74</v>
      </c>
      <c r="H1220" s="19" t="n">
        <v>0</v>
      </c>
      <c r="I1220" s="21" t="n">
        <v>35.74</v>
      </c>
      <c r="J1220" s="22" t="s">
        <v>80</v>
      </c>
      <c r="K1220" s="11" t="n">
        <v>33</v>
      </c>
      <c r="L1220" s="23"/>
      <c r="M1220" s="24" t="b">
        <f aca="false">TRUE()</f>
        <v>1</v>
      </c>
      <c r="N1220" s="11" t="s">
        <v>89</v>
      </c>
      <c r="O1220" s="11" t="str">
        <f aca="false">IF(K1220&lt;=StockP33,"Low",IF(K1220&lt;=StockP67,"Moderate","High"))</f>
        <v>Moderate</v>
      </c>
      <c r="P1220" s="11" t="str">
        <f aca="false">IF(H1220=0,"Low",IF(H1220&lt;=MarkdownP75,"Moderate","High"))</f>
        <v>Low</v>
      </c>
      <c r="Q1220" s="11" t="str">
        <f aca="false">IF(ISBLANK(L1220),"Unknown",IF(L1220&gt;=4,"Good",IF(L1220&lt;=2,"Poor","Neutral")))</f>
        <v>Unknown</v>
      </c>
      <c r="R1220" s="11" t="str">
        <f aca="false">IF(AND(O1220="Low",P1220="Low",Q1220="Good"),"BUY / PRIORITIZE",IF(AND(O1220="High",P1220="High",OR(Q1220="Poor",M1220=TRUE())),"HOLD / REVIEW","MONITOR"))</f>
        <v>MONITOR</v>
      </c>
      <c r="S1220" s="11" t="n">
        <f aca="false">K1220+(ROW()/10000000)</f>
        <v>33.000122</v>
      </c>
    </row>
    <row r="1221" customFormat="false" ht="15" hidden="false" customHeight="false" outlineLevel="0" collapsed="false">
      <c r="A1221" s="11" t="s">
        <v>1520</v>
      </c>
      <c r="B1221" s="11" t="s">
        <v>8</v>
      </c>
      <c r="C1221" s="11" t="s">
        <v>101</v>
      </c>
      <c r="D1221" s="11" t="s">
        <v>35</v>
      </c>
      <c r="E1221" s="11"/>
      <c r="F1221" s="11" t="s">
        <v>92</v>
      </c>
      <c r="G1221" s="21" t="n">
        <v>69.62</v>
      </c>
      <c r="H1221" s="19" t="n">
        <v>27.9</v>
      </c>
      <c r="I1221" s="21" t="n">
        <v>50.2</v>
      </c>
      <c r="J1221" s="22" t="s">
        <v>80</v>
      </c>
      <c r="K1221" s="11" t="n">
        <v>5</v>
      </c>
      <c r="L1221" s="23" t="n">
        <v>1.1</v>
      </c>
      <c r="M1221" s="24" t="b">
        <f aca="false">FALSE()</f>
        <v>0</v>
      </c>
      <c r="N1221" s="11"/>
      <c r="O1221" s="11" t="str">
        <f aca="false">IF(K1221&lt;=StockP33,"Low",IF(K1221&lt;=StockP67,"Moderate","High"))</f>
        <v>Low</v>
      </c>
      <c r="P1221" s="11" t="str">
        <f aca="false">IF(H1221=0,"Low",IF(H1221&lt;=MarkdownP75,"Moderate","High"))</f>
        <v>High</v>
      </c>
      <c r="Q1221" s="11" t="str">
        <f aca="false">IF(ISBLANK(L1221),"Unknown",IF(L1221&gt;=4,"Good",IF(L1221&lt;=2,"Poor","Neutral")))</f>
        <v>Poor</v>
      </c>
      <c r="R1221" s="11" t="str">
        <f aca="false">IF(AND(O1221="Low",P1221="Low",Q1221="Good"),"BUY / PRIORITIZE",IF(AND(O1221="High",P1221="High",OR(Q1221="Poor",M1221=TRUE())),"HOLD / REVIEW","MONITOR"))</f>
        <v>MONITOR</v>
      </c>
      <c r="S1221" s="11" t="n">
        <f aca="false">K1221+(ROW()/10000000)</f>
        <v>5.0001221</v>
      </c>
    </row>
    <row r="1222" customFormat="false" ht="15" hidden="false" customHeight="false" outlineLevel="0" collapsed="false">
      <c r="A1222" s="11" t="s">
        <v>1521</v>
      </c>
      <c r="B1222" s="11" t="s">
        <v>30</v>
      </c>
      <c r="C1222" s="11" t="s">
        <v>72</v>
      </c>
      <c r="D1222" s="11" t="s">
        <v>37</v>
      </c>
      <c r="E1222" s="11" t="s">
        <v>102</v>
      </c>
      <c r="F1222" s="11" t="s">
        <v>82</v>
      </c>
      <c r="G1222" s="21" t="n">
        <v>92.01</v>
      </c>
      <c r="H1222" s="19" t="n">
        <v>28.8</v>
      </c>
      <c r="I1222" s="21" t="n">
        <v>65.51</v>
      </c>
      <c r="J1222" s="22" t="s">
        <v>80</v>
      </c>
      <c r="K1222" s="11" t="n">
        <v>37</v>
      </c>
      <c r="L1222" s="23" t="n">
        <v>1.9</v>
      </c>
      <c r="M1222" s="24" t="b">
        <f aca="false">FALSE()</f>
        <v>0</v>
      </c>
      <c r="N1222" s="11"/>
      <c r="O1222" s="11" t="str">
        <f aca="false">IF(K1222&lt;=StockP33,"Low",IF(K1222&lt;=StockP67,"Moderate","High"))</f>
        <v>High</v>
      </c>
      <c r="P1222" s="11" t="str">
        <f aca="false">IF(H1222=0,"Low",IF(H1222&lt;=MarkdownP75,"Moderate","High"))</f>
        <v>High</v>
      </c>
      <c r="Q1222" s="11" t="str">
        <f aca="false">IF(ISBLANK(L1222),"Unknown",IF(L1222&gt;=4,"Good",IF(L1222&lt;=2,"Poor","Neutral")))</f>
        <v>Poor</v>
      </c>
      <c r="R1222" s="11" t="str">
        <f aca="false">IF(AND(O1222="Low",P1222="Low",Q1222="Good"),"BUY / PRIORITIZE",IF(AND(O1222="High",P1222="High",OR(Q1222="Poor",M1222=TRUE())),"HOLD / REVIEW","MONITOR"))</f>
        <v>HOLD / REVIEW</v>
      </c>
      <c r="S1222" s="11" t="n">
        <f aca="false">K1222+(ROW()/10000000)</f>
        <v>37.0001222</v>
      </c>
    </row>
    <row r="1223" customFormat="false" ht="15" hidden="false" customHeight="false" outlineLevel="0" collapsed="false">
      <c r="A1223" s="11" t="s">
        <v>1522</v>
      </c>
      <c r="B1223" s="11" t="s">
        <v>29</v>
      </c>
      <c r="C1223" s="11" t="s">
        <v>95</v>
      </c>
      <c r="D1223" s="11" t="s">
        <v>36</v>
      </c>
      <c r="E1223" s="11" t="s">
        <v>113</v>
      </c>
      <c r="F1223" s="11" t="s">
        <v>82</v>
      </c>
      <c r="G1223" s="21" t="n">
        <v>110.1</v>
      </c>
      <c r="H1223" s="19" t="n">
        <v>0</v>
      </c>
      <c r="I1223" s="21" t="n">
        <v>110.1</v>
      </c>
      <c r="J1223" s="22" t="s">
        <v>80</v>
      </c>
      <c r="K1223" s="11" t="n">
        <v>13</v>
      </c>
      <c r="L1223" s="23" t="n">
        <v>3.6</v>
      </c>
      <c r="M1223" s="24" t="b">
        <f aca="false">TRUE()</f>
        <v>1</v>
      </c>
      <c r="N1223" s="11" t="s">
        <v>178</v>
      </c>
      <c r="O1223" s="11" t="str">
        <f aca="false">IF(K1223&lt;=StockP33,"Low",IF(K1223&lt;=StockP67,"Moderate","High"))</f>
        <v>Low</v>
      </c>
      <c r="P1223" s="11" t="str">
        <f aca="false">IF(H1223=0,"Low",IF(H1223&lt;=MarkdownP75,"Moderate","High"))</f>
        <v>Low</v>
      </c>
      <c r="Q1223" s="11" t="str">
        <f aca="false">IF(ISBLANK(L1223),"Unknown",IF(L1223&gt;=4,"Good",IF(L1223&lt;=2,"Poor","Neutral")))</f>
        <v>Neutral</v>
      </c>
      <c r="R1223" s="11" t="str">
        <f aca="false">IF(AND(O1223="Low",P1223="Low",Q1223="Good"),"BUY / PRIORITIZE",IF(AND(O1223="High",P1223="High",OR(Q1223="Poor",M1223=TRUE())),"HOLD / REVIEW","MONITOR"))</f>
        <v>MONITOR</v>
      </c>
      <c r="S1223" s="11" t="n">
        <f aca="false">K1223+(ROW()/10000000)</f>
        <v>13.0001223</v>
      </c>
    </row>
    <row r="1224" customFormat="false" ht="15" hidden="false" customHeight="false" outlineLevel="0" collapsed="false">
      <c r="A1224" s="11" t="s">
        <v>1523</v>
      </c>
      <c r="B1224" s="11" t="s">
        <v>26</v>
      </c>
      <c r="C1224" s="11" t="s">
        <v>72</v>
      </c>
      <c r="D1224" s="11" t="s">
        <v>36</v>
      </c>
      <c r="E1224" s="11" t="s">
        <v>102</v>
      </c>
      <c r="F1224" s="11" t="s">
        <v>74</v>
      </c>
      <c r="G1224" s="21" t="n">
        <v>109.05</v>
      </c>
      <c r="H1224" s="19" t="n">
        <v>0</v>
      </c>
      <c r="I1224" s="21" t="n">
        <v>109.05</v>
      </c>
      <c r="J1224" s="22" t="s">
        <v>80</v>
      </c>
      <c r="K1224" s="11" t="n">
        <v>13</v>
      </c>
      <c r="L1224" s="23" t="n">
        <v>3.7</v>
      </c>
      <c r="M1224" s="24" t="b">
        <f aca="false">FALSE()</f>
        <v>0</v>
      </c>
      <c r="N1224" s="11"/>
      <c r="O1224" s="11" t="str">
        <f aca="false">IF(K1224&lt;=StockP33,"Low",IF(K1224&lt;=StockP67,"Moderate","High"))</f>
        <v>Low</v>
      </c>
      <c r="P1224" s="11" t="str">
        <f aca="false">IF(H1224=0,"Low",IF(H1224&lt;=MarkdownP75,"Moderate","High"))</f>
        <v>Low</v>
      </c>
      <c r="Q1224" s="11" t="str">
        <f aca="false">IF(ISBLANK(L1224),"Unknown",IF(L1224&gt;=4,"Good",IF(L1224&lt;=2,"Poor","Neutral")))</f>
        <v>Neutral</v>
      </c>
      <c r="R1224" s="11" t="str">
        <f aca="false">IF(AND(O1224="Low",P1224="Low",Q1224="Good"),"BUY / PRIORITIZE",IF(AND(O1224="High",P1224="High",OR(Q1224="Poor",M1224=TRUE())),"HOLD / REVIEW","MONITOR"))</f>
        <v>MONITOR</v>
      </c>
      <c r="S1224" s="11" t="n">
        <f aca="false">K1224+(ROW()/10000000)</f>
        <v>13.0001224</v>
      </c>
    </row>
    <row r="1225" customFormat="false" ht="15" hidden="false" customHeight="false" outlineLevel="0" collapsed="false">
      <c r="A1225" s="11" t="s">
        <v>1524</v>
      </c>
      <c r="B1225" s="11" t="s">
        <v>8</v>
      </c>
      <c r="C1225" s="11" t="s">
        <v>130</v>
      </c>
      <c r="D1225" s="11" t="s">
        <v>37</v>
      </c>
      <c r="E1225" s="11"/>
      <c r="F1225" s="11" t="s">
        <v>111</v>
      </c>
      <c r="G1225" s="21" t="n">
        <v>67.46</v>
      </c>
      <c r="H1225" s="19" t="n">
        <v>0</v>
      </c>
      <c r="I1225" s="21" t="n">
        <v>67.46</v>
      </c>
      <c r="J1225" s="22" t="s">
        <v>80</v>
      </c>
      <c r="K1225" s="11" t="n">
        <v>28</v>
      </c>
      <c r="L1225" s="23" t="n">
        <v>1.4</v>
      </c>
      <c r="M1225" s="24" t="b">
        <f aca="false">FALSE()</f>
        <v>0</v>
      </c>
      <c r="N1225" s="11"/>
      <c r="O1225" s="11" t="str">
        <f aca="false">IF(K1225&lt;=StockP33,"Low",IF(K1225&lt;=StockP67,"Moderate","High"))</f>
        <v>Moderate</v>
      </c>
      <c r="P1225" s="11" t="str">
        <f aca="false">IF(H1225=0,"Low",IF(H1225&lt;=MarkdownP75,"Moderate","High"))</f>
        <v>Low</v>
      </c>
      <c r="Q1225" s="11" t="str">
        <f aca="false">IF(ISBLANK(L1225),"Unknown",IF(L1225&gt;=4,"Good",IF(L1225&lt;=2,"Poor","Neutral")))</f>
        <v>Poor</v>
      </c>
      <c r="R1225" s="11" t="str">
        <f aca="false">IF(AND(O1225="Low",P1225="Low",Q1225="Good"),"BUY / PRIORITIZE",IF(AND(O1225="High",P1225="High",OR(Q1225="Poor",M1225=TRUE())),"HOLD / REVIEW","MONITOR"))</f>
        <v>MONITOR</v>
      </c>
      <c r="S1225" s="11" t="n">
        <f aca="false">K1225+(ROW()/10000000)</f>
        <v>28.0001225</v>
      </c>
    </row>
    <row r="1226" customFormat="false" ht="15" hidden="false" customHeight="false" outlineLevel="0" collapsed="false">
      <c r="A1226" s="11" t="s">
        <v>1525</v>
      </c>
      <c r="B1226" s="11" t="s">
        <v>29</v>
      </c>
      <c r="C1226" s="11" t="s">
        <v>107</v>
      </c>
      <c r="D1226" s="11" t="s">
        <v>37</v>
      </c>
      <c r="E1226" s="11" t="s">
        <v>113</v>
      </c>
      <c r="F1226" s="11" t="s">
        <v>88</v>
      </c>
      <c r="G1226" s="21" t="n">
        <v>110.11</v>
      </c>
      <c r="H1226" s="19" t="n">
        <v>10.2</v>
      </c>
      <c r="I1226" s="21" t="n">
        <v>98.88</v>
      </c>
      <c r="J1226" s="22" t="s">
        <v>80</v>
      </c>
      <c r="K1226" s="11" t="n">
        <v>47</v>
      </c>
      <c r="L1226" s="23"/>
      <c r="M1226" s="24" t="b">
        <f aca="false">FALSE()</f>
        <v>0</v>
      </c>
      <c r="N1226" s="11"/>
      <c r="O1226" s="11" t="str">
        <f aca="false">IF(K1226&lt;=StockP33,"Low",IF(K1226&lt;=StockP67,"Moderate","High"))</f>
        <v>High</v>
      </c>
      <c r="P1226" s="11" t="str">
        <f aca="false">IF(H1226=0,"Low",IF(H1226&lt;=MarkdownP75,"Moderate","High"))</f>
        <v>Moderate</v>
      </c>
      <c r="Q1226" s="11" t="str">
        <f aca="false">IF(ISBLANK(L1226),"Unknown",IF(L1226&gt;=4,"Good",IF(L1226&lt;=2,"Poor","Neutral")))</f>
        <v>Unknown</v>
      </c>
      <c r="R1226" s="11" t="str">
        <f aca="false">IF(AND(O1226="Low",P1226="Low",Q1226="Good"),"BUY / PRIORITIZE",IF(AND(O1226="High",P1226="High",OR(Q1226="Poor",M1226=TRUE())),"HOLD / REVIEW","MONITOR"))</f>
        <v>MONITOR</v>
      </c>
      <c r="S1226" s="11" t="n">
        <f aca="false">K1226+(ROW()/10000000)</f>
        <v>47.0001226</v>
      </c>
    </row>
    <row r="1227" customFormat="false" ht="15" hidden="false" customHeight="false" outlineLevel="0" collapsed="false">
      <c r="A1227" s="11" t="s">
        <v>1526</v>
      </c>
      <c r="B1227" s="11" t="s">
        <v>29</v>
      </c>
      <c r="C1227" s="11" t="s">
        <v>86</v>
      </c>
      <c r="D1227" s="11" t="s">
        <v>35</v>
      </c>
      <c r="E1227" s="11" t="s">
        <v>73</v>
      </c>
      <c r="F1227" s="11" t="s">
        <v>88</v>
      </c>
      <c r="G1227" s="21" t="n">
        <v>162.5</v>
      </c>
      <c r="H1227" s="19" t="n">
        <v>0</v>
      </c>
      <c r="I1227" s="21" t="n">
        <v>162.5</v>
      </c>
      <c r="J1227" s="22" t="s">
        <v>80</v>
      </c>
      <c r="K1227" s="11" t="n">
        <v>45</v>
      </c>
      <c r="L1227" s="23"/>
      <c r="M1227" s="24" t="b">
        <f aca="false">FALSE()</f>
        <v>0</v>
      </c>
      <c r="N1227" s="11"/>
      <c r="O1227" s="11" t="str">
        <f aca="false">IF(K1227&lt;=StockP33,"Low",IF(K1227&lt;=StockP67,"Moderate","High"))</f>
        <v>High</v>
      </c>
      <c r="P1227" s="11" t="str">
        <f aca="false">IF(H1227=0,"Low",IF(H1227&lt;=MarkdownP75,"Moderate","High"))</f>
        <v>Low</v>
      </c>
      <c r="Q1227" s="11" t="str">
        <f aca="false">IF(ISBLANK(L1227),"Unknown",IF(L1227&gt;=4,"Good",IF(L1227&lt;=2,"Poor","Neutral")))</f>
        <v>Unknown</v>
      </c>
      <c r="R1227" s="11" t="str">
        <f aca="false">IF(AND(O1227="Low",P1227="Low",Q1227="Good"),"BUY / PRIORITIZE",IF(AND(O1227="High",P1227="High",OR(Q1227="Poor",M1227=TRUE())),"HOLD / REVIEW","MONITOR"))</f>
        <v>MONITOR</v>
      </c>
      <c r="S1227" s="11" t="n">
        <f aca="false">K1227+(ROW()/10000000)</f>
        <v>45.0001227</v>
      </c>
    </row>
    <row r="1228" customFormat="false" ht="15" hidden="false" customHeight="false" outlineLevel="0" collapsed="false">
      <c r="A1228" s="11" t="s">
        <v>1527</v>
      </c>
      <c r="B1228" s="11" t="s">
        <v>8</v>
      </c>
      <c r="C1228" s="11" t="s">
        <v>77</v>
      </c>
      <c r="D1228" s="11" t="s">
        <v>35</v>
      </c>
      <c r="E1228" s="11"/>
      <c r="F1228" s="11" t="s">
        <v>82</v>
      </c>
      <c r="G1228" s="21" t="n">
        <v>23.8</v>
      </c>
      <c r="H1228" s="19" t="n">
        <v>8.3</v>
      </c>
      <c r="I1228" s="21" t="n">
        <v>21.82</v>
      </c>
      <c r="J1228" s="22" t="s">
        <v>80</v>
      </c>
      <c r="K1228" s="11" t="n">
        <v>0</v>
      </c>
      <c r="L1228" s="23" t="n">
        <v>3.5</v>
      </c>
      <c r="M1228" s="24" t="b">
        <f aca="false">FALSE()</f>
        <v>0</v>
      </c>
      <c r="N1228" s="11"/>
      <c r="O1228" s="11" t="str">
        <f aca="false">IF(K1228&lt;=StockP33,"Low",IF(K1228&lt;=StockP67,"Moderate","High"))</f>
        <v>Low</v>
      </c>
      <c r="P1228" s="11" t="str">
        <f aca="false">IF(H1228=0,"Low",IF(H1228&lt;=MarkdownP75,"Moderate","High"))</f>
        <v>Moderate</v>
      </c>
      <c r="Q1228" s="11" t="str">
        <f aca="false">IF(ISBLANK(L1228),"Unknown",IF(L1228&gt;=4,"Good",IF(L1228&lt;=2,"Poor","Neutral")))</f>
        <v>Neutral</v>
      </c>
      <c r="R1228" s="11" t="str">
        <f aca="false">IF(AND(O1228="Low",P1228="Low",Q1228="Good"),"BUY / PRIORITIZE",IF(AND(O1228="High",P1228="High",OR(Q1228="Poor",M1228=TRUE())),"HOLD / REVIEW","MONITOR"))</f>
        <v>MONITOR</v>
      </c>
      <c r="S1228" s="11" t="n">
        <f aca="false">K1228+(ROW()/10000000)</f>
        <v>0.0001228</v>
      </c>
    </row>
    <row r="1229" customFormat="false" ht="15" hidden="false" customHeight="false" outlineLevel="0" collapsed="false">
      <c r="A1229" s="11" t="s">
        <v>1528</v>
      </c>
      <c r="B1229" s="11" t="s">
        <v>26</v>
      </c>
      <c r="C1229" s="11" t="s">
        <v>86</v>
      </c>
      <c r="D1229" s="11" t="s">
        <v>36</v>
      </c>
      <c r="E1229" s="11" t="s">
        <v>110</v>
      </c>
      <c r="F1229" s="11" t="s">
        <v>124</v>
      </c>
      <c r="G1229" s="21" t="n">
        <v>115.89</v>
      </c>
      <c r="H1229" s="19" t="n">
        <v>0</v>
      </c>
      <c r="I1229" s="21" t="n">
        <v>115.89</v>
      </c>
      <c r="J1229" s="22" t="s">
        <v>80</v>
      </c>
      <c r="K1229" s="11" t="n">
        <v>34</v>
      </c>
      <c r="L1229" s="23" t="n">
        <v>2.9</v>
      </c>
      <c r="M1229" s="24" t="b">
        <f aca="false">FALSE()</f>
        <v>0</v>
      </c>
      <c r="N1229" s="11"/>
      <c r="O1229" s="11" t="str">
        <f aca="false">IF(K1229&lt;=StockP33,"Low",IF(K1229&lt;=StockP67,"Moderate","High"))</f>
        <v>High</v>
      </c>
      <c r="P1229" s="11" t="str">
        <f aca="false">IF(H1229=0,"Low",IF(H1229&lt;=MarkdownP75,"Moderate","High"))</f>
        <v>Low</v>
      </c>
      <c r="Q1229" s="11" t="str">
        <f aca="false">IF(ISBLANK(L1229),"Unknown",IF(L1229&gt;=4,"Good",IF(L1229&lt;=2,"Poor","Neutral")))</f>
        <v>Neutral</v>
      </c>
      <c r="R1229" s="11" t="str">
        <f aca="false">IF(AND(O1229="Low",P1229="Low",Q1229="Good"),"BUY / PRIORITIZE",IF(AND(O1229="High",P1229="High",OR(Q1229="Poor",M1229=TRUE())),"HOLD / REVIEW","MONITOR"))</f>
        <v>MONITOR</v>
      </c>
      <c r="S1229" s="11" t="n">
        <f aca="false">K1229+(ROW()/10000000)</f>
        <v>34.0001229</v>
      </c>
    </row>
    <row r="1230" customFormat="false" ht="15" hidden="false" customHeight="false" outlineLevel="0" collapsed="false">
      <c r="A1230" s="11" t="s">
        <v>1529</v>
      </c>
      <c r="B1230" s="11" t="s">
        <v>28</v>
      </c>
      <c r="C1230" s="11" t="s">
        <v>101</v>
      </c>
      <c r="D1230" s="11" t="s">
        <v>34</v>
      </c>
      <c r="E1230" s="11" t="s">
        <v>113</v>
      </c>
      <c r="F1230" s="11" t="s">
        <v>74</v>
      </c>
      <c r="G1230" s="21" t="n">
        <v>139.2</v>
      </c>
      <c r="H1230" s="19" t="n">
        <v>42.5</v>
      </c>
      <c r="I1230" s="21" t="n">
        <v>80.04</v>
      </c>
      <c r="J1230" s="22" t="s">
        <v>1193</v>
      </c>
      <c r="K1230" s="11" t="n">
        <v>27</v>
      </c>
      <c r="L1230" s="23" t="n">
        <v>2.9</v>
      </c>
      <c r="M1230" s="24" t="b">
        <f aca="false">FALSE()</f>
        <v>0</v>
      </c>
      <c r="N1230" s="11"/>
      <c r="O1230" s="11" t="str">
        <f aca="false">IF(K1230&lt;=StockP33,"Low",IF(K1230&lt;=StockP67,"Moderate","High"))</f>
        <v>Moderate</v>
      </c>
      <c r="P1230" s="11" t="str">
        <f aca="false">IF(H1230=0,"Low",IF(H1230&lt;=MarkdownP75,"Moderate","High"))</f>
        <v>High</v>
      </c>
      <c r="Q1230" s="11" t="str">
        <f aca="false">IF(ISBLANK(L1230),"Unknown",IF(L1230&gt;=4,"Good",IF(L1230&lt;=2,"Poor","Neutral")))</f>
        <v>Neutral</v>
      </c>
      <c r="R1230" s="11" t="str">
        <f aca="false">IF(AND(O1230="Low",P1230="Low",Q1230="Good"),"BUY / PRIORITIZE",IF(AND(O1230="High",P1230="High",OR(Q1230="Poor",M1230=TRUE())),"HOLD / REVIEW","MONITOR"))</f>
        <v>MONITOR</v>
      </c>
      <c r="S1230" s="11" t="n">
        <f aca="false">K1230+(ROW()/10000000)</f>
        <v>27.000123</v>
      </c>
    </row>
    <row r="1231" customFormat="false" ht="15" hidden="false" customHeight="false" outlineLevel="0" collapsed="false">
      <c r="A1231" s="11" t="s">
        <v>1530</v>
      </c>
      <c r="B1231" s="11" t="s">
        <v>27</v>
      </c>
      <c r="C1231" s="11" t="s">
        <v>130</v>
      </c>
      <c r="D1231" s="11" t="s">
        <v>36</v>
      </c>
      <c r="E1231" s="11" t="s">
        <v>91</v>
      </c>
      <c r="F1231" s="11" t="s">
        <v>118</v>
      </c>
      <c r="G1231" s="21" t="n">
        <v>120.42</v>
      </c>
      <c r="H1231" s="19" t="n">
        <v>36.7</v>
      </c>
      <c r="I1231" s="21" t="n">
        <v>76.23</v>
      </c>
      <c r="J1231" s="22" t="s">
        <v>80</v>
      </c>
      <c r="K1231" s="11" t="n">
        <v>46</v>
      </c>
      <c r="L1231" s="23" t="n">
        <v>2.4</v>
      </c>
      <c r="M1231" s="24" t="b">
        <f aca="false">FALSE()</f>
        <v>0</v>
      </c>
      <c r="N1231" s="11"/>
      <c r="O1231" s="11" t="str">
        <f aca="false">IF(K1231&lt;=StockP33,"Low",IF(K1231&lt;=StockP67,"Moderate","High"))</f>
        <v>High</v>
      </c>
      <c r="P1231" s="11" t="str">
        <f aca="false">IF(H1231=0,"Low",IF(H1231&lt;=MarkdownP75,"Moderate","High"))</f>
        <v>High</v>
      </c>
      <c r="Q1231" s="11" t="str">
        <f aca="false">IF(ISBLANK(L1231),"Unknown",IF(L1231&gt;=4,"Good",IF(L1231&lt;=2,"Poor","Neutral")))</f>
        <v>Neutral</v>
      </c>
      <c r="R1231" s="11" t="str">
        <f aca="false">IF(AND(O1231="Low",P1231="Low",Q1231="Good"),"BUY / PRIORITIZE",IF(AND(O1231="High",P1231="High",OR(Q1231="Poor",M1231=TRUE())),"HOLD / REVIEW","MONITOR"))</f>
        <v>MONITOR</v>
      </c>
      <c r="S1231" s="11" t="n">
        <f aca="false">K1231+(ROW()/10000000)</f>
        <v>46.0001231</v>
      </c>
    </row>
    <row r="1232" customFormat="false" ht="15" hidden="false" customHeight="false" outlineLevel="0" collapsed="false">
      <c r="A1232" s="11" t="s">
        <v>1531</v>
      </c>
      <c r="B1232" s="11" t="s">
        <v>8</v>
      </c>
      <c r="C1232" s="11" t="s">
        <v>86</v>
      </c>
      <c r="D1232" s="11" t="s">
        <v>36</v>
      </c>
      <c r="E1232" s="11"/>
      <c r="F1232" s="11" t="s">
        <v>111</v>
      </c>
      <c r="G1232" s="21" t="n">
        <v>72.81</v>
      </c>
      <c r="H1232" s="19" t="n">
        <v>0</v>
      </c>
      <c r="I1232" s="21" t="n">
        <v>72.81</v>
      </c>
      <c r="J1232" s="22" t="s">
        <v>80</v>
      </c>
      <c r="K1232" s="11" t="n">
        <v>4</v>
      </c>
      <c r="L1232" s="23" t="n">
        <v>4.3</v>
      </c>
      <c r="M1232" s="24" t="b">
        <f aca="false">FALSE()</f>
        <v>0</v>
      </c>
      <c r="N1232" s="11"/>
      <c r="O1232" s="11" t="str">
        <f aca="false">IF(K1232&lt;=StockP33,"Low",IF(K1232&lt;=StockP67,"Moderate","High"))</f>
        <v>Low</v>
      </c>
      <c r="P1232" s="11" t="str">
        <f aca="false">IF(H1232=0,"Low",IF(H1232&lt;=MarkdownP75,"Moderate","High"))</f>
        <v>Low</v>
      </c>
      <c r="Q1232" s="11" t="str">
        <f aca="false">IF(ISBLANK(L1232),"Unknown",IF(L1232&gt;=4,"Good",IF(L1232&lt;=2,"Poor","Neutral")))</f>
        <v>Good</v>
      </c>
      <c r="R1232" s="11" t="str">
        <f aca="false">IF(AND(O1232="Low",P1232="Low",Q1232="Good"),"BUY / PRIORITIZE",IF(AND(O1232="High",P1232="High",OR(Q1232="Poor",M1232=TRUE())),"HOLD / REVIEW","MONITOR"))</f>
        <v>BUY / PRIORITIZE</v>
      </c>
      <c r="S1232" s="11" t="n">
        <f aca="false">K1232+(ROW()/10000000)</f>
        <v>4.0001232</v>
      </c>
    </row>
    <row r="1233" customFormat="false" ht="15" hidden="false" customHeight="false" outlineLevel="0" collapsed="false">
      <c r="A1233" s="11" t="s">
        <v>1532</v>
      </c>
      <c r="B1233" s="11" t="s">
        <v>8</v>
      </c>
      <c r="C1233" s="11" t="s">
        <v>72</v>
      </c>
      <c r="D1233" s="11" t="s">
        <v>34</v>
      </c>
      <c r="E1233" s="11"/>
      <c r="F1233" s="11" t="s">
        <v>124</v>
      </c>
      <c r="G1233" s="21" t="n">
        <v>29.75</v>
      </c>
      <c r="H1233" s="19" t="n">
        <v>0</v>
      </c>
      <c r="I1233" s="21" t="n">
        <v>29.75</v>
      </c>
      <c r="J1233" s="22" t="s">
        <v>1533</v>
      </c>
      <c r="K1233" s="11" t="n">
        <v>37</v>
      </c>
      <c r="L1233" s="23" t="n">
        <v>3.9</v>
      </c>
      <c r="M1233" s="24" t="b">
        <f aca="false">FALSE()</f>
        <v>0</v>
      </c>
      <c r="N1233" s="11"/>
      <c r="O1233" s="11" t="str">
        <f aca="false">IF(K1233&lt;=StockP33,"Low",IF(K1233&lt;=StockP67,"Moderate","High"))</f>
        <v>High</v>
      </c>
      <c r="P1233" s="11" t="str">
        <f aca="false">IF(H1233=0,"Low",IF(H1233&lt;=MarkdownP75,"Moderate","High"))</f>
        <v>Low</v>
      </c>
      <c r="Q1233" s="11" t="str">
        <f aca="false">IF(ISBLANK(L1233),"Unknown",IF(L1233&gt;=4,"Good",IF(L1233&lt;=2,"Poor","Neutral")))</f>
        <v>Neutral</v>
      </c>
      <c r="R1233" s="11" t="str">
        <f aca="false">IF(AND(O1233="Low",P1233="Low",Q1233="Good"),"BUY / PRIORITIZE",IF(AND(O1233="High",P1233="High",OR(Q1233="Poor",M1233=TRUE())),"HOLD / REVIEW","MONITOR"))</f>
        <v>MONITOR</v>
      </c>
      <c r="S1233" s="11" t="n">
        <f aca="false">K1233+(ROW()/10000000)</f>
        <v>37.0001233</v>
      </c>
    </row>
    <row r="1234" customFormat="false" ht="15" hidden="false" customHeight="false" outlineLevel="0" collapsed="false">
      <c r="A1234" s="11" t="s">
        <v>1534</v>
      </c>
      <c r="B1234" s="11" t="s">
        <v>30</v>
      </c>
      <c r="C1234" s="11" t="s">
        <v>116</v>
      </c>
      <c r="D1234" s="11" t="s">
        <v>35</v>
      </c>
      <c r="E1234" s="11" t="s">
        <v>73</v>
      </c>
      <c r="F1234" s="11" t="s">
        <v>82</v>
      </c>
      <c r="G1234" s="21" t="n">
        <v>33.63</v>
      </c>
      <c r="H1234" s="19" t="n">
        <v>0</v>
      </c>
      <c r="I1234" s="21" t="n">
        <v>33.63</v>
      </c>
      <c r="J1234" s="22" t="s">
        <v>80</v>
      </c>
      <c r="K1234" s="11" t="n">
        <v>13</v>
      </c>
      <c r="L1234" s="23" t="n">
        <v>4.7</v>
      </c>
      <c r="M1234" s="24" t="b">
        <f aca="false">FALSE()</f>
        <v>0</v>
      </c>
      <c r="N1234" s="11"/>
      <c r="O1234" s="11" t="str">
        <f aca="false">IF(K1234&lt;=StockP33,"Low",IF(K1234&lt;=StockP67,"Moderate","High"))</f>
        <v>Low</v>
      </c>
      <c r="P1234" s="11" t="str">
        <f aca="false">IF(H1234=0,"Low",IF(H1234&lt;=MarkdownP75,"Moderate","High"))</f>
        <v>Low</v>
      </c>
      <c r="Q1234" s="11" t="str">
        <f aca="false">IF(ISBLANK(L1234),"Unknown",IF(L1234&gt;=4,"Good",IF(L1234&lt;=2,"Poor","Neutral")))</f>
        <v>Good</v>
      </c>
      <c r="R1234" s="11" t="str">
        <f aca="false">IF(AND(O1234="Low",P1234="Low",Q1234="Good"),"BUY / PRIORITIZE",IF(AND(O1234="High",P1234="High",OR(Q1234="Poor",M1234=TRUE())),"HOLD / REVIEW","MONITOR"))</f>
        <v>BUY / PRIORITIZE</v>
      </c>
      <c r="S1234" s="11" t="n">
        <f aca="false">K1234+(ROW()/10000000)</f>
        <v>13.0001234</v>
      </c>
    </row>
    <row r="1235" customFormat="false" ht="15" hidden="false" customHeight="false" outlineLevel="0" collapsed="false">
      <c r="A1235" s="11" t="s">
        <v>1535</v>
      </c>
      <c r="B1235" s="11" t="s">
        <v>28</v>
      </c>
      <c r="C1235" s="11" t="s">
        <v>86</v>
      </c>
      <c r="D1235" s="11" t="s">
        <v>36</v>
      </c>
      <c r="E1235" s="11" t="s">
        <v>91</v>
      </c>
      <c r="F1235" s="11" t="s">
        <v>124</v>
      </c>
      <c r="G1235" s="21" t="n">
        <v>101.93</v>
      </c>
      <c r="H1235" s="19" t="n">
        <v>0</v>
      </c>
      <c r="I1235" s="21" t="n">
        <v>101.93</v>
      </c>
      <c r="J1235" s="22" t="s">
        <v>80</v>
      </c>
      <c r="K1235" s="11" t="n">
        <v>31</v>
      </c>
      <c r="L1235" s="23"/>
      <c r="M1235" s="24" t="b">
        <f aca="false">FALSE()</f>
        <v>0</v>
      </c>
      <c r="N1235" s="11"/>
      <c r="O1235" s="11" t="str">
        <f aca="false">IF(K1235&lt;=StockP33,"Low",IF(K1235&lt;=StockP67,"Moderate","High"))</f>
        <v>Moderate</v>
      </c>
      <c r="P1235" s="11" t="str">
        <f aca="false">IF(H1235=0,"Low",IF(H1235&lt;=MarkdownP75,"Moderate","High"))</f>
        <v>Low</v>
      </c>
      <c r="Q1235" s="11" t="str">
        <f aca="false">IF(ISBLANK(L1235),"Unknown",IF(L1235&gt;=4,"Good",IF(L1235&lt;=2,"Poor","Neutral")))</f>
        <v>Unknown</v>
      </c>
      <c r="R1235" s="11" t="str">
        <f aca="false">IF(AND(O1235="Low",P1235="Low",Q1235="Good"),"BUY / PRIORITIZE",IF(AND(O1235="High",P1235="High",OR(Q1235="Poor",M1235=TRUE())),"HOLD / REVIEW","MONITOR"))</f>
        <v>MONITOR</v>
      </c>
      <c r="S1235" s="11" t="n">
        <f aca="false">K1235+(ROW()/10000000)</f>
        <v>31.0001235</v>
      </c>
    </row>
    <row r="1236" customFormat="false" ht="15" hidden="false" customHeight="false" outlineLevel="0" collapsed="false">
      <c r="A1236" s="11" t="s">
        <v>1536</v>
      </c>
      <c r="B1236" s="11" t="s">
        <v>8</v>
      </c>
      <c r="C1236" s="11" t="s">
        <v>95</v>
      </c>
      <c r="D1236" s="11" t="s">
        <v>37</v>
      </c>
      <c r="E1236" s="11"/>
      <c r="F1236" s="11" t="s">
        <v>88</v>
      </c>
      <c r="G1236" s="21" t="n">
        <v>41.43</v>
      </c>
      <c r="H1236" s="19" t="n">
        <v>0</v>
      </c>
      <c r="I1236" s="21" t="n">
        <v>41.43</v>
      </c>
      <c r="J1236" s="22" t="s">
        <v>80</v>
      </c>
      <c r="K1236" s="11" t="n">
        <v>10</v>
      </c>
      <c r="L1236" s="23"/>
      <c r="M1236" s="24" t="b">
        <f aca="false">FALSE()</f>
        <v>0</v>
      </c>
      <c r="N1236" s="11"/>
      <c r="O1236" s="11" t="str">
        <f aca="false">IF(K1236&lt;=StockP33,"Low",IF(K1236&lt;=StockP67,"Moderate","High"))</f>
        <v>Low</v>
      </c>
      <c r="P1236" s="11" t="str">
        <f aca="false">IF(H1236=0,"Low",IF(H1236&lt;=MarkdownP75,"Moderate","High"))</f>
        <v>Low</v>
      </c>
      <c r="Q1236" s="11" t="str">
        <f aca="false">IF(ISBLANK(L1236),"Unknown",IF(L1236&gt;=4,"Good",IF(L1236&lt;=2,"Poor","Neutral")))</f>
        <v>Unknown</v>
      </c>
      <c r="R1236" s="11" t="str">
        <f aca="false">IF(AND(O1236="Low",P1236="Low",Q1236="Good"),"BUY / PRIORITIZE",IF(AND(O1236="High",P1236="High",OR(Q1236="Poor",M1236=TRUE())),"HOLD / REVIEW","MONITOR"))</f>
        <v>MONITOR</v>
      </c>
      <c r="S1236" s="11" t="n">
        <f aca="false">K1236+(ROW()/10000000)</f>
        <v>10.0001236</v>
      </c>
    </row>
    <row r="1237" customFormat="false" ht="15" hidden="false" customHeight="false" outlineLevel="0" collapsed="false">
      <c r="A1237" s="11" t="s">
        <v>1537</v>
      </c>
      <c r="B1237" s="11" t="s">
        <v>28</v>
      </c>
      <c r="C1237" s="11" t="s">
        <v>107</v>
      </c>
      <c r="D1237" s="11" t="s">
        <v>34</v>
      </c>
      <c r="E1237" s="11" t="s">
        <v>78</v>
      </c>
      <c r="F1237" s="11" t="s">
        <v>98</v>
      </c>
      <c r="G1237" s="21" t="n">
        <v>126.14</v>
      </c>
      <c r="H1237" s="19" t="n">
        <v>0</v>
      </c>
      <c r="I1237" s="21" t="n">
        <v>126.14</v>
      </c>
      <c r="J1237" s="22" t="s">
        <v>1538</v>
      </c>
      <c r="K1237" s="11" t="n">
        <v>24</v>
      </c>
      <c r="L1237" s="23" t="n">
        <v>3.6</v>
      </c>
      <c r="M1237" s="24" t="b">
        <f aca="false">FALSE()</f>
        <v>0</v>
      </c>
      <c r="N1237" s="11"/>
      <c r="O1237" s="11" t="str">
        <f aca="false">IF(K1237&lt;=StockP33,"Low",IF(K1237&lt;=StockP67,"Moderate","High"))</f>
        <v>Moderate</v>
      </c>
      <c r="P1237" s="11" t="str">
        <f aca="false">IF(H1237=0,"Low",IF(H1237&lt;=MarkdownP75,"Moderate","High"))</f>
        <v>Low</v>
      </c>
      <c r="Q1237" s="11" t="str">
        <f aca="false">IF(ISBLANK(L1237),"Unknown",IF(L1237&gt;=4,"Good",IF(L1237&lt;=2,"Poor","Neutral")))</f>
        <v>Neutral</v>
      </c>
      <c r="R1237" s="11" t="str">
        <f aca="false">IF(AND(O1237="Low",P1237="Low",Q1237="Good"),"BUY / PRIORITIZE",IF(AND(O1237="High",P1237="High",OR(Q1237="Poor",M1237=TRUE())),"HOLD / REVIEW","MONITOR"))</f>
        <v>MONITOR</v>
      </c>
      <c r="S1237" s="11" t="n">
        <f aca="false">K1237+(ROW()/10000000)</f>
        <v>24.0001237</v>
      </c>
    </row>
    <row r="1238" customFormat="false" ht="15" hidden="false" customHeight="false" outlineLevel="0" collapsed="false">
      <c r="A1238" s="11" t="s">
        <v>1539</v>
      </c>
      <c r="B1238" s="11" t="s">
        <v>26</v>
      </c>
      <c r="C1238" s="11" t="s">
        <v>72</v>
      </c>
      <c r="D1238" s="11" t="s">
        <v>34</v>
      </c>
      <c r="E1238" s="11" t="s">
        <v>113</v>
      </c>
      <c r="F1238" s="11" t="s">
        <v>120</v>
      </c>
      <c r="G1238" s="21" t="n">
        <v>96.76</v>
      </c>
      <c r="H1238" s="19" t="n">
        <v>0</v>
      </c>
      <c r="I1238" s="21" t="n">
        <v>96.76</v>
      </c>
      <c r="J1238" s="22" t="s">
        <v>1540</v>
      </c>
      <c r="K1238" s="11" t="n">
        <v>6</v>
      </c>
      <c r="L1238" s="23"/>
      <c r="M1238" s="24" t="b">
        <f aca="false">FALSE()</f>
        <v>0</v>
      </c>
      <c r="N1238" s="11"/>
      <c r="O1238" s="11" t="str">
        <f aca="false">IF(K1238&lt;=StockP33,"Low",IF(K1238&lt;=StockP67,"Moderate","High"))</f>
        <v>Low</v>
      </c>
      <c r="P1238" s="11" t="str">
        <f aca="false">IF(H1238=0,"Low",IF(H1238&lt;=MarkdownP75,"Moderate","High"))</f>
        <v>Low</v>
      </c>
      <c r="Q1238" s="11" t="str">
        <f aca="false">IF(ISBLANK(L1238),"Unknown",IF(L1238&gt;=4,"Good",IF(L1238&lt;=2,"Poor","Neutral")))</f>
        <v>Unknown</v>
      </c>
      <c r="R1238" s="11" t="str">
        <f aca="false">IF(AND(O1238="Low",P1238="Low",Q1238="Good"),"BUY / PRIORITIZE",IF(AND(O1238="High",P1238="High",OR(Q1238="Poor",M1238=TRUE())),"HOLD / REVIEW","MONITOR"))</f>
        <v>MONITOR</v>
      </c>
      <c r="S1238" s="11" t="n">
        <f aca="false">K1238+(ROW()/10000000)</f>
        <v>6.0001238</v>
      </c>
    </row>
    <row r="1239" customFormat="false" ht="15" hidden="false" customHeight="false" outlineLevel="0" collapsed="false">
      <c r="A1239" s="11" t="s">
        <v>1541</v>
      </c>
      <c r="B1239" s="11" t="s">
        <v>30</v>
      </c>
      <c r="C1239" s="11" t="s">
        <v>95</v>
      </c>
      <c r="D1239" s="11" t="s">
        <v>37</v>
      </c>
      <c r="E1239" s="11" t="s">
        <v>110</v>
      </c>
      <c r="F1239" s="11" t="s">
        <v>118</v>
      </c>
      <c r="G1239" s="21" t="n">
        <v>114.32</v>
      </c>
      <c r="H1239" s="19" t="n">
        <v>0</v>
      </c>
      <c r="I1239" s="21" t="n">
        <v>114.32</v>
      </c>
      <c r="J1239" s="22" t="s">
        <v>80</v>
      </c>
      <c r="K1239" s="11" t="n">
        <v>27</v>
      </c>
      <c r="L1239" s="23" t="n">
        <v>5</v>
      </c>
      <c r="M1239" s="24" t="b">
        <f aca="false">FALSE()</f>
        <v>0</v>
      </c>
      <c r="N1239" s="11"/>
      <c r="O1239" s="11" t="str">
        <f aca="false">IF(K1239&lt;=StockP33,"Low",IF(K1239&lt;=StockP67,"Moderate","High"))</f>
        <v>Moderate</v>
      </c>
      <c r="P1239" s="11" t="str">
        <f aca="false">IF(H1239=0,"Low",IF(H1239&lt;=MarkdownP75,"Moderate","High"))</f>
        <v>Low</v>
      </c>
      <c r="Q1239" s="11" t="str">
        <f aca="false">IF(ISBLANK(L1239),"Unknown",IF(L1239&gt;=4,"Good",IF(L1239&lt;=2,"Poor","Neutral")))</f>
        <v>Good</v>
      </c>
      <c r="R1239" s="11" t="str">
        <f aca="false">IF(AND(O1239="Low",P1239="Low",Q1239="Good"),"BUY / PRIORITIZE",IF(AND(O1239="High",P1239="High",OR(Q1239="Poor",M1239=TRUE())),"HOLD / REVIEW","MONITOR"))</f>
        <v>MONITOR</v>
      </c>
      <c r="S1239" s="11" t="n">
        <f aca="false">K1239+(ROW()/10000000)</f>
        <v>27.0001239</v>
      </c>
    </row>
    <row r="1240" customFormat="false" ht="15" hidden="false" customHeight="false" outlineLevel="0" collapsed="false">
      <c r="A1240" s="11" t="s">
        <v>1542</v>
      </c>
      <c r="B1240" s="11" t="s">
        <v>29</v>
      </c>
      <c r="C1240" s="11" t="s">
        <v>101</v>
      </c>
      <c r="D1240" s="11" t="s">
        <v>34</v>
      </c>
      <c r="E1240" s="11" t="s">
        <v>91</v>
      </c>
      <c r="F1240" s="11" t="s">
        <v>120</v>
      </c>
      <c r="G1240" s="21" t="n">
        <v>102.46</v>
      </c>
      <c r="H1240" s="19" t="n">
        <v>0</v>
      </c>
      <c r="I1240" s="21" t="n">
        <v>102.46</v>
      </c>
      <c r="J1240" s="22" t="s">
        <v>1543</v>
      </c>
      <c r="K1240" s="11" t="n">
        <v>20</v>
      </c>
      <c r="L1240" s="23" t="n">
        <v>3.7</v>
      </c>
      <c r="M1240" s="24" t="b">
        <f aca="false">TRUE()</f>
        <v>1</v>
      </c>
      <c r="N1240" s="11" t="s">
        <v>140</v>
      </c>
      <c r="O1240" s="11" t="str">
        <f aca="false">IF(K1240&lt;=StockP33,"Low",IF(K1240&lt;=StockP67,"Moderate","High"))</f>
        <v>Moderate</v>
      </c>
      <c r="P1240" s="11" t="str">
        <f aca="false">IF(H1240=0,"Low",IF(H1240&lt;=MarkdownP75,"Moderate","High"))</f>
        <v>Low</v>
      </c>
      <c r="Q1240" s="11" t="str">
        <f aca="false">IF(ISBLANK(L1240),"Unknown",IF(L1240&gt;=4,"Good",IF(L1240&lt;=2,"Poor","Neutral")))</f>
        <v>Neutral</v>
      </c>
      <c r="R1240" s="11" t="str">
        <f aca="false">IF(AND(O1240="Low",P1240="Low",Q1240="Good"),"BUY / PRIORITIZE",IF(AND(O1240="High",P1240="High",OR(Q1240="Poor",M1240=TRUE())),"HOLD / REVIEW","MONITOR"))</f>
        <v>MONITOR</v>
      </c>
      <c r="S1240" s="11" t="n">
        <f aca="false">K1240+(ROW()/10000000)</f>
        <v>20.000124</v>
      </c>
    </row>
    <row r="1241" customFormat="false" ht="15" hidden="false" customHeight="false" outlineLevel="0" collapsed="false">
      <c r="A1241" s="11" t="s">
        <v>1544</v>
      </c>
      <c r="B1241" s="11" t="s">
        <v>26</v>
      </c>
      <c r="C1241" s="11" t="s">
        <v>77</v>
      </c>
      <c r="D1241" s="11" t="s">
        <v>35</v>
      </c>
      <c r="E1241" s="11" t="s">
        <v>78</v>
      </c>
      <c r="F1241" s="11" t="s">
        <v>79</v>
      </c>
      <c r="G1241" s="21" t="n">
        <v>95.7</v>
      </c>
      <c r="H1241" s="19" t="n">
        <v>15</v>
      </c>
      <c r="I1241" s="21" t="n">
        <v>81.34</v>
      </c>
      <c r="J1241" s="22" t="s">
        <v>80</v>
      </c>
      <c r="K1241" s="11" t="n">
        <v>9</v>
      </c>
      <c r="L1241" s="23" t="n">
        <v>4.9</v>
      </c>
      <c r="M1241" s="24" t="b">
        <f aca="false">FALSE()</f>
        <v>0</v>
      </c>
      <c r="N1241" s="11"/>
      <c r="O1241" s="11" t="str">
        <f aca="false">IF(K1241&lt;=StockP33,"Low",IF(K1241&lt;=StockP67,"Moderate","High"))</f>
        <v>Low</v>
      </c>
      <c r="P1241" s="11" t="str">
        <f aca="false">IF(H1241=0,"Low",IF(H1241&lt;=MarkdownP75,"Moderate","High"))</f>
        <v>Moderate</v>
      </c>
      <c r="Q1241" s="11" t="str">
        <f aca="false">IF(ISBLANK(L1241),"Unknown",IF(L1241&gt;=4,"Good",IF(L1241&lt;=2,"Poor","Neutral")))</f>
        <v>Good</v>
      </c>
      <c r="R1241" s="11" t="str">
        <f aca="false">IF(AND(O1241="Low",P1241="Low",Q1241="Good"),"BUY / PRIORITIZE",IF(AND(O1241="High",P1241="High",OR(Q1241="Poor",M1241=TRUE())),"HOLD / REVIEW","MONITOR"))</f>
        <v>MONITOR</v>
      </c>
      <c r="S1241" s="11" t="n">
        <f aca="false">K1241+(ROW()/10000000)</f>
        <v>9.0001241</v>
      </c>
    </row>
    <row r="1242" customFormat="false" ht="15" hidden="false" customHeight="false" outlineLevel="0" collapsed="false">
      <c r="A1242" s="11" t="s">
        <v>1545</v>
      </c>
      <c r="B1242" s="11" t="s">
        <v>26</v>
      </c>
      <c r="C1242" s="11" t="s">
        <v>101</v>
      </c>
      <c r="D1242" s="11" t="s">
        <v>37</v>
      </c>
      <c r="E1242" s="11" t="s">
        <v>113</v>
      </c>
      <c r="F1242" s="11" t="s">
        <v>96</v>
      </c>
      <c r="G1242" s="21" t="n">
        <v>55.49</v>
      </c>
      <c r="H1242" s="19" t="n">
        <v>0</v>
      </c>
      <c r="I1242" s="21" t="n">
        <v>55.49</v>
      </c>
      <c r="J1242" s="22" t="s">
        <v>80</v>
      </c>
      <c r="K1242" s="11" t="n">
        <v>25</v>
      </c>
      <c r="L1242" s="23" t="n">
        <v>4.6</v>
      </c>
      <c r="M1242" s="24" t="b">
        <f aca="false">FALSE()</f>
        <v>0</v>
      </c>
      <c r="N1242" s="11"/>
      <c r="O1242" s="11" t="str">
        <f aca="false">IF(K1242&lt;=StockP33,"Low",IF(K1242&lt;=StockP67,"Moderate","High"))</f>
        <v>Moderate</v>
      </c>
      <c r="P1242" s="11" t="str">
        <f aca="false">IF(H1242=0,"Low",IF(H1242&lt;=MarkdownP75,"Moderate","High"))</f>
        <v>Low</v>
      </c>
      <c r="Q1242" s="11" t="str">
        <f aca="false">IF(ISBLANK(L1242),"Unknown",IF(L1242&gt;=4,"Good",IF(L1242&lt;=2,"Poor","Neutral")))</f>
        <v>Good</v>
      </c>
      <c r="R1242" s="11" t="str">
        <f aca="false">IF(AND(O1242="Low",P1242="Low",Q1242="Good"),"BUY / PRIORITIZE",IF(AND(O1242="High",P1242="High",OR(Q1242="Poor",M1242=TRUE())),"HOLD / REVIEW","MONITOR"))</f>
        <v>MONITOR</v>
      </c>
      <c r="S1242" s="11" t="n">
        <f aca="false">K1242+(ROW()/10000000)</f>
        <v>25.0001242</v>
      </c>
    </row>
    <row r="1243" customFormat="false" ht="15" hidden="false" customHeight="false" outlineLevel="0" collapsed="false">
      <c r="A1243" s="11" t="s">
        <v>1546</v>
      </c>
      <c r="B1243" s="11" t="s">
        <v>8</v>
      </c>
      <c r="C1243" s="11" t="s">
        <v>107</v>
      </c>
      <c r="D1243" s="11" t="s">
        <v>37</v>
      </c>
      <c r="E1243" s="11"/>
      <c r="F1243" s="11" t="s">
        <v>88</v>
      </c>
      <c r="G1243" s="21" t="n">
        <v>30.58</v>
      </c>
      <c r="H1243" s="19" t="n">
        <v>9.8</v>
      </c>
      <c r="I1243" s="21" t="n">
        <v>27.58</v>
      </c>
      <c r="J1243" s="22" t="s">
        <v>80</v>
      </c>
      <c r="K1243" s="11" t="n">
        <v>34</v>
      </c>
      <c r="L1243" s="23" t="n">
        <v>3.4</v>
      </c>
      <c r="M1243" s="24" t="b">
        <f aca="false">FALSE()</f>
        <v>0</v>
      </c>
      <c r="N1243" s="11"/>
      <c r="O1243" s="11" t="str">
        <f aca="false">IF(K1243&lt;=StockP33,"Low",IF(K1243&lt;=StockP67,"Moderate","High"))</f>
        <v>High</v>
      </c>
      <c r="P1243" s="11" t="str">
        <f aca="false">IF(H1243=0,"Low",IF(H1243&lt;=MarkdownP75,"Moderate","High"))</f>
        <v>Moderate</v>
      </c>
      <c r="Q1243" s="11" t="str">
        <f aca="false">IF(ISBLANK(L1243),"Unknown",IF(L1243&gt;=4,"Good",IF(L1243&lt;=2,"Poor","Neutral")))</f>
        <v>Neutral</v>
      </c>
      <c r="R1243" s="11" t="str">
        <f aca="false">IF(AND(O1243="Low",P1243="Low",Q1243="Good"),"BUY / PRIORITIZE",IF(AND(O1243="High",P1243="High",OR(Q1243="Poor",M1243=TRUE())),"HOLD / REVIEW","MONITOR"))</f>
        <v>MONITOR</v>
      </c>
      <c r="S1243" s="11" t="n">
        <f aca="false">K1243+(ROW()/10000000)</f>
        <v>34.0001243</v>
      </c>
    </row>
    <row r="1244" customFormat="false" ht="15" hidden="false" customHeight="false" outlineLevel="0" collapsed="false">
      <c r="A1244" s="11" t="s">
        <v>1547</v>
      </c>
      <c r="B1244" s="11" t="s">
        <v>26</v>
      </c>
      <c r="C1244" s="11" t="s">
        <v>95</v>
      </c>
      <c r="D1244" s="11" t="s">
        <v>36</v>
      </c>
      <c r="E1244" s="11" t="s">
        <v>91</v>
      </c>
      <c r="F1244" s="11" t="s">
        <v>74</v>
      </c>
      <c r="G1244" s="21" t="n">
        <v>116.58</v>
      </c>
      <c r="H1244" s="19" t="n">
        <v>0</v>
      </c>
      <c r="I1244" s="21" t="n">
        <v>116.58</v>
      </c>
      <c r="J1244" s="22" t="s">
        <v>80</v>
      </c>
      <c r="K1244" s="11" t="n">
        <v>47</v>
      </c>
      <c r="L1244" s="23" t="n">
        <v>1.2</v>
      </c>
      <c r="M1244" s="24" t="b">
        <f aca="false">FALSE()</f>
        <v>0</v>
      </c>
      <c r="N1244" s="11"/>
      <c r="O1244" s="11" t="str">
        <f aca="false">IF(K1244&lt;=StockP33,"Low",IF(K1244&lt;=StockP67,"Moderate","High"))</f>
        <v>High</v>
      </c>
      <c r="P1244" s="11" t="str">
        <f aca="false">IF(H1244=0,"Low",IF(H1244&lt;=MarkdownP75,"Moderate","High"))</f>
        <v>Low</v>
      </c>
      <c r="Q1244" s="11" t="str">
        <f aca="false">IF(ISBLANK(L1244),"Unknown",IF(L1244&gt;=4,"Good",IF(L1244&lt;=2,"Poor","Neutral")))</f>
        <v>Poor</v>
      </c>
      <c r="R1244" s="11" t="str">
        <f aca="false">IF(AND(O1244="Low",P1244="Low",Q1244="Good"),"BUY / PRIORITIZE",IF(AND(O1244="High",P1244="High",OR(Q1244="Poor",M1244=TRUE())),"HOLD / REVIEW","MONITOR"))</f>
        <v>MONITOR</v>
      </c>
      <c r="S1244" s="11" t="n">
        <f aca="false">K1244+(ROW()/10000000)</f>
        <v>47.0001244</v>
      </c>
    </row>
    <row r="1245" customFormat="false" ht="15" hidden="false" customHeight="false" outlineLevel="0" collapsed="false">
      <c r="A1245" s="11" t="s">
        <v>1548</v>
      </c>
      <c r="B1245" s="11" t="s">
        <v>27</v>
      </c>
      <c r="C1245" s="11" t="s">
        <v>72</v>
      </c>
      <c r="D1245" s="11" t="s">
        <v>37</v>
      </c>
      <c r="E1245" s="11" t="s">
        <v>73</v>
      </c>
      <c r="F1245" s="11" t="s">
        <v>118</v>
      </c>
      <c r="G1245" s="21" t="n">
        <v>79.18</v>
      </c>
      <c r="H1245" s="19" t="n">
        <v>21.1</v>
      </c>
      <c r="I1245" s="21" t="n">
        <v>62.47</v>
      </c>
      <c r="J1245" s="22" t="s">
        <v>80</v>
      </c>
      <c r="K1245" s="11" t="n">
        <v>36</v>
      </c>
      <c r="L1245" s="23" t="n">
        <v>1.5</v>
      </c>
      <c r="M1245" s="24" t="b">
        <f aca="false">TRUE()</f>
        <v>1</v>
      </c>
      <c r="N1245" s="11" t="s">
        <v>178</v>
      </c>
      <c r="O1245" s="11" t="str">
        <f aca="false">IF(K1245&lt;=StockP33,"Low",IF(K1245&lt;=StockP67,"Moderate","High"))</f>
        <v>High</v>
      </c>
      <c r="P1245" s="11" t="str">
        <f aca="false">IF(H1245=0,"Low",IF(H1245&lt;=MarkdownP75,"Moderate","High"))</f>
        <v>Moderate</v>
      </c>
      <c r="Q1245" s="11" t="str">
        <f aca="false">IF(ISBLANK(L1245),"Unknown",IF(L1245&gt;=4,"Good",IF(L1245&lt;=2,"Poor","Neutral")))</f>
        <v>Poor</v>
      </c>
      <c r="R1245" s="11" t="str">
        <f aca="false">IF(AND(O1245="Low",P1245="Low",Q1245="Good"),"BUY / PRIORITIZE",IF(AND(O1245="High",P1245="High",OR(Q1245="Poor",M1245=TRUE())),"HOLD / REVIEW","MONITOR"))</f>
        <v>MONITOR</v>
      </c>
      <c r="S1245" s="11" t="n">
        <f aca="false">K1245+(ROW()/10000000)</f>
        <v>36.0001245</v>
      </c>
    </row>
    <row r="1246" customFormat="false" ht="15" hidden="false" customHeight="false" outlineLevel="0" collapsed="false">
      <c r="A1246" s="11" t="s">
        <v>1549</v>
      </c>
      <c r="B1246" s="11" t="s">
        <v>27</v>
      </c>
      <c r="C1246" s="11" t="s">
        <v>130</v>
      </c>
      <c r="D1246" s="11" t="s">
        <v>35</v>
      </c>
      <c r="E1246" s="11"/>
      <c r="F1246" s="11" t="s">
        <v>118</v>
      </c>
      <c r="G1246" s="21" t="n">
        <v>88.71</v>
      </c>
      <c r="H1246" s="19" t="n">
        <v>0</v>
      </c>
      <c r="I1246" s="21" t="n">
        <v>88.71</v>
      </c>
      <c r="J1246" s="22" t="s">
        <v>80</v>
      </c>
      <c r="K1246" s="11" t="n">
        <v>3</v>
      </c>
      <c r="L1246" s="23" t="n">
        <v>3.5</v>
      </c>
      <c r="M1246" s="24" t="b">
        <f aca="false">FALSE()</f>
        <v>0</v>
      </c>
      <c r="N1246" s="11"/>
      <c r="O1246" s="11" t="str">
        <f aca="false">IF(K1246&lt;=StockP33,"Low",IF(K1246&lt;=StockP67,"Moderate","High"))</f>
        <v>Low</v>
      </c>
      <c r="P1246" s="11" t="str">
        <f aca="false">IF(H1246=0,"Low",IF(H1246&lt;=MarkdownP75,"Moderate","High"))</f>
        <v>Low</v>
      </c>
      <c r="Q1246" s="11" t="str">
        <f aca="false">IF(ISBLANK(L1246),"Unknown",IF(L1246&gt;=4,"Good",IF(L1246&lt;=2,"Poor","Neutral")))</f>
        <v>Neutral</v>
      </c>
      <c r="R1246" s="11" t="str">
        <f aca="false">IF(AND(O1246="Low",P1246="Low",Q1246="Good"),"BUY / PRIORITIZE",IF(AND(O1246="High",P1246="High",OR(Q1246="Poor",M1246=TRUE())),"HOLD / REVIEW","MONITOR"))</f>
        <v>MONITOR</v>
      </c>
      <c r="S1246" s="11" t="n">
        <f aca="false">K1246+(ROW()/10000000)</f>
        <v>3.0001246</v>
      </c>
    </row>
    <row r="1247" customFormat="false" ht="15" hidden="false" customHeight="false" outlineLevel="0" collapsed="false">
      <c r="A1247" s="11" t="s">
        <v>1550</v>
      </c>
      <c r="B1247" s="11" t="s">
        <v>27</v>
      </c>
      <c r="C1247" s="11" t="s">
        <v>86</v>
      </c>
      <c r="D1247" s="11" t="s">
        <v>34</v>
      </c>
      <c r="E1247" s="11" t="s">
        <v>102</v>
      </c>
      <c r="F1247" s="11" t="s">
        <v>120</v>
      </c>
      <c r="G1247" s="21" t="n">
        <v>150.58</v>
      </c>
      <c r="H1247" s="19" t="n">
        <v>0</v>
      </c>
      <c r="I1247" s="21" t="n">
        <v>150.58</v>
      </c>
      <c r="J1247" s="22" t="s">
        <v>318</v>
      </c>
      <c r="K1247" s="11" t="n">
        <v>38</v>
      </c>
      <c r="L1247" s="23" t="n">
        <v>2.1</v>
      </c>
      <c r="M1247" s="24" t="b">
        <f aca="false">FALSE()</f>
        <v>0</v>
      </c>
      <c r="N1247" s="11"/>
      <c r="O1247" s="11" t="str">
        <f aca="false">IF(K1247&lt;=StockP33,"Low",IF(K1247&lt;=StockP67,"Moderate","High"))</f>
        <v>High</v>
      </c>
      <c r="P1247" s="11" t="str">
        <f aca="false">IF(H1247=0,"Low",IF(H1247&lt;=MarkdownP75,"Moderate","High"))</f>
        <v>Low</v>
      </c>
      <c r="Q1247" s="11" t="str">
        <f aca="false">IF(ISBLANK(L1247),"Unknown",IF(L1247&gt;=4,"Good",IF(L1247&lt;=2,"Poor","Neutral")))</f>
        <v>Neutral</v>
      </c>
      <c r="R1247" s="11" t="str">
        <f aca="false">IF(AND(O1247="Low",P1247="Low",Q1247="Good"),"BUY / PRIORITIZE",IF(AND(O1247="High",P1247="High",OR(Q1247="Poor",M1247=TRUE())),"HOLD / REVIEW","MONITOR"))</f>
        <v>MONITOR</v>
      </c>
      <c r="S1247" s="11" t="n">
        <f aca="false">K1247+(ROW()/10000000)</f>
        <v>38.0001247</v>
      </c>
    </row>
    <row r="1248" customFormat="false" ht="15" hidden="false" customHeight="false" outlineLevel="0" collapsed="false">
      <c r="A1248" s="11" t="s">
        <v>1551</v>
      </c>
      <c r="B1248" s="11" t="s">
        <v>27</v>
      </c>
      <c r="C1248" s="11" t="s">
        <v>77</v>
      </c>
      <c r="D1248" s="11" t="s">
        <v>35</v>
      </c>
      <c r="E1248" s="11" t="s">
        <v>102</v>
      </c>
      <c r="F1248" s="11" t="s">
        <v>88</v>
      </c>
      <c r="G1248" s="21" t="n">
        <v>179.9</v>
      </c>
      <c r="H1248" s="19" t="n">
        <v>9.3</v>
      </c>
      <c r="I1248" s="21" t="n">
        <v>163.17</v>
      </c>
      <c r="J1248" s="22" t="s">
        <v>80</v>
      </c>
      <c r="K1248" s="11" t="n">
        <v>34</v>
      </c>
      <c r="L1248" s="23" t="n">
        <v>2.1</v>
      </c>
      <c r="M1248" s="24" t="b">
        <f aca="false">FALSE()</f>
        <v>0</v>
      </c>
      <c r="N1248" s="11"/>
      <c r="O1248" s="11" t="str">
        <f aca="false">IF(K1248&lt;=StockP33,"Low",IF(K1248&lt;=StockP67,"Moderate","High"))</f>
        <v>High</v>
      </c>
      <c r="P1248" s="11" t="str">
        <f aca="false">IF(H1248=0,"Low",IF(H1248&lt;=MarkdownP75,"Moderate","High"))</f>
        <v>Moderate</v>
      </c>
      <c r="Q1248" s="11" t="str">
        <f aca="false">IF(ISBLANK(L1248),"Unknown",IF(L1248&gt;=4,"Good",IF(L1248&lt;=2,"Poor","Neutral")))</f>
        <v>Neutral</v>
      </c>
      <c r="R1248" s="11" t="str">
        <f aca="false">IF(AND(O1248="Low",P1248="Low",Q1248="Good"),"BUY / PRIORITIZE",IF(AND(O1248="High",P1248="High",OR(Q1248="Poor",M1248=TRUE())),"HOLD / REVIEW","MONITOR"))</f>
        <v>MONITOR</v>
      </c>
      <c r="S1248" s="11" t="n">
        <f aca="false">K1248+(ROW()/10000000)</f>
        <v>34.0001248</v>
      </c>
    </row>
    <row r="1249" customFormat="false" ht="15" hidden="false" customHeight="false" outlineLevel="0" collapsed="false">
      <c r="A1249" s="11" t="s">
        <v>1552</v>
      </c>
      <c r="B1249" s="11" t="s">
        <v>28</v>
      </c>
      <c r="C1249" s="11" t="s">
        <v>130</v>
      </c>
      <c r="D1249" s="11" t="s">
        <v>34</v>
      </c>
      <c r="E1249" s="11" t="s">
        <v>73</v>
      </c>
      <c r="F1249" s="11" t="s">
        <v>74</v>
      </c>
      <c r="G1249" s="21" t="n">
        <v>135.3</v>
      </c>
      <c r="H1249" s="19" t="n">
        <v>0</v>
      </c>
      <c r="I1249" s="21" t="n">
        <v>135.3</v>
      </c>
      <c r="J1249" s="22" t="s">
        <v>1553</v>
      </c>
      <c r="K1249" s="11" t="n">
        <v>19</v>
      </c>
      <c r="L1249" s="23" t="n">
        <v>4.6</v>
      </c>
      <c r="M1249" s="24" t="b">
        <f aca="false">FALSE()</f>
        <v>0</v>
      </c>
      <c r="N1249" s="11"/>
      <c r="O1249" s="11" t="str">
        <f aca="false">IF(K1249&lt;=StockP33,"Low",IF(K1249&lt;=StockP67,"Moderate","High"))</f>
        <v>Moderate</v>
      </c>
      <c r="P1249" s="11" t="str">
        <f aca="false">IF(H1249=0,"Low",IF(H1249&lt;=MarkdownP75,"Moderate","High"))</f>
        <v>Low</v>
      </c>
      <c r="Q1249" s="11" t="str">
        <f aca="false">IF(ISBLANK(L1249),"Unknown",IF(L1249&gt;=4,"Good",IF(L1249&lt;=2,"Poor","Neutral")))</f>
        <v>Good</v>
      </c>
      <c r="R1249" s="11" t="str">
        <f aca="false">IF(AND(O1249="Low",P1249="Low",Q1249="Good"),"BUY / PRIORITIZE",IF(AND(O1249="High",P1249="High",OR(Q1249="Poor",M1249=TRUE())),"HOLD / REVIEW","MONITOR"))</f>
        <v>MONITOR</v>
      </c>
      <c r="S1249" s="11" t="n">
        <f aca="false">K1249+(ROW()/10000000)</f>
        <v>19.0001249</v>
      </c>
    </row>
    <row r="1250" customFormat="false" ht="15" hidden="false" customHeight="false" outlineLevel="0" collapsed="false">
      <c r="A1250" s="11" t="s">
        <v>1554</v>
      </c>
      <c r="B1250" s="11" t="s">
        <v>29</v>
      </c>
      <c r="C1250" s="11" t="s">
        <v>77</v>
      </c>
      <c r="D1250" s="11" t="s">
        <v>36</v>
      </c>
      <c r="E1250" s="11" t="s">
        <v>102</v>
      </c>
      <c r="F1250" s="11" t="s">
        <v>82</v>
      </c>
      <c r="G1250" s="21" t="n">
        <v>146.43</v>
      </c>
      <c r="H1250" s="19" t="n">
        <v>0</v>
      </c>
      <c r="I1250" s="21" t="n">
        <v>146.43</v>
      </c>
      <c r="J1250" s="22" t="s">
        <v>80</v>
      </c>
      <c r="K1250" s="11" t="n">
        <v>7</v>
      </c>
      <c r="L1250" s="23" t="n">
        <v>2.5</v>
      </c>
      <c r="M1250" s="24" t="b">
        <f aca="false">FALSE()</f>
        <v>0</v>
      </c>
      <c r="N1250" s="11"/>
      <c r="O1250" s="11" t="str">
        <f aca="false">IF(K1250&lt;=StockP33,"Low",IF(K1250&lt;=StockP67,"Moderate","High"))</f>
        <v>Low</v>
      </c>
      <c r="P1250" s="11" t="str">
        <f aca="false">IF(H1250=0,"Low",IF(H1250&lt;=MarkdownP75,"Moderate","High"))</f>
        <v>Low</v>
      </c>
      <c r="Q1250" s="11" t="str">
        <f aca="false">IF(ISBLANK(L1250),"Unknown",IF(L1250&gt;=4,"Good",IF(L1250&lt;=2,"Poor","Neutral")))</f>
        <v>Neutral</v>
      </c>
      <c r="R1250" s="11" t="str">
        <f aca="false">IF(AND(O1250="Low",P1250="Low",Q1250="Good"),"BUY / PRIORITIZE",IF(AND(O1250="High",P1250="High",OR(Q1250="Poor",M1250=TRUE())),"HOLD / REVIEW","MONITOR"))</f>
        <v>MONITOR</v>
      </c>
      <c r="S1250" s="11" t="n">
        <f aca="false">K1250+(ROW()/10000000)</f>
        <v>7.000125</v>
      </c>
    </row>
    <row r="1251" customFormat="false" ht="15" hidden="false" customHeight="false" outlineLevel="0" collapsed="false">
      <c r="A1251" s="11" t="s">
        <v>1555</v>
      </c>
      <c r="B1251" s="11" t="s">
        <v>28</v>
      </c>
      <c r="C1251" s="11" t="s">
        <v>130</v>
      </c>
      <c r="D1251" s="11" t="s">
        <v>37</v>
      </c>
      <c r="E1251" s="11" t="s">
        <v>113</v>
      </c>
      <c r="F1251" s="11" t="s">
        <v>98</v>
      </c>
      <c r="G1251" s="21" t="n">
        <v>160.27</v>
      </c>
      <c r="H1251" s="19" t="n">
        <v>0</v>
      </c>
      <c r="I1251" s="21" t="n">
        <v>160.27</v>
      </c>
      <c r="J1251" s="22" t="s">
        <v>80</v>
      </c>
      <c r="K1251" s="11" t="n">
        <v>11</v>
      </c>
      <c r="L1251" s="23" t="n">
        <v>2</v>
      </c>
      <c r="M1251" s="24" t="b">
        <f aca="false">FALSE()</f>
        <v>0</v>
      </c>
      <c r="N1251" s="11"/>
      <c r="O1251" s="11" t="str">
        <f aca="false">IF(K1251&lt;=StockP33,"Low",IF(K1251&lt;=StockP67,"Moderate","High"))</f>
        <v>Low</v>
      </c>
      <c r="P1251" s="11" t="str">
        <f aca="false">IF(H1251=0,"Low",IF(H1251&lt;=MarkdownP75,"Moderate","High"))</f>
        <v>Low</v>
      </c>
      <c r="Q1251" s="11" t="str">
        <f aca="false">IF(ISBLANK(L1251),"Unknown",IF(L1251&gt;=4,"Good",IF(L1251&lt;=2,"Poor","Neutral")))</f>
        <v>Poor</v>
      </c>
      <c r="R1251" s="11" t="str">
        <f aca="false">IF(AND(O1251="Low",P1251="Low",Q1251="Good"),"BUY / PRIORITIZE",IF(AND(O1251="High",P1251="High",OR(Q1251="Poor",M1251=TRUE())),"HOLD / REVIEW","MONITOR"))</f>
        <v>MONITOR</v>
      </c>
      <c r="S1251" s="11" t="n">
        <f aca="false">K1251+(ROW()/10000000)</f>
        <v>11.0001251</v>
      </c>
    </row>
    <row r="1252" customFormat="false" ht="15" hidden="false" customHeight="false" outlineLevel="0" collapsed="false">
      <c r="A1252" s="11" t="s">
        <v>1556</v>
      </c>
      <c r="B1252" s="11" t="s">
        <v>29</v>
      </c>
      <c r="C1252" s="11" t="s">
        <v>95</v>
      </c>
      <c r="D1252" s="11" t="s">
        <v>37</v>
      </c>
      <c r="E1252" s="11" t="s">
        <v>113</v>
      </c>
      <c r="F1252" s="11" t="s">
        <v>92</v>
      </c>
      <c r="G1252" s="21" t="n">
        <v>169.87</v>
      </c>
      <c r="H1252" s="19" t="n">
        <v>8.8</v>
      </c>
      <c r="I1252" s="21" t="n">
        <v>154.92</v>
      </c>
      <c r="J1252" s="22" t="s">
        <v>80</v>
      </c>
      <c r="K1252" s="11" t="n">
        <v>36</v>
      </c>
      <c r="L1252" s="23" t="n">
        <v>2.1</v>
      </c>
      <c r="M1252" s="24" t="b">
        <f aca="false">FALSE()</f>
        <v>0</v>
      </c>
      <c r="N1252" s="11"/>
      <c r="O1252" s="11" t="str">
        <f aca="false">IF(K1252&lt;=StockP33,"Low",IF(K1252&lt;=StockP67,"Moderate","High"))</f>
        <v>High</v>
      </c>
      <c r="P1252" s="11" t="str">
        <f aca="false">IF(H1252=0,"Low",IF(H1252&lt;=MarkdownP75,"Moderate","High"))</f>
        <v>Moderate</v>
      </c>
      <c r="Q1252" s="11" t="str">
        <f aca="false">IF(ISBLANK(L1252),"Unknown",IF(L1252&gt;=4,"Good",IF(L1252&lt;=2,"Poor","Neutral")))</f>
        <v>Neutral</v>
      </c>
      <c r="R1252" s="11" t="str">
        <f aca="false">IF(AND(O1252="Low",P1252="Low",Q1252="Good"),"BUY / PRIORITIZE",IF(AND(O1252="High",P1252="High",OR(Q1252="Poor",M1252=TRUE())),"HOLD / REVIEW","MONITOR"))</f>
        <v>MONITOR</v>
      </c>
      <c r="S1252" s="11" t="n">
        <f aca="false">K1252+(ROW()/10000000)</f>
        <v>36.0001252</v>
      </c>
    </row>
    <row r="1253" customFormat="false" ht="15" hidden="false" customHeight="false" outlineLevel="0" collapsed="false">
      <c r="A1253" s="11" t="s">
        <v>1557</v>
      </c>
      <c r="B1253" s="11" t="s">
        <v>29</v>
      </c>
      <c r="C1253" s="11" t="s">
        <v>107</v>
      </c>
      <c r="D1253" s="11" t="s">
        <v>35</v>
      </c>
      <c r="E1253" s="11"/>
      <c r="F1253" s="11" t="s">
        <v>92</v>
      </c>
      <c r="G1253" s="21" t="n">
        <v>137.33</v>
      </c>
      <c r="H1253" s="19" t="n">
        <v>0</v>
      </c>
      <c r="I1253" s="21" t="n">
        <v>137.33</v>
      </c>
      <c r="J1253" s="22" t="s">
        <v>80</v>
      </c>
      <c r="K1253" s="11" t="n">
        <v>35</v>
      </c>
      <c r="L1253" s="23" t="n">
        <v>4.6</v>
      </c>
      <c r="M1253" s="24" t="b">
        <f aca="false">FALSE()</f>
        <v>0</v>
      </c>
      <c r="N1253" s="11"/>
      <c r="O1253" s="11" t="str">
        <f aca="false">IF(K1253&lt;=StockP33,"Low",IF(K1253&lt;=StockP67,"Moderate","High"))</f>
        <v>High</v>
      </c>
      <c r="P1253" s="11" t="str">
        <f aca="false">IF(H1253=0,"Low",IF(H1253&lt;=MarkdownP75,"Moderate","High"))</f>
        <v>Low</v>
      </c>
      <c r="Q1253" s="11" t="str">
        <f aca="false">IF(ISBLANK(L1253),"Unknown",IF(L1253&gt;=4,"Good",IF(L1253&lt;=2,"Poor","Neutral")))</f>
        <v>Good</v>
      </c>
      <c r="R1253" s="11" t="str">
        <f aca="false">IF(AND(O1253="Low",P1253="Low",Q1253="Good"),"BUY / PRIORITIZE",IF(AND(O1253="High",P1253="High",OR(Q1253="Poor",M1253=TRUE())),"HOLD / REVIEW","MONITOR"))</f>
        <v>MONITOR</v>
      </c>
      <c r="S1253" s="11" t="n">
        <f aca="false">K1253+(ROW()/10000000)</f>
        <v>35.0001253</v>
      </c>
    </row>
    <row r="1254" customFormat="false" ht="15" hidden="false" customHeight="false" outlineLevel="0" collapsed="false">
      <c r="A1254" s="11" t="s">
        <v>1558</v>
      </c>
      <c r="B1254" s="11" t="s">
        <v>26</v>
      </c>
      <c r="C1254" s="11" t="s">
        <v>130</v>
      </c>
      <c r="D1254" s="11" t="s">
        <v>35</v>
      </c>
      <c r="E1254" s="11" t="s">
        <v>102</v>
      </c>
      <c r="F1254" s="11" t="s">
        <v>74</v>
      </c>
      <c r="G1254" s="21" t="n">
        <v>38.18</v>
      </c>
      <c r="H1254" s="19" t="n">
        <v>0</v>
      </c>
      <c r="I1254" s="21" t="n">
        <v>38.18</v>
      </c>
      <c r="J1254" s="22" t="s">
        <v>80</v>
      </c>
      <c r="K1254" s="11" t="n">
        <v>38</v>
      </c>
      <c r="L1254" s="23"/>
      <c r="M1254" s="24" t="b">
        <f aca="false">FALSE()</f>
        <v>0</v>
      </c>
      <c r="N1254" s="11"/>
      <c r="O1254" s="11" t="str">
        <f aca="false">IF(K1254&lt;=StockP33,"Low",IF(K1254&lt;=StockP67,"Moderate","High"))</f>
        <v>High</v>
      </c>
      <c r="P1254" s="11" t="str">
        <f aca="false">IF(H1254=0,"Low",IF(H1254&lt;=MarkdownP75,"Moderate","High"))</f>
        <v>Low</v>
      </c>
      <c r="Q1254" s="11" t="str">
        <f aca="false">IF(ISBLANK(L1254),"Unknown",IF(L1254&gt;=4,"Good",IF(L1254&lt;=2,"Poor","Neutral")))</f>
        <v>Unknown</v>
      </c>
      <c r="R1254" s="11" t="str">
        <f aca="false">IF(AND(O1254="Low",P1254="Low",Q1254="Good"),"BUY / PRIORITIZE",IF(AND(O1254="High",P1254="High",OR(Q1254="Poor",M1254=TRUE())),"HOLD / REVIEW","MONITOR"))</f>
        <v>MONITOR</v>
      </c>
      <c r="S1254" s="11" t="n">
        <f aca="false">K1254+(ROW()/10000000)</f>
        <v>38.0001254</v>
      </c>
    </row>
    <row r="1255" customFormat="false" ht="15" hidden="false" customHeight="false" outlineLevel="0" collapsed="false">
      <c r="A1255" s="11" t="s">
        <v>1559</v>
      </c>
      <c r="B1255" s="11" t="s">
        <v>30</v>
      </c>
      <c r="C1255" s="11" t="s">
        <v>72</v>
      </c>
      <c r="D1255" s="11" t="s">
        <v>35</v>
      </c>
      <c r="E1255" s="11" t="s">
        <v>102</v>
      </c>
      <c r="F1255" s="11" t="s">
        <v>96</v>
      </c>
      <c r="G1255" s="21" t="n">
        <v>40.62</v>
      </c>
      <c r="H1255" s="19" t="n">
        <v>20.1</v>
      </c>
      <c r="I1255" s="21" t="n">
        <v>32.46</v>
      </c>
      <c r="J1255" s="22" t="s">
        <v>80</v>
      </c>
      <c r="K1255" s="11" t="n">
        <v>7</v>
      </c>
      <c r="L1255" s="23"/>
      <c r="M1255" s="24" t="b">
        <f aca="false">FALSE()</f>
        <v>0</v>
      </c>
      <c r="N1255" s="11"/>
      <c r="O1255" s="11" t="str">
        <f aca="false">IF(K1255&lt;=StockP33,"Low",IF(K1255&lt;=StockP67,"Moderate","High"))</f>
        <v>Low</v>
      </c>
      <c r="P1255" s="11" t="str">
        <f aca="false">IF(H1255=0,"Low",IF(H1255&lt;=MarkdownP75,"Moderate","High"))</f>
        <v>Moderate</v>
      </c>
      <c r="Q1255" s="11" t="str">
        <f aca="false">IF(ISBLANK(L1255),"Unknown",IF(L1255&gt;=4,"Good",IF(L1255&lt;=2,"Poor","Neutral")))</f>
        <v>Unknown</v>
      </c>
      <c r="R1255" s="11" t="str">
        <f aca="false">IF(AND(O1255="Low",P1255="Low",Q1255="Good"),"BUY / PRIORITIZE",IF(AND(O1255="High",P1255="High",OR(Q1255="Poor",M1255=TRUE())),"HOLD / REVIEW","MONITOR"))</f>
        <v>MONITOR</v>
      </c>
      <c r="S1255" s="11" t="n">
        <f aca="false">K1255+(ROW()/10000000)</f>
        <v>7.0001255</v>
      </c>
    </row>
    <row r="1256" customFormat="false" ht="15" hidden="false" customHeight="false" outlineLevel="0" collapsed="false">
      <c r="A1256" s="11" t="s">
        <v>1560</v>
      </c>
      <c r="B1256" s="11" t="s">
        <v>26</v>
      </c>
      <c r="C1256" s="11" t="s">
        <v>101</v>
      </c>
      <c r="D1256" s="11" t="s">
        <v>37</v>
      </c>
      <c r="E1256" s="11" t="s">
        <v>110</v>
      </c>
      <c r="F1256" s="11" t="s">
        <v>82</v>
      </c>
      <c r="G1256" s="21" t="n">
        <v>56.4</v>
      </c>
      <c r="H1256" s="19" t="n">
        <v>23.3</v>
      </c>
      <c r="I1256" s="21" t="n">
        <v>43.26</v>
      </c>
      <c r="J1256" s="22" t="s">
        <v>80</v>
      </c>
      <c r="K1256" s="11" t="n">
        <v>35</v>
      </c>
      <c r="L1256" s="23"/>
      <c r="M1256" s="24" t="b">
        <f aca="false">FALSE()</f>
        <v>0</v>
      </c>
      <c r="N1256" s="11"/>
      <c r="O1256" s="11" t="str">
        <f aca="false">IF(K1256&lt;=StockP33,"Low",IF(K1256&lt;=StockP67,"Moderate","High"))</f>
        <v>High</v>
      </c>
      <c r="P1256" s="11" t="str">
        <f aca="false">IF(H1256=0,"Low",IF(H1256&lt;=MarkdownP75,"Moderate","High"))</f>
        <v>High</v>
      </c>
      <c r="Q1256" s="11" t="str">
        <f aca="false">IF(ISBLANK(L1256),"Unknown",IF(L1256&gt;=4,"Good",IF(L1256&lt;=2,"Poor","Neutral")))</f>
        <v>Unknown</v>
      </c>
      <c r="R1256" s="11" t="str">
        <f aca="false">IF(AND(O1256="Low",P1256="Low",Q1256="Good"),"BUY / PRIORITIZE",IF(AND(O1256="High",P1256="High",OR(Q1256="Poor",M1256=TRUE())),"HOLD / REVIEW","MONITOR"))</f>
        <v>MONITOR</v>
      </c>
      <c r="S1256" s="11" t="n">
        <f aca="false">K1256+(ROW()/10000000)</f>
        <v>35.0001256</v>
      </c>
    </row>
    <row r="1257" customFormat="false" ht="15" hidden="false" customHeight="false" outlineLevel="0" collapsed="false">
      <c r="A1257" s="11" t="s">
        <v>1561</v>
      </c>
      <c r="B1257" s="11" t="s">
        <v>8</v>
      </c>
      <c r="C1257" s="11" t="s">
        <v>130</v>
      </c>
      <c r="D1257" s="11" t="s">
        <v>35</v>
      </c>
      <c r="E1257" s="11"/>
      <c r="F1257" s="11" t="s">
        <v>98</v>
      </c>
      <c r="G1257" s="21" t="n">
        <v>19.56</v>
      </c>
      <c r="H1257" s="19" t="n">
        <v>0</v>
      </c>
      <c r="I1257" s="21" t="n">
        <v>19.56</v>
      </c>
      <c r="J1257" s="22" t="s">
        <v>80</v>
      </c>
      <c r="K1257" s="11" t="n">
        <v>13</v>
      </c>
      <c r="L1257" s="23" t="n">
        <v>3.1</v>
      </c>
      <c r="M1257" s="24" t="b">
        <f aca="false">FALSE()</f>
        <v>0</v>
      </c>
      <c r="N1257" s="11"/>
      <c r="O1257" s="11" t="str">
        <f aca="false">IF(K1257&lt;=StockP33,"Low",IF(K1257&lt;=StockP67,"Moderate","High"))</f>
        <v>Low</v>
      </c>
      <c r="P1257" s="11" t="str">
        <f aca="false">IF(H1257=0,"Low",IF(H1257&lt;=MarkdownP75,"Moderate","High"))</f>
        <v>Low</v>
      </c>
      <c r="Q1257" s="11" t="str">
        <f aca="false">IF(ISBLANK(L1257),"Unknown",IF(L1257&gt;=4,"Good",IF(L1257&lt;=2,"Poor","Neutral")))</f>
        <v>Neutral</v>
      </c>
      <c r="R1257" s="11" t="str">
        <f aca="false">IF(AND(O1257="Low",P1257="Low",Q1257="Good"),"BUY / PRIORITIZE",IF(AND(O1257="High",P1257="High",OR(Q1257="Poor",M1257=TRUE())),"HOLD / REVIEW","MONITOR"))</f>
        <v>MONITOR</v>
      </c>
      <c r="S1257" s="11" t="n">
        <f aca="false">K1257+(ROW()/10000000)</f>
        <v>13.0001257</v>
      </c>
    </row>
    <row r="1258" customFormat="false" ht="15" hidden="false" customHeight="false" outlineLevel="0" collapsed="false">
      <c r="A1258" s="11" t="s">
        <v>1562</v>
      </c>
      <c r="B1258" s="11" t="s">
        <v>29</v>
      </c>
      <c r="C1258" s="11" t="s">
        <v>101</v>
      </c>
      <c r="D1258" s="11" t="s">
        <v>37</v>
      </c>
      <c r="E1258" s="11" t="s">
        <v>78</v>
      </c>
      <c r="F1258" s="11" t="s">
        <v>88</v>
      </c>
      <c r="G1258" s="21" t="n">
        <v>155.66</v>
      </c>
      <c r="H1258" s="19" t="n">
        <v>0</v>
      </c>
      <c r="I1258" s="21" t="n">
        <v>155.66</v>
      </c>
      <c r="J1258" s="22" t="s">
        <v>80</v>
      </c>
      <c r="K1258" s="11" t="n">
        <v>3</v>
      </c>
      <c r="L1258" s="23" t="n">
        <v>4</v>
      </c>
      <c r="M1258" s="24" t="b">
        <f aca="false">FALSE()</f>
        <v>0</v>
      </c>
      <c r="N1258" s="11"/>
      <c r="O1258" s="11" t="str">
        <f aca="false">IF(K1258&lt;=StockP33,"Low",IF(K1258&lt;=StockP67,"Moderate","High"))</f>
        <v>Low</v>
      </c>
      <c r="P1258" s="11" t="str">
        <f aca="false">IF(H1258=0,"Low",IF(H1258&lt;=MarkdownP75,"Moderate","High"))</f>
        <v>Low</v>
      </c>
      <c r="Q1258" s="11" t="str">
        <f aca="false">IF(ISBLANK(L1258),"Unknown",IF(L1258&gt;=4,"Good",IF(L1258&lt;=2,"Poor","Neutral")))</f>
        <v>Good</v>
      </c>
      <c r="R1258" s="11" t="str">
        <f aca="false">IF(AND(O1258="Low",P1258="Low",Q1258="Good"),"BUY / PRIORITIZE",IF(AND(O1258="High",P1258="High",OR(Q1258="Poor",M1258=TRUE())),"HOLD / REVIEW","MONITOR"))</f>
        <v>BUY / PRIORITIZE</v>
      </c>
      <c r="S1258" s="11" t="n">
        <f aca="false">K1258+(ROW()/10000000)</f>
        <v>3.0001258</v>
      </c>
    </row>
    <row r="1259" customFormat="false" ht="15" hidden="false" customHeight="false" outlineLevel="0" collapsed="false">
      <c r="A1259" s="11" t="s">
        <v>1563</v>
      </c>
      <c r="B1259" s="11" t="s">
        <v>30</v>
      </c>
      <c r="C1259" s="11" t="s">
        <v>72</v>
      </c>
      <c r="D1259" s="11" t="s">
        <v>35</v>
      </c>
      <c r="E1259" s="11" t="s">
        <v>91</v>
      </c>
      <c r="F1259" s="11" t="s">
        <v>120</v>
      </c>
      <c r="G1259" s="21" t="n">
        <v>106.2</v>
      </c>
      <c r="H1259" s="19" t="n">
        <v>0</v>
      </c>
      <c r="I1259" s="21" t="n">
        <v>106.2</v>
      </c>
      <c r="J1259" s="22" t="s">
        <v>80</v>
      </c>
      <c r="K1259" s="11" t="n">
        <v>10</v>
      </c>
      <c r="L1259" s="23" t="n">
        <v>1.1</v>
      </c>
      <c r="M1259" s="24" t="b">
        <f aca="false">FALSE()</f>
        <v>0</v>
      </c>
      <c r="N1259" s="11"/>
      <c r="O1259" s="11" t="str">
        <f aca="false">IF(K1259&lt;=StockP33,"Low",IF(K1259&lt;=StockP67,"Moderate","High"))</f>
        <v>Low</v>
      </c>
      <c r="P1259" s="11" t="str">
        <f aca="false">IF(H1259=0,"Low",IF(H1259&lt;=MarkdownP75,"Moderate","High"))</f>
        <v>Low</v>
      </c>
      <c r="Q1259" s="11" t="str">
        <f aca="false">IF(ISBLANK(L1259),"Unknown",IF(L1259&gt;=4,"Good",IF(L1259&lt;=2,"Poor","Neutral")))</f>
        <v>Poor</v>
      </c>
      <c r="R1259" s="11" t="str">
        <f aca="false">IF(AND(O1259="Low",P1259="Low",Q1259="Good"),"BUY / PRIORITIZE",IF(AND(O1259="High",P1259="High",OR(Q1259="Poor",M1259=TRUE())),"HOLD / REVIEW","MONITOR"))</f>
        <v>MONITOR</v>
      </c>
      <c r="S1259" s="11" t="n">
        <f aca="false">K1259+(ROW()/10000000)</f>
        <v>10.0001259</v>
      </c>
    </row>
    <row r="1260" customFormat="false" ht="15" hidden="false" customHeight="false" outlineLevel="0" collapsed="false">
      <c r="A1260" s="11" t="s">
        <v>1564</v>
      </c>
      <c r="B1260" s="11" t="s">
        <v>28</v>
      </c>
      <c r="C1260" s="11" t="s">
        <v>107</v>
      </c>
      <c r="D1260" s="11" t="s">
        <v>36</v>
      </c>
      <c r="E1260" s="11" t="s">
        <v>102</v>
      </c>
      <c r="F1260" s="11" t="s">
        <v>118</v>
      </c>
      <c r="G1260" s="21" t="n">
        <v>158.31</v>
      </c>
      <c r="H1260" s="19" t="n">
        <v>0</v>
      </c>
      <c r="I1260" s="21" t="n">
        <v>158.31</v>
      </c>
      <c r="J1260" s="22" t="s">
        <v>80</v>
      </c>
      <c r="K1260" s="11" t="n">
        <v>7</v>
      </c>
      <c r="L1260" s="23" t="n">
        <v>5</v>
      </c>
      <c r="M1260" s="24" t="b">
        <f aca="false">FALSE()</f>
        <v>0</v>
      </c>
      <c r="N1260" s="11"/>
      <c r="O1260" s="11" t="str">
        <f aca="false">IF(K1260&lt;=StockP33,"Low",IF(K1260&lt;=StockP67,"Moderate","High"))</f>
        <v>Low</v>
      </c>
      <c r="P1260" s="11" t="str">
        <f aca="false">IF(H1260=0,"Low",IF(H1260&lt;=MarkdownP75,"Moderate","High"))</f>
        <v>Low</v>
      </c>
      <c r="Q1260" s="11" t="str">
        <f aca="false">IF(ISBLANK(L1260),"Unknown",IF(L1260&gt;=4,"Good",IF(L1260&lt;=2,"Poor","Neutral")))</f>
        <v>Good</v>
      </c>
      <c r="R1260" s="11" t="str">
        <f aca="false">IF(AND(O1260="Low",P1260="Low",Q1260="Good"),"BUY / PRIORITIZE",IF(AND(O1260="High",P1260="High",OR(Q1260="Poor",M1260=TRUE())),"HOLD / REVIEW","MONITOR"))</f>
        <v>BUY / PRIORITIZE</v>
      </c>
      <c r="S1260" s="11" t="n">
        <f aca="false">K1260+(ROW()/10000000)</f>
        <v>7.000126</v>
      </c>
    </row>
    <row r="1261" customFormat="false" ht="15" hidden="false" customHeight="false" outlineLevel="0" collapsed="false">
      <c r="A1261" s="11" t="s">
        <v>1565</v>
      </c>
      <c r="B1261" s="11" t="s">
        <v>27</v>
      </c>
      <c r="C1261" s="11" t="s">
        <v>95</v>
      </c>
      <c r="D1261" s="11" t="s">
        <v>34</v>
      </c>
      <c r="E1261" s="11" t="s">
        <v>73</v>
      </c>
      <c r="F1261" s="11" t="s">
        <v>79</v>
      </c>
      <c r="G1261" s="21" t="n">
        <v>102.3</v>
      </c>
      <c r="H1261" s="19" t="n">
        <v>42.2</v>
      </c>
      <c r="I1261" s="21" t="n">
        <v>59.13</v>
      </c>
      <c r="J1261" s="22" t="s">
        <v>1566</v>
      </c>
      <c r="K1261" s="11" t="n">
        <v>43</v>
      </c>
      <c r="L1261" s="23" t="n">
        <v>1.3</v>
      </c>
      <c r="M1261" s="24" t="b">
        <f aca="false">FALSE()</f>
        <v>0</v>
      </c>
      <c r="N1261" s="11"/>
      <c r="O1261" s="11" t="str">
        <f aca="false">IF(K1261&lt;=StockP33,"Low",IF(K1261&lt;=StockP67,"Moderate","High"))</f>
        <v>High</v>
      </c>
      <c r="P1261" s="11" t="str">
        <f aca="false">IF(H1261=0,"Low",IF(H1261&lt;=MarkdownP75,"Moderate","High"))</f>
        <v>High</v>
      </c>
      <c r="Q1261" s="11" t="str">
        <f aca="false">IF(ISBLANK(L1261),"Unknown",IF(L1261&gt;=4,"Good",IF(L1261&lt;=2,"Poor","Neutral")))</f>
        <v>Poor</v>
      </c>
      <c r="R1261" s="11" t="str">
        <f aca="false">IF(AND(O1261="Low",P1261="Low",Q1261="Good"),"BUY / PRIORITIZE",IF(AND(O1261="High",P1261="High",OR(Q1261="Poor",M1261=TRUE())),"HOLD / REVIEW","MONITOR"))</f>
        <v>HOLD / REVIEW</v>
      </c>
      <c r="S1261" s="11" t="n">
        <f aca="false">K1261+(ROW()/10000000)</f>
        <v>43.0001261</v>
      </c>
    </row>
    <row r="1262" customFormat="false" ht="15" hidden="false" customHeight="false" outlineLevel="0" collapsed="false">
      <c r="A1262" s="11" t="s">
        <v>1567</v>
      </c>
      <c r="B1262" s="11" t="s">
        <v>8</v>
      </c>
      <c r="C1262" s="11" t="s">
        <v>116</v>
      </c>
      <c r="D1262" s="11" t="s">
        <v>36</v>
      </c>
      <c r="E1262" s="11"/>
      <c r="F1262" s="11" t="s">
        <v>118</v>
      </c>
      <c r="G1262" s="21" t="n">
        <v>53.46</v>
      </c>
      <c r="H1262" s="19" t="n">
        <v>58</v>
      </c>
      <c r="I1262" s="21" t="n">
        <v>22.45</v>
      </c>
      <c r="J1262" s="22" t="s">
        <v>80</v>
      </c>
      <c r="K1262" s="11" t="n">
        <v>6</v>
      </c>
      <c r="L1262" s="23" t="n">
        <v>4.2</v>
      </c>
      <c r="M1262" s="24" t="b">
        <f aca="false">FALSE()</f>
        <v>0</v>
      </c>
      <c r="N1262" s="11"/>
      <c r="O1262" s="11" t="str">
        <f aca="false">IF(K1262&lt;=StockP33,"Low",IF(K1262&lt;=StockP67,"Moderate","High"))</f>
        <v>Low</v>
      </c>
      <c r="P1262" s="11" t="str">
        <f aca="false">IF(H1262=0,"Low",IF(H1262&lt;=MarkdownP75,"Moderate","High"))</f>
        <v>High</v>
      </c>
      <c r="Q1262" s="11" t="str">
        <f aca="false">IF(ISBLANK(L1262),"Unknown",IF(L1262&gt;=4,"Good",IF(L1262&lt;=2,"Poor","Neutral")))</f>
        <v>Good</v>
      </c>
      <c r="R1262" s="11" t="str">
        <f aca="false">IF(AND(O1262="Low",P1262="Low",Q1262="Good"),"BUY / PRIORITIZE",IF(AND(O1262="High",P1262="High",OR(Q1262="Poor",M1262=TRUE())),"HOLD / REVIEW","MONITOR"))</f>
        <v>MONITOR</v>
      </c>
      <c r="S1262" s="11" t="n">
        <f aca="false">K1262+(ROW()/10000000)</f>
        <v>6.0001262</v>
      </c>
    </row>
    <row r="1263" customFormat="false" ht="15" hidden="false" customHeight="false" outlineLevel="0" collapsed="false">
      <c r="A1263" s="11" t="s">
        <v>1568</v>
      </c>
      <c r="B1263" s="11" t="s">
        <v>27</v>
      </c>
      <c r="C1263" s="11" t="s">
        <v>77</v>
      </c>
      <c r="D1263" s="11" t="s">
        <v>35</v>
      </c>
      <c r="E1263" s="11" t="s">
        <v>110</v>
      </c>
      <c r="F1263" s="11" t="s">
        <v>96</v>
      </c>
      <c r="G1263" s="21" t="n">
        <v>101.78</v>
      </c>
      <c r="H1263" s="19" t="n">
        <v>22.9</v>
      </c>
      <c r="I1263" s="21" t="n">
        <v>78.47</v>
      </c>
      <c r="J1263" s="22" t="s">
        <v>80</v>
      </c>
      <c r="K1263" s="11" t="n">
        <v>5</v>
      </c>
      <c r="L1263" s="23" t="n">
        <v>1.2</v>
      </c>
      <c r="M1263" s="24" t="b">
        <f aca="false">TRUE()</f>
        <v>1</v>
      </c>
      <c r="N1263" s="11" t="s">
        <v>134</v>
      </c>
      <c r="O1263" s="11" t="str">
        <f aca="false">IF(K1263&lt;=StockP33,"Low",IF(K1263&lt;=StockP67,"Moderate","High"))</f>
        <v>Low</v>
      </c>
      <c r="P1263" s="11" t="str">
        <f aca="false">IF(H1263=0,"Low",IF(H1263&lt;=MarkdownP75,"Moderate","High"))</f>
        <v>High</v>
      </c>
      <c r="Q1263" s="11" t="str">
        <f aca="false">IF(ISBLANK(L1263),"Unknown",IF(L1263&gt;=4,"Good",IF(L1263&lt;=2,"Poor","Neutral")))</f>
        <v>Poor</v>
      </c>
      <c r="R1263" s="11" t="str">
        <f aca="false">IF(AND(O1263="Low",P1263="Low",Q1263="Good"),"BUY / PRIORITIZE",IF(AND(O1263="High",P1263="High",OR(Q1263="Poor",M1263=TRUE())),"HOLD / REVIEW","MONITOR"))</f>
        <v>MONITOR</v>
      </c>
      <c r="S1263" s="11" t="n">
        <f aca="false">K1263+(ROW()/10000000)</f>
        <v>5.0001263</v>
      </c>
    </row>
    <row r="1264" customFormat="false" ht="15" hidden="false" customHeight="false" outlineLevel="0" collapsed="false">
      <c r="A1264" s="11" t="s">
        <v>1569</v>
      </c>
      <c r="B1264" s="11" t="s">
        <v>28</v>
      </c>
      <c r="C1264" s="11" t="s">
        <v>86</v>
      </c>
      <c r="D1264" s="11" t="s">
        <v>35</v>
      </c>
      <c r="E1264" s="11" t="s">
        <v>113</v>
      </c>
      <c r="F1264" s="11" t="s">
        <v>92</v>
      </c>
      <c r="G1264" s="21" t="n">
        <v>112.28</v>
      </c>
      <c r="H1264" s="19" t="n">
        <v>0</v>
      </c>
      <c r="I1264" s="21" t="n">
        <v>112.28</v>
      </c>
      <c r="J1264" s="22" t="s">
        <v>80</v>
      </c>
      <c r="K1264" s="11" t="n">
        <v>41</v>
      </c>
      <c r="L1264" s="23" t="n">
        <v>4.1</v>
      </c>
      <c r="M1264" s="24" t="b">
        <f aca="false">FALSE()</f>
        <v>0</v>
      </c>
      <c r="N1264" s="11"/>
      <c r="O1264" s="11" t="str">
        <f aca="false">IF(K1264&lt;=StockP33,"Low",IF(K1264&lt;=StockP67,"Moderate","High"))</f>
        <v>High</v>
      </c>
      <c r="P1264" s="11" t="str">
        <f aca="false">IF(H1264=0,"Low",IF(H1264&lt;=MarkdownP75,"Moderate","High"))</f>
        <v>Low</v>
      </c>
      <c r="Q1264" s="11" t="str">
        <f aca="false">IF(ISBLANK(L1264),"Unknown",IF(L1264&gt;=4,"Good",IF(L1264&lt;=2,"Poor","Neutral")))</f>
        <v>Good</v>
      </c>
      <c r="R1264" s="11" t="str">
        <f aca="false">IF(AND(O1264="Low",P1264="Low",Q1264="Good"),"BUY / PRIORITIZE",IF(AND(O1264="High",P1264="High",OR(Q1264="Poor",M1264=TRUE())),"HOLD / REVIEW","MONITOR"))</f>
        <v>MONITOR</v>
      </c>
      <c r="S1264" s="11" t="n">
        <f aca="false">K1264+(ROW()/10000000)</f>
        <v>41.0001264</v>
      </c>
    </row>
    <row r="1265" customFormat="false" ht="15" hidden="false" customHeight="false" outlineLevel="0" collapsed="false">
      <c r="A1265" s="11" t="s">
        <v>1570</v>
      </c>
      <c r="B1265" s="11" t="s">
        <v>8</v>
      </c>
      <c r="C1265" s="11" t="s">
        <v>86</v>
      </c>
      <c r="D1265" s="11" t="s">
        <v>37</v>
      </c>
      <c r="E1265" s="11"/>
      <c r="F1265" s="11" t="s">
        <v>79</v>
      </c>
      <c r="G1265" s="21" t="n">
        <v>47.51</v>
      </c>
      <c r="H1265" s="19" t="n">
        <v>0</v>
      </c>
      <c r="I1265" s="21" t="n">
        <v>47.51</v>
      </c>
      <c r="J1265" s="22" t="s">
        <v>80</v>
      </c>
      <c r="K1265" s="11" t="n">
        <v>39</v>
      </c>
      <c r="L1265" s="23" t="n">
        <v>4.4</v>
      </c>
      <c r="M1265" s="24" t="b">
        <f aca="false">FALSE()</f>
        <v>0</v>
      </c>
      <c r="N1265" s="11"/>
      <c r="O1265" s="11" t="str">
        <f aca="false">IF(K1265&lt;=StockP33,"Low",IF(K1265&lt;=StockP67,"Moderate","High"))</f>
        <v>High</v>
      </c>
      <c r="P1265" s="11" t="str">
        <f aca="false">IF(H1265=0,"Low",IF(H1265&lt;=MarkdownP75,"Moderate","High"))</f>
        <v>Low</v>
      </c>
      <c r="Q1265" s="11" t="str">
        <f aca="false">IF(ISBLANK(L1265),"Unknown",IF(L1265&gt;=4,"Good",IF(L1265&lt;=2,"Poor","Neutral")))</f>
        <v>Good</v>
      </c>
      <c r="R1265" s="11" t="str">
        <f aca="false">IF(AND(O1265="Low",P1265="Low",Q1265="Good"),"BUY / PRIORITIZE",IF(AND(O1265="High",P1265="High",OR(Q1265="Poor",M1265=TRUE())),"HOLD / REVIEW","MONITOR"))</f>
        <v>MONITOR</v>
      </c>
      <c r="S1265" s="11" t="n">
        <f aca="false">K1265+(ROW()/10000000)</f>
        <v>39.0001265</v>
      </c>
    </row>
    <row r="1266" customFormat="false" ht="15" hidden="false" customHeight="false" outlineLevel="0" collapsed="false">
      <c r="A1266" s="11" t="s">
        <v>1571</v>
      </c>
      <c r="B1266" s="11" t="s">
        <v>30</v>
      </c>
      <c r="C1266" s="11" t="s">
        <v>77</v>
      </c>
      <c r="D1266" s="11" t="s">
        <v>37</v>
      </c>
      <c r="E1266" s="11" t="s">
        <v>102</v>
      </c>
      <c r="F1266" s="11" t="s">
        <v>111</v>
      </c>
      <c r="G1266" s="21" t="n">
        <v>80.39</v>
      </c>
      <c r="H1266" s="19" t="n">
        <v>0</v>
      </c>
      <c r="I1266" s="21" t="n">
        <v>80.39</v>
      </c>
      <c r="J1266" s="22" t="s">
        <v>80</v>
      </c>
      <c r="K1266" s="11" t="n">
        <v>24</v>
      </c>
      <c r="L1266" s="23"/>
      <c r="M1266" s="24" t="b">
        <f aca="false">FALSE()</f>
        <v>0</v>
      </c>
      <c r="N1266" s="11"/>
      <c r="O1266" s="11" t="str">
        <f aca="false">IF(K1266&lt;=StockP33,"Low",IF(K1266&lt;=StockP67,"Moderate","High"))</f>
        <v>Moderate</v>
      </c>
      <c r="P1266" s="11" t="str">
        <f aca="false">IF(H1266=0,"Low",IF(H1266&lt;=MarkdownP75,"Moderate","High"))</f>
        <v>Low</v>
      </c>
      <c r="Q1266" s="11" t="str">
        <f aca="false">IF(ISBLANK(L1266),"Unknown",IF(L1266&gt;=4,"Good",IF(L1266&lt;=2,"Poor","Neutral")))</f>
        <v>Unknown</v>
      </c>
      <c r="R1266" s="11" t="str">
        <f aca="false">IF(AND(O1266="Low",P1266="Low",Q1266="Good"),"BUY / PRIORITIZE",IF(AND(O1266="High",P1266="High",OR(Q1266="Poor",M1266=TRUE())),"HOLD / REVIEW","MONITOR"))</f>
        <v>MONITOR</v>
      </c>
      <c r="S1266" s="11" t="n">
        <f aca="false">K1266+(ROW()/10000000)</f>
        <v>24.0001266</v>
      </c>
    </row>
    <row r="1267" customFormat="false" ht="15" hidden="false" customHeight="false" outlineLevel="0" collapsed="false">
      <c r="A1267" s="11" t="s">
        <v>1572</v>
      </c>
      <c r="B1267" s="11" t="s">
        <v>26</v>
      </c>
      <c r="C1267" s="11" t="s">
        <v>95</v>
      </c>
      <c r="D1267" s="11" t="s">
        <v>37</v>
      </c>
      <c r="E1267" s="11" t="s">
        <v>78</v>
      </c>
      <c r="F1267" s="11" t="s">
        <v>74</v>
      </c>
      <c r="G1267" s="21" t="n">
        <v>64.75</v>
      </c>
      <c r="H1267" s="19" t="n">
        <v>26.4</v>
      </c>
      <c r="I1267" s="21" t="n">
        <v>47.66</v>
      </c>
      <c r="J1267" s="22" t="s">
        <v>80</v>
      </c>
      <c r="K1267" s="11" t="n">
        <v>7</v>
      </c>
      <c r="L1267" s="23" t="n">
        <v>2.9</v>
      </c>
      <c r="M1267" s="24" t="b">
        <f aca="false">TRUE()</f>
        <v>1</v>
      </c>
      <c r="N1267" s="11" t="s">
        <v>191</v>
      </c>
      <c r="O1267" s="11" t="str">
        <f aca="false">IF(K1267&lt;=StockP33,"Low",IF(K1267&lt;=StockP67,"Moderate","High"))</f>
        <v>Low</v>
      </c>
      <c r="P1267" s="11" t="str">
        <f aca="false">IF(H1267=0,"Low",IF(H1267&lt;=MarkdownP75,"Moderate","High"))</f>
        <v>High</v>
      </c>
      <c r="Q1267" s="11" t="str">
        <f aca="false">IF(ISBLANK(L1267),"Unknown",IF(L1267&gt;=4,"Good",IF(L1267&lt;=2,"Poor","Neutral")))</f>
        <v>Neutral</v>
      </c>
      <c r="R1267" s="11" t="str">
        <f aca="false">IF(AND(O1267="Low",P1267="Low",Q1267="Good"),"BUY / PRIORITIZE",IF(AND(O1267="High",P1267="High",OR(Q1267="Poor",M1267=TRUE())),"HOLD / REVIEW","MONITOR"))</f>
        <v>MONITOR</v>
      </c>
      <c r="S1267" s="11" t="n">
        <f aca="false">K1267+(ROW()/10000000)</f>
        <v>7.0001267</v>
      </c>
    </row>
    <row r="1268" customFormat="false" ht="15" hidden="false" customHeight="false" outlineLevel="0" collapsed="false">
      <c r="A1268" s="11" t="s">
        <v>1573</v>
      </c>
      <c r="B1268" s="11" t="s">
        <v>28</v>
      </c>
      <c r="C1268" s="11" t="s">
        <v>72</v>
      </c>
      <c r="D1268" s="11" t="s">
        <v>37</v>
      </c>
      <c r="E1268" s="11" t="s">
        <v>78</v>
      </c>
      <c r="F1268" s="11" t="s">
        <v>74</v>
      </c>
      <c r="G1268" s="21" t="n">
        <v>129.86</v>
      </c>
      <c r="H1268" s="19" t="n">
        <v>0</v>
      </c>
      <c r="I1268" s="21" t="n">
        <v>129.86</v>
      </c>
      <c r="J1268" s="22" t="s">
        <v>80</v>
      </c>
      <c r="K1268" s="11" t="n">
        <v>41</v>
      </c>
      <c r="L1268" s="23" t="n">
        <v>1.7</v>
      </c>
      <c r="M1268" s="24" t="b">
        <f aca="false">FALSE()</f>
        <v>0</v>
      </c>
      <c r="N1268" s="11"/>
      <c r="O1268" s="11" t="str">
        <f aca="false">IF(K1268&lt;=StockP33,"Low",IF(K1268&lt;=StockP67,"Moderate","High"))</f>
        <v>High</v>
      </c>
      <c r="P1268" s="11" t="str">
        <f aca="false">IF(H1268=0,"Low",IF(H1268&lt;=MarkdownP75,"Moderate","High"))</f>
        <v>Low</v>
      </c>
      <c r="Q1268" s="11" t="str">
        <f aca="false">IF(ISBLANK(L1268),"Unknown",IF(L1268&gt;=4,"Good",IF(L1268&lt;=2,"Poor","Neutral")))</f>
        <v>Poor</v>
      </c>
      <c r="R1268" s="11" t="str">
        <f aca="false">IF(AND(O1268="Low",P1268="Low",Q1268="Good"),"BUY / PRIORITIZE",IF(AND(O1268="High",P1268="High",OR(Q1268="Poor",M1268=TRUE())),"HOLD / REVIEW","MONITOR"))</f>
        <v>MONITOR</v>
      </c>
      <c r="S1268" s="11" t="n">
        <f aca="false">K1268+(ROW()/10000000)</f>
        <v>41.0001268</v>
      </c>
    </row>
    <row r="1269" customFormat="false" ht="15" hidden="false" customHeight="false" outlineLevel="0" collapsed="false">
      <c r="A1269" s="11" t="s">
        <v>1574</v>
      </c>
      <c r="B1269" s="11" t="s">
        <v>26</v>
      </c>
      <c r="C1269" s="11" t="s">
        <v>86</v>
      </c>
      <c r="D1269" s="11" t="s">
        <v>34</v>
      </c>
      <c r="E1269" s="11" t="s">
        <v>78</v>
      </c>
      <c r="F1269" s="11" t="s">
        <v>98</v>
      </c>
      <c r="G1269" s="21" t="n">
        <v>32.74</v>
      </c>
      <c r="H1269" s="19" t="n">
        <v>0</v>
      </c>
      <c r="I1269" s="21" t="n">
        <v>32.74</v>
      </c>
      <c r="J1269" s="22" t="s">
        <v>1575</v>
      </c>
      <c r="K1269" s="11" t="n">
        <v>23</v>
      </c>
      <c r="L1269" s="23" t="n">
        <v>4</v>
      </c>
      <c r="M1269" s="24" t="b">
        <f aca="false">TRUE()</f>
        <v>1</v>
      </c>
      <c r="N1269" s="11" t="s">
        <v>134</v>
      </c>
      <c r="O1269" s="11" t="str">
        <f aca="false">IF(K1269&lt;=StockP33,"Low",IF(K1269&lt;=StockP67,"Moderate","High"))</f>
        <v>Moderate</v>
      </c>
      <c r="P1269" s="11" t="str">
        <f aca="false">IF(H1269=0,"Low",IF(H1269&lt;=MarkdownP75,"Moderate","High"))</f>
        <v>Low</v>
      </c>
      <c r="Q1269" s="11" t="str">
        <f aca="false">IF(ISBLANK(L1269),"Unknown",IF(L1269&gt;=4,"Good",IF(L1269&lt;=2,"Poor","Neutral")))</f>
        <v>Good</v>
      </c>
      <c r="R1269" s="11" t="str">
        <f aca="false">IF(AND(O1269="Low",P1269="Low",Q1269="Good"),"BUY / PRIORITIZE",IF(AND(O1269="High",P1269="High",OR(Q1269="Poor",M1269=TRUE())),"HOLD / REVIEW","MONITOR"))</f>
        <v>MONITOR</v>
      </c>
      <c r="S1269" s="11" t="n">
        <f aca="false">K1269+(ROW()/10000000)</f>
        <v>23.0001269</v>
      </c>
    </row>
    <row r="1270" customFormat="false" ht="15" hidden="false" customHeight="false" outlineLevel="0" collapsed="false">
      <c r="A1270" s="11" t="s">
        <v>1576</v>
      </c>
      <c r="B1270" s="11" t="s">
        <v>26</v>
      </c>
      <c r="C1270" s="11" t="s">
        <v>77</v>
      </c>
      <c r="D1270" s="11" t="s">
        <v>34</v>
      </c>
      <c r="E1270" s="11" t="s">
        <v>78</v>
      </c>
      <c r="F1270" s="11" t="s">
        <v>96</v>
      </c>
      <c r="G1270" s="21" t="n">
        <v>79.27</v>
      </c>
      <c r="H1270" s="19" t="n">
        <v>0</v>
      </c>
      <c r="I1270" s="21" t="n">
        <v>79.27</v>
      </c>
      <c r="J1270" s="22" t="s">
        <v>1577</v>
      </c>
      <c r="K1270" s="11" t="n">
        <v>13</v>
      </c>
      <c r="L1270" s="23" t="n">
        <v>3.5</v>
      </c>
      <c r="M1270" s="24" t="b">
        <f aca="false">FALSE()</f>
        <v>0</v>
      </c>
      <c r="N1270" s="11"/>
      <c r="O1270" s="11" t="str">
        <f aca="false">IF(K1270&lt;=StockP33,"Low",IF(K1270&lt;=StockP67,"Moderate","High"))</f>
        <v>Low</v>
      </c>
      <c r="P1270" s="11" t="str">
        <f aca="false">IF(H1270=0,"Low",IF(H1270&lt;=MarkdownP75,"Moderate","High"))</f>
        <v>Low</v>
      </c>
      <c r="Q1270" s="11" t="str">
        <f aca="false">IF(ISBLANK(L1270),"Unknown",IF(L1270&gt;=4,"Good",IF(L1270&lt;=2,"Poor","Neutral")))</f>
        <v>Neutral</v>
      </c>
      <c r="R1270" s="11" t="str">
        <f aca="false">IF(AND(O1270="Low",P1270="Low",Q1270="Good"),"BUY / PRIORITIZE",IF(AND(O1270="High",P1270="High",OR(Q1270="Poor",M1270=TRUE())),"HOLD / REVIEW","MONITOR"))</f>
        <v>MONITOR</v>
      </c>
      <c r="S1270" s="11" t="n">
        <f aca="false">K1270+(ROW()/10000000)</f>
        <v>13.000127</v>
      </c>
    </row>
    <row r="1271" customFormat="false" ht="15" hidden="false" customHeight="false" outlineLevel="0" collapsed="false">
      <c r="A1271" s="11" t="s">
        <v>1578</v>
      </c>
      <c r="B1271" s="11" t="s">
        <v>30</v>
      </c>
      <c r="C1271" s="11" t="s">
        <v>130</v>
      </c>
      <c r="D1271" s="11" t="s">
        <v>34</v>
      </c>
      <c r="E1271" s="11" t="s">
        <v>91</v>
      </c>
      <c r="F1271" s="11" t="s">
        <v>111</v>
      </c>
      <c r="G1271" s="21" t="n">
        <v>119.38</v>
      </c>
      <c r="H1271" s="19" t="n">
        <v>0</v>
      </c>
      <c r="I1271" s="21" t="n">
        <v>119.38</v>
      </c>
      <c r="J1271" s="22" t="s">
        <v>1579</v>
      </c>
      <c r="K1271" s="11" t="n">
        <v>18</v>
      </c>
      <c r="L1271" s="23" t="n">
        <v>4.4</v>
      </c>
      <c r="M1271" s="24" t="b">
        <f aca="false">FALSE()</f>
        <v>0</v>
      </c>
      <c r="N1271" s="11"/>
      <c r="O1271" s="11" t="str">
        <f aca="false">IF(K1271&lt;=StockP33,"Low",IF(K1271&lt;=StockP67,"Moderate","High"))</f>
        <v>Moderate</v>
      </c>
      <c r="P1271" s="11" t="str">
        <f aca="false">IF(H1271=0,"Low",IF(H1271&lt;=MarkdownP75,"Moderate","High"))</f>
        <v>Low</v>
      </c>
      <c r="Q1271" s="11" t="str">
        <f aca="false">IF(ISBLANK(L1271),"Unknown",IF(L1271&gt;=4,"Good",IF(L1271&lt;=2,"Poor","Neutral")))</f>
        <v>Good</v>
      </c>
      <c r="R1271" s="11" t="str">
        <f aca="false">IF(AND(O1271="Low",P1271="Low",Q1271="Good"),"BUY / PRIORITIZE",IF(AND(O1271="High",P1271="High",OR(Q1271="Poor",M1271=TRUE())),"HOLD / REVIEW","MONITOR"))</f>
        <v>MONITOR</v>
      </c>
      <c r="S1271" s="11" t="n">
        <f aca="false">K1271+(ROW()/10000000)</f>
        <v>18.0001271</v>
      </c>
    </row>
    <row r="1272" customFormat="false" ht="15" hidden="false" customHeight="false" outlineLevel="0" collapsed="false">
      <c r="A1272" s="11" t="s">
        <v>1580</v>
      </c>
      <c r="B1272" s="11" t="s">
        <v>27</v>
      </c>
      <c r="C1272" s="11" t="s">
        <v>101</v>
      </c>
      <c r="D1272" s="11" t="s">
        <v>37</v>
      </c>
      <c r="E1272" s="11" t="s">
        <v>91</v>
      </c>
      <c r="F1272" s="11" t="s">
        <v>88</v>
      </c>
      <c r="G1272" s="21" t="n">
        <v>66.17</v>
      </c>
      <c r="H1272" s="19" t="n">
        <v>0</v>
      </c>
      <c r="I1272" s="21" t="n">
        <v>66.17</v>
      </c>
      <c r="J1272" s="22" t="s">
        <v>80</v>
      </c>
      <c r="K1272" s="11" t="n">
        <v>1</v>
      </c>
      <c r="L1272" s="23"/>
      <c r="M1272" s="24" t="b">
        <f aca="false">FALSE()</f>
        <v>0</v>
      </c>
      <c r="N1272" s="11"/>
      <c r="O1272" s="11" t="str">
        <f aca="false">IF(K1272&lt;=StockP33,"Low",IF(K1272&lt;=StockP67,"Moderate","High"))</f>
        <v>Low</v>
      </c>
      <c r="P1272" s="11" t="str">
        <f aca="false">IF(H1272=0,"Low",IF(H1272&lt;=MarkdownP75,"Moderate","High"))</f>
        <v>Low</v>
      </c>
      <c r="Q1272" s="11" t="str">
        <f aca="false">IF(ISBLANK(L1272),"Unknown",IF(L1272&gt;=4,"Good",IF(L1272&lt;=2,"Poor","Neutral")))</f>
        <v>Unknown</v>
      </c>
      <c r="R1272" s="11" t="str">
        <f aca="false">IF(AND(O1272="Low",P1272="Low",Q1272="Good"),"BUY / PRIORITIZE",IF(AND(O1272="High",P1272="High",OR(Q1272="Poor",M1272=TRUE())),"HOLD / REVIEW","MONITOR"))</f>
        <v>MONITOR</v>
      </c>
      <c r="S1272" s="11" t="n">
        <f aca="false">K1272+(ROW()/10000000)</f>
        <v>1.0001272</v>
      </c>
    </row>
    <row r="1273" customFormat="false" ht="15" hidden="false" customHeight="false" outlineLevel="0" collapsed="false">
      <c r="A1273" s="11" t="s">
        <v>1581</v>
      </c>
      <c r="B1273" s="11" t="s">
        <v>8</v>
      </c>
      <c r="C1273" s="11" t="s">
        <v>101</v>
      </c>
      <c r="D1273" s="11" t="s">
        <v>36</v>
      </c>
      <c r="E1273" s="11"/>
      <c r="F1273" s="11" t="s">
        <v>120</v>
      </c>
      <c r="G1273" s="21" t="n">
        <v>68.3</v>
      </c>
      <c r="H1273" s="19" t="n">
        <v>8</v>
      </c>
      <c r="I1273" s="21" t="n">
        <v>62.84</v>
      </c>
      <c r="J1273" s="22" t="s">
        <v>80</v>
      </c>
      <c r="K1273" s="11" t="n">
        <v>18</v>
      </c>
      <c r="L1273" s="23" t="n">
        <v>3.1</v>
      </c>
      <c r="M1273" s="24" t="b">
        <f aca="false">FALSE()</f>
        <v>0</v>
      </c>
      <c r="N1273" s="11"/>
      <c r="O1273" s="11" t="str">
        <f aca="false">IF(K1273&lt;=StockP33,"Low",IF(K1273&lt;=StockP67,"Moderate","High"))</f>
        <v>Moderate</v>
      </c>
      <c r="P1273" s="11" t="str">
        <f aca="false">IF(H1273=0,"Low",IF(H1273&lt;=MarkdownP75,"Moderate","High"))</f>
        <v>Moderate</v>
      </c>
      <c r="Q1273" s="11" t="str">
        <f aca="false">IF(ISBLANK(L1273),"Unknown",IF(L1273&gt;=4,"Good",IF(L1273&lt;=2,"Poor","Neutral")))</f>
        <v>Neutral</v>
      </c>
      <c r="R1273" s="11" t="str">
        <f aca="false">IF(AND(O1273="Low",P1273="Low",Q1273="Good"),"BUY / PRIORITIZE",IF(AND(O1273="High",P1273="High",OR(Q1273="Poor",M1273=TRUE())),"HOLD / REVIEW","MONITOR"))</f>
        <v>MONITOR</v>
      </c>
      <c r="S1273" s="11" t="n">
        <f aca="false">K1273+(ROW()/10000000)</f>
        <v>18.0001273</v>
      </c>
    </row>
    <row r="1274" customFormat="false" ht="15" hidden="false" customHeight="false" outlineLevel="0" collapsed="false">
      <c r="A1274" s="11" t="s">
        <v>1582</v>
      </c>
      <c r="B1274" s="11" t="s">
        <v>28</v>
      </c>
      <c r="C1274" s="11" t="s">
        <v>95</v>
      </c>
      <c r="D1274" s="11" t="s">
        <v>36</v>
      </c>
      <c r="E1274" s="11" t="s">
        <v>78</v>
      </c>
      <c r="F1274" s="11" t="s">
        <v>120</v>
      </c>
      <c r="G1274" s="21" t="n">
        <v>209.66</v>
      </c>
      <c r="H1274" s="19" t="n">
        <v>0</v>
      </c>
      <c r="I1274" s="21" t="n">
        <v>209.66</v>
      </c>
      <c r="J1274" s="22" t="s">
        <v>80</v>
      </c>
      <c r="K1274" s="11" t="n">
        <v>30</v>
      </c>
      <c r="L1274" s="23" t="n">
        <v>2.1</v>
      </c>
      <c r="M1274" s="24" t="b">
        <f aca="false">FALSE()</f>
        <v>0</v>
      </c>
      <c r="N1274" s="11"/>
      <c r="O1274" s="11" t="str">
        <f aca="false">IF(K1274&lt;=StockP33,"Low",IF(K1274&lt;=StockP67,"Moderate","High"))</f>
        <v>Moderate</v>
      </c>
      <c r="P1274" s="11" t="str">
        <f aca="false">IF(H1274=0,"Low",IF(H1274&lt;=MarkdownP75,"Moderate","High"))</f>
        <v>Low</v>
      </c>
      <c r="Q1274" s="11" t="str">
        <f aca="false">IF(ISBLANK(L1274),"Unknown",IF(L1274&gt;=4,"Good",IF(L1274&lt;=2,"Poor","Neutral")))</f>
        <v>Neutral</v>
      </c>
      <c r="R1274" s="11" t="str">
        <f aca="false">IF(AND(O1274="Low",P1274="Low",Q1274="Good"),"BUY / PRIORITIZE",IF(AND(O1274="High",P1274="High",OR(Q1274="Poor",M1274=TRUE())),"HOLD / REVIEW","MONITOR"))</f>
        <v>MONITOR</v>
      </c>
      <c r="S1274" s="11" t="n">
        <f aca="false">K1274+(ROW()/10000000)</f>
        <v>30.0001274</v>
      </c>
    </row>
    <row r="1275" customFormat="false" ht="15" hidden="false" customHeight="false" outlineLevel="0" collapsed="false">
      <c r="A1275" s="11" t="s">
        <v>1583</v>
      </c>
      <c r="B1275" s="11" t="s">
        <v>29</v>
      </c>
      <c r="C1275" s="11" t="s">
        <v>77</v>
      </c>
      <c r="D1275" s="11" t="s">
        <v>35</v>
      </c>
      <c r="E1275" s="11" t="s">
        <v>110</v>
      </c>
      <c r="F1275" s="11" t="s">
        <v>96</v>
      </c>
      <c r="G1275" s="21" t="n">
        <v>154.82</v>
      </c>
      <c r="H1275" s="19" t="n">
        <v>0</v>
      </c>
      <c r="I1275" s="21" t="n">
        <v>154.82</v>
      </c>
      <c r="J1275" s="22" t="s">
        <v>80</v>
      </c>
      <c r="K1275" s="11" t="n">
        <v>31</v>
      </c>
      <c r="L1275" s="23"/>
      <c r="M1275" s="24" t="b">
        <f aca="false">FALSE()</f>
        <v>0</v>
      </c>
      <c r="N1275" s="11"/>
      <c r="O1275" s="11" t="str">
        <f aca="false">IF(K1275&lt;=StockP33,"Low",IF(K1275&lt;=StockP67,"Moderate","High"))</f>
        <v>Moderate</v>
      </c>
      <c r="P1275" s="11" t="str">
        <f aca="false">IF(H1275=0,"Low",IF(H1275&lt;=MarkdownP75,"Moderate","High"))</f>
        <v>Low</v>
      </c>
      <c r="Q1275" s="11" t="str">
        <f aca="false">IF(ISBLANK(L1275),"Unknown",IF(L1275&gt;=4,"Good",IF(L1275&lt;=2,"Poor","Neutral")))</f>
        <v>Unknown</v>
      </c>
      <c r="R1275" s="11" t="str">
        <f aca="false">IF(AND(O1275="Low",P1275="Low",Q1275="Good"),"BUY / PRIORITIZE",IF(AND(O1275="High",P1275="High",OR(Q1275="Poor",M1275=TRUE())),"HOLD / REVIEW","MONITOR"))</f>
        <v>MONITOR</v>
      </c>
      <c r="S1275" s="11" t="n">
        <f aca="false">K1275+(ROW()/10000000)</f>
        <v>31.0001275</v>
      </c>
    </row>
    <row r="1276" customFormat="false" ht="15" hidden="false" customHeight="false" outlineLevel="0" collapsed="false">
      <c r="A1276" s="11" t="s">
        <v>1584</v>
      </c>
      <c r="B1276" s="11" t="s">
        <v>26</v>
      </c>
      <c r="C1276" s="11" t="s">
        <v>101</v>
      </c>
      <c r="D1276" s="11" t="s">
        <v>37</v>
      </c>
      <c r="E1276" s="11" t="s">
        <v>91</v>
      </c>
      <c r="F1276" s="11" t="s">
        <v>92</v>
      </c>
      <c r="G1276" s="21" t="n">
        <v>37.53</v>
      </c>
      <c r="H1276" s="19" t="n">
        <v>0</v>
      </c>
      <c r="I1276" s="21" t="n">
        <v>37.53</v>
      </c>
      <c r="J1276" s="22" t="s">
        <v>80</v>
      </c>
      <c r="K1276" s="11" t="n">
        <v>8</v>
      </c>
      <c r="L1276" s="23" t="n">
        <v>3</v>
      </c>
      <c r="M1276" s="24" t="b">
        <f aca="false">TRUE()</f>
        <v>1</v>
      </c>
      <c r="N1276" s="11" t="s">
        <v>178</v>
      </c>
      <c r="O1276" s="11" t="str">
        <f aca="false">IF(K1276&lt;=StockP33,"Low",IF(K1276&lt;=StockP67,"Moderate","High"))</f>
        <v>Low</v>
      </c>
      <c r="P1276" s="11" t="str">
        <f aca="false">IF(H1276=0,"Low",IF(H1276&lt;=MarkdownP75,"Moderate","High"))</f>
        <v>Low</v>
      </c>
      <c r="Q1276" s="11" t="str">
        <f aca="false">IF(ISBLANK(L1276),"Unknown",IF(L1276&gt;=4,"Good",IF(L1276&lt;=2,"Poor","Neutral")))</f>
        <v>Neutral</v>
      </c>
      <c r="R1276" s="11" t="str">
        <f aca="false">IF(AND(O1276="Low",P1276="Low",Q1276="Good"),"BUY / PRIORITIZE",IF(AND(O1276="High",P1276="High",OR(Q1276="Poor",M1276=TRUE())),"HOLD / REVIEW","MONITOR"))</f>
        <v>MONITOR</v>
      </c>
      <c r="S1276" s="11" t="n">
        <f aca="false">K1276+(ROW()/10000000)</f>
        <v>8.0001276</v>
      </c>
    </row>
    <row r="1277" customFormat="false" ht="15" hidden="false" customHeight="false" outlineLevel="0" collapsed="false">
      <c r="A1277" s="11" t="s">
        <v>1585</v>
      </c>
      <c r="B1277" s="11" t="s">
        <v>29</v>
      </c>
      <c r="C1277" s="11" t="s">
        <v>72</v>
      </c>
      <c r="D1277" s="11" t="s">
        <v>35</v>
      </c>
      <c r="E1277" s="11" t="s">
        <v>110</v>
      </c>
      <c r="F1277" s="11" t="s">
        <v>82</v>
      </c>
      <c r="G1277" s="21" t="n">
        <v>140.28</v>
      </c>
      <c r="H1277" s="19" t="n">
        <v>0</v>
      </c>
      <c r="I1277" s="21" t="n">
        <v>140.28</v>
      </c>
      <c r="J1277" s="22" t="s">
        <v>80</v>
      </c>
      <c r="K1277" s="11" t="n">
        <v>10</v>
      </c>
      <c r="L1277" s="23" t="n">
        <v>1.9</v>
      </c>
      <c r="M1277" s="24" t="b">
        <f aca="false">FALSE()</f>
        <v>0</v>
      </c>
      <c r="N1277" s="11"/>
      <c r="O1277" s="11" t="str">
        <f aca="false">IF(K1277&lt;=StockP33,"Low",IF(K1277&lt;=StockP67,"Moderate","High"))</f>
        <v>Low</v>
      </c>
      <c r="P1277" s="11" t="str">
        <f aca="false">IF(H1277=0,"Low",IF(H1277&lt;=MarkdownP75,"Moderate","High"))</f>
        <v>Low</v>
      </c>
      <c r="Q1277" s="11" t="str">
        <f aca="false">IF(ISBLANK(L1277),"Unknown",IF(L1277&gt;=4,"Good",IF(L1277&lt;=2,"Poor","Neutral")))</f>
        <v>Poor</v>
      </c>
      <c r="R1277" s="11" t="str">
        <f aca="false">IF(AND(O1277="Low",P1277="Low",Q1277="Good"),"BUY / PRIORITIZE",IF(AND(O1277="High",P1277="High",OR(Q1277="Poor",M1277=TRUE())),"HOLD / REVIEW","MONITOR"))</f>
        <v>MONITOR</v>
      </c>
      <c r="S1277" s="11" t="n">
        <f aca="false">K1277+(ROW()/10000000)</f>
        <v>10.0001277</v>
      </c>
    </row>
    <row r="1278" customFormat="false" ht="15" hidden="false" customHeight="false" outlineLevel="0" collapsed="false">
      <c r="A1278" s="11" t="s">
        <v>1586</v>
      </c>
      <c r="B1278" s="11" t="s">
        <v>29</v>
      </c>
      <c r="C1278" s="11" t="s">
        <v>77</v>
      </c>
      <c r="D1278" s="11" t="s">
        <v>35</v>
      </c>
      <c r="E1278" s="11" t="s">
        <v>110</v>
      </c>
      <c r="F1278" s="11" t="s">
        <v>88</v>
      </c>
      <c r="G1278" s="21" t="n">
        <v>171.07</v>
      </c>
      <c r="H1278" s="19" t="n">
        <v>0</v>
      </c>
      <c r="I1278" s="21" t="n">
        <v>171.07</v>
      </c>
      <c r="J1278" s="22" t="s">
        <v>80</v>
      </c>
      <c r="K1278" s="11" t="n">
        <v>25</v>
      </c>
      <c r="L1278" s="23" t="n">
        <v>3</v>
      </c>
      <c r="M1278" s="24" t="b">
        <f aca="false">FALSE()</f>
        <v>0</v>
      </c>
      <c r="N1278" s="11"/>
      <c r="O1278" s="11" t="str">
        <f aca="false">IF(K1278&lt;=StockP33,"Low",IF(K1278&lt;=StockP67,"Moderate","High"))</f>
        <v>Moderate</v>
      </c>
      <c r="P1278" s="11" t="str">
        <f aca="false">IF(H1278=0,"Low",IF(H1278&lt;=MarkdownP75,"Moderate","High"))</f>
        <v>Low</v>
      </c>
      <c r="Q1278" s="11" t="str">
        <f aca="false">IF(ISBLANK(L1278),"Unknown",IF(L1278&gt;=4,"Good",IF(L1278&lt;=2,"Poor","Neutral")))</f>
        <v>Neutral</v>
      </c>
      <c r="R1278" s="11" t="str">
        <f aca="false">IF(AND(O1278="Low",P1278="Low",Q1278="Good"),"BUY / PRIORITIZE",IF(AND(O1278="High",P1278="High",OR(Q1278="Poor",M1278=TRUE())),"HOLD / REVIEW","MONITOR"))</f>
        <v>MONITOR</v>
      </c>
      <c r="S1278" s="11" t="n">
        <f aca="false">K1278+(ROW()/10000000)</f>
        <v>25.0001278</v>
      </c>
    </row>
    <row r="1279" customFormat="false" ht="15" hidden="false" customHeight="false" outlineLevel="0" collapsed="false">
      <c r="A1279" s="11" t="s">
        <v>1587</v>
      </c>
      <c r="B1279" s="11" t="s">
        <v>30</v>
      </c>
      <c r="C1279" s="11" t="s">
        <v>72</v>
      </c>
      <c r="D1279" s="11" t="s">
        <v>35</v>
      </c>
      <c r="E1279" s="11" t="s">
        <v>113</v>
      </c>
      <c r="F1279" s="11" t="s">
        <v>120</v>
      </c>
      <c r="G1279" s="21" t="n">
        <v>77.87</v>
      </c>
      <c r="H1279" s="19" t="n">
        <v>0</v>
      </c>
      <c r="I1279" s="21" t="n">
        <v>77.87</v>
      </c>
      <c r="J1279" s="22" t="s">
        <v>80</v>
      </c>
      <c r="K1279" s="11" t="n">
        <v>4</v>
      </c>
      <c r="L1279" s="23" t="n">
        <v>2.7</v>
      </c>
      <c r="M1279" s="24" t="b">
        <f aca="false">FALSE()</f>
        <v>0</v>
      </c>
      <c r="N1279" s="11"/>
      <c r="O1279" s="11" t="str">
        <f aca="false">IF(K1279&lt;=StockP33,"Low",IF(K1279&lt;=StockP67,"Moderate","High"))</f>
        <v>Low</v>
      </c>
      <c r="P1279" s="11" t="str">
        <f aca="false">IF(H1279=0,"Low",IF(H1279&lt;=MarkdownP75,"Moderate","High"))</f>
        <v>Low</v>
      </c>
      <c r="Q1279" s="11" t="str">
        <f aca="false">IF(ISBLANK(L1279),"Unknown",IF(L1279&gt;=4,"Good",IF(L1279&lt;=2,"Poor","Neutral")))</f>
        <v>Neutral</v>
      </c>
      <c r="R1279" s="11" t="str">
        <f aca="false">IF(AND(O1279="Low",P1279="Low",Q1279="Good"),"BUY / PRIORITIZE",IF(AND(O1279="High",P1279="High",OR(Q1279="Poor",M1279=TRUE())),"HOLD / REVIEW","MONITOR"))</f>
        <v>MONITOR</v>
      </c>
      <c r="S1279" s="11" t="n">
        <f aca="false">K1279+(ROW()/10000000)</f>
        <v>4.0001279</v>
      </c>
    </row>
    <row r="1280" customFormat="false" ht="15" hidden="false" customHeight="false" outlineLevel="0" collapsed="false">
      <c r="A1280" s="11" t="s">
        <v>1588</v>
      </c>
      <c r="B1280" s="11" t="s">
        <v>30</v>
      </c>
      <c r="C1280" s="11" t="s">
        <v>101</v>
      </c>
      <c r="D1280" s="11" t="s">
        <v>34</v>
      </c>
      <c r="E1280" s="11" t="s">
        <v>73</v>
      </c>
      <c r="F1280" s="11" t="s">
        <v>118</v>
      </c>
      <c r="G1280" s="21" t="n">
        <v>80.54</v>
      </c>
      <c r="H1280" s="19" t="n">
        <v>0</v>
      </c>
      <c r="I1280" s="21" t="n">
        <v>80.54</v>
      </c>
      <c r="J1280" s="22" t="s">
        <v>1589</v>
      </c>
      <c r="K1280" s="11" t="n">
        <v>50</v>
      </c>
      <c r="L1280" s="23" t="n">
        <v>2.1</v>
      </c>
      <c r="M1280" s="24" t="b">
        <f aca="false">FALSE()</f>
        <v>0</v>
      </c>
      <c r="N1280" s="11"/>
      <c r="O1280" s="11" t="str">
        <f aca="false">IF(K1280&lt;=StockP33,"Low",IF(K1280&lt;=StockP67,"Moderate","High"))</f>
        <v>High</v>
      </c>
      <c r="P1280" s="11" t="str">
        <f aca="false">IF(H1280=0,"Low",IF(H1280&lt;=MarkdownP75,"Moderate","High"))</f>
        <v>Low</v>
      </c>
      <c r="Q1280" s="11" t="str">
        <f aca="false">IF(ISBLANK(L1280),"Unknown",IF(L1280&gt;=4,"Good",IF(L1280&lt;=2,"Poor","Neutral")))</f>
        <v>Neutral</v>
      </c>
      <c r="R1280" s="11" t="str">
        <f aca="false">IF(AND(O1280="Low",P1280="Low",Q1280="Good"),"BUY / PRIORITIZE",IF(AND(O1280="High",P1280="High",OR(Q1280="Poor",M1280=TRUE())),"HOLD / REVIEW","MONITOR"))</f>
        <v>MONITOR</v>
      </c>
      <c r="S1280" s="11" t="n">
        <f aca="false">K1280+(ROW()/10000000)</f>
        <v>50.000128</v>
      </c>
    </row>
    <row r="1281" customFormat="false" ht="15" hidden="false" customHeight="false" outlineLevel="0" collapsed="false">
      <c r="A1281" s="11" t="s">
        <v>1590</v>
      </c>
      <c r="B1281" s="11" t="s">
        <v>26</v>
      </c>
      <c r="C1281" s="11" t="s">
        <v>77</v>
      </c>
      <c r="D1281" s="11" t="s">
        <v>35</v>
      </c>
      <c r="E1281" s="11" t="s">
        <v>91</v>
      </c>
      <c r="F1281" s="11" t="s">
        <v>88</v>
      </c>
      <c r="G1281" s="21" t="n">
        <v>48.68</v>
      </c>
      <c r="H1281" s="19" t="n">
        <v>41.7</v>
      </c>
      <c r="I1281" s="21" t="n">
        <v>28.38</v>
      </c>
      <c r="J1281" s="22" t="s">
        <v>80</v>
      </c>
      <c r="K1281" s="11" t="n">
        <v>20</v>
      </c>
      <c r="L1281" s="23" t="n">
        <v>1.3</v>
      </c>
      <c r="M1281" s="24" t="b">
        <f aca="false">TRUE()</f>
        <v>1</v>
      </c>
      <c r="N1281" s="11" t="s">
        <v>134</v>
      </c>
      <c r="O1281" s="11" t="str">
        <f aca="false">IF(K1281&lt;=StockP33,"Low",IF(K1281&lt;=StockP67,"Moderate","High"))</f>
        <v>Moderate</v>
      </c>
      <c r="P1281" s="11" t="str">
        <f aca="false">IF(H1281=0,"Low",IF(H1281&lt;=MarkdownP75,"Moderate","High"))</f>
        <v>High</v>
      </c>
      <c r="Q1281" s="11" t="str">
        <f aca="false">IF(ISBLANK(L1281),"Unknown",IF(L1281&gt;=4,"Good",IF(L1281&lt;=2,"Poor","Neutral")))</f>
        <v>Poor</v>
      </c>
      <c r="R1281" s="11" t="str">
        <f aca="false">IF(AND(O1281="Low",P1281="Low",Q1281="Good"),"BUY / PRIORITIZE",IF(AND(O1281="High",P1281="High",OR(Q1281="Poor",M1281=TRUE())),"HOLD / REVIEW","MONITOR"))</f>
        <v>MONITOR</v>
      </c>
      <c r="S1281" s="11" t="n">
        <f aca="false">K1281+(ROW()/10000000)</f>
        <v>20.0001281</v>
      </c>
    </row>
    <row r="1282" customFormat="false" ht="15" hidden="false" customHeight="false" outlineLevel="0" collapsed="false">
      <c r="A1282" s="11" t="s">
        <v>1591</v>
      </c>
      <c r="B1282" s="11" t="s">
        <v>29</v>
      </c>
      <c r="C1282" s="11" t="s">
        <v>107</v>
      </c>
      <c r="D1282" s="11" t="s">
        <v>37</v>
      </c>
      <c r="E1282" s="11" t="s">
        <v>110</v>
      </c>
      <c r="F1282" s="11" t="s">
        <v>120</v>
      </c>
      <c r="G1282" s="21" t="n">
        <v>137.83</v>
      </c>
      <c r="H1282" s="19" t="n">
        <v>0</v>
      </c>
      <c r="I1282" s="21" t="n">
        <v>137.83</v>
      </c>
      <c r="J1282" s="22" t="s">
        <v>80</v>
      </c>
      <c r="K1282" s="11" t="n">
        <v>32</v>
      </c>
      <c r="L1282" s="23" t="n">
        <v>3.4</v>
      </c>
      <c r="M1282" s="24" t="b">
        <f aca="false">TRUE()</f>
        <v>1</v>
      </c>
      <c r="N1282" s="11" t="s">
        <v>178</v>
      </c>
      <c r="O1282" s="11" t="str">
        <f aca="false">IF(K1282&lt;=StockP33,"Low",IF(K1282&lt;=StockP67,"Moderate","High"))</f>
        <v>Moderate</v>
      </c>
      <c r="P1282" s="11" t="str">
        <f aca="false">IF(H1282=0,"Low",IF(H1282&lt;=MarkdownP75,"Moderate","High"))</f>
        <v>Low</v>
      </c>
      <c r="Q1282" s="11" t="str">
        <f aca="false">IF(ISBLANK(L1282),"Unknown",IF(L1282&gt;=4,"Good",IF(L1282&lt;=2,"Poor","Neutral")))</f>
        <v>Neutral</v>
      </c>
      <c r="R1282" s="11" t="str">
        <f aca="false">IF(AND(O1282="Low",P1282="Low",Q1282="Good"),"BUY / PRIORITIZE",IF(AND(O1282="High",P1282="High",OR(Q1282="Poor",M1282=TRUE())),"HOLD / REVIEW","MONITOR"))</f>
        <v>MONITOR</v>
      </c>
      <c r="S1282" s="11" t="n">
        <f aca="false">K1282+(ROW()/10000000)</f>
        <v>32.0001282</v>
      </c>
    </row>
    <row r="1283" customFormat="false" ht="15" hidden="false" customHeight="false" outlineLevel="0" collapsed="false">
      <c r="A1283" s="11" t="s">
        <v>1592</v>
      </c>
      <c r="B1283" s="11" t="s">
        <v>26</v>
      </c>
      <c r="C1283" s="11" t="s">
        <v>72</v>
      </c>
      <c r="D1283" s="11" t="s">
        <v>36</v>
      </c>
      <c r="E1283" s="11" t="s">
        <v>102</v>
      </c>
      <c r="F1283" s="11" t="s">
        <v>124</v>
      </c>
      <c r="G1283" s="21" t="n">
        <v>96.88</v>
      </c>
      <c r="H1283" s="19" t="n">
        <v>44.8</v>
      </c>
      <c r="I1283" s="21" t="n">
        <v>53.48</v>
      </c>
      <c r="J1283" s="22" t="s">
        <v>80</v>
      </c>
      <c r="K1283" s="11" t="n">
        <v>15</v>
      </c>
      <c r="L1283" s="23" t="n">
        <v>1.3</v>
      </c>
      <c r="M1283" s="24" t="b">
        <f aca="false">FALSE()</f>
        <v>0</v>
      </c>
      <c r="N1283" s="11"/>
      <c r="O1283" s="11" t="str">
        <f aca="false">IF(K1283&lt;=StockP33,"Low",IF(K1283&lt;=StockP67,"Moderate","High"))</f>
        <v>Low</v>
      </c>
      <c r="P1283" s="11" t="str">
        <f aca="false">IF(H1283=0,"Low",IF(H1283&lt;=MarkdownP75,"Moderate","High"))</f>
        <v>High</v>
      </c>
      <c r="Q1283" s="11" t="str">
        <f aca="false">IF(ISBLANK(L1283),"Unknown",IF(L1283&gt;=4,"Good",IF(L1283&lt;=2,"Poor","Neutral")))</f>
        <v>Poor</v>
      </c>
      <c r="R1283" s="11" t="str">
        <f aca="false">IF(AND(O1283="Low",P1283="Low",Q1283="Good"),"BUY / PRIORITIZE",IF(AND(O1283="High",P1283="High",OR(Q1283="Poor",M1283=TRUE())),"HOLD / REVIEW","MONITOR"))</f>
        <v>MONITOR</v>
      </c>
      <c r="S1283" s="11" t="n">
        <f aca="false">K1283+(ROW()/10000000)</f>
        <v>15.0001283</v>
      </c>
    </row>
    <row r="1284" customFormat="false" ht="15" hidden="false" customHeight="false" outlineLevel="0" collapsed="false">
      <c r="A1284" s="11" t="s">
        <v>1593</v>
      </c>
      <c r="B1284" s="11" t="s">
        <v>30</v>
      </c>
      <c r="C1284" s="11" t="s">
        <v>101</v>
      </c>
      <c r="D1284" s="11" t="s">
        <v>34</v>
      </c>
      <c r="E1284" s="11" t="s">
        <v>73</v>
      </c>
      <c r="F1284" s="11" t="s">
        <v>96</v>
      </c>
      <c r="G1284" s="21" t="n">
        <v>46.44</v>
      </c>
      <c r="H1284" s="19" t="n">
        <v>36.8</v>
      </c>
      <c r="I1284" s="21" t="n">
        <v>29.35</v>
      </c>
      <c r="J1284" s="22" t="s">
        <v>1594</v>
      </c>
      <c r="K1284" s="11" t="n">
        <v>19</v>
      </c>
      <c r="L1284" s="23" t="n">
        <v>1.9</v>
      </c>
      <c r="M1284" s="24" t="b">
        <f aca="false">FALSE()</f>
        <v>0</v>
      </c>
      <c r="N1284" s="11"/>
      <c r="O1284" s="11" t="str">
        <f aca="false">IF(K1284&lt;=StockP33,"Low",IF(K1284&lt;=StockP67,"Moderate","High"))</f>
        <v>Moderate</v>
      </c>
      <c r="P1284" s="11" t="str">
        <f aca="false">IF(H1284=0,"Low",IF(H1284&lt;=MarkdownP75,"Moderate","High"))</f>
        <v>High</v>
      </c>
      <c r="Q1284" s="11" t="str">
        <f aca="false">IF(ISBLANK(L1284),"Unknown",IF(L1284&gt;=4,"Good",IF(L1284&lt;=2,"Poor","Neutral")))</f>
        <v>Poor</v>
      </c>
      <c r="R1284" s="11" t="str">
        <f aca="false">IF(AND(O1284="Low",P1284="Low",Q1284="Good"),"BUY / PRIORITIZE",IF(AND(O1284="High",P1284="High",OR(Q1284="Poor",M1284=TRUE())),"HOLD / REVIEW","MONITOR"))</f>
        <v>MONITOR</v>
      </c>
      <c r="S1284" s="11" t="n">
        <f aca="false">K1284+(ROW()/10000000)</f>
        <v>19.0001284</v>
      </c>
    </row>
    <row r="1285" customFormat="false" ht="15" hidden="false" customHeight="false" outlineLevel="0" collapsed="false">
      <c r="A1285" s="11" t="s">
        <v>1595</v>
      </c>
      <c r="B1285" s="11" t="s">
        <v>26</v>
      </c>
      <c r="C1285" s="11" t="s">
        <v>116</v>
      </c>
      <c r="D1285" s="11" t="s">
        <v>37</v>
      </c>
      <c r="E1285" s="11" t="s">
        <v>78</v>
      </c>
      <c r="F1285" s="11" t="s">
        <v>124</v>
      </c>
      <c r="G1285" s="21" t="n">
        <v>86.4</v>
      </c>
      <c r="H1285" s="19" t="n">
        <v>0</v>
      </c>
      <c r="I1285" s="21" t="n">
        <v>86.4</v>
      </c>
      <c r="J1285" s="22" t="s">
        <v>80</v>
      </c>
      <c r="K1285" s="11" t="n">
        <v>26</v>
      </c>
      <c r="L1285" s="23" t="n">
        <v>3.7</v>
      </c>
      <c r="M1285" s="24" t="b">
        <f aca="false">FALSE()</f>
        <v>0</v>
      </c>
      <c r="N1285" s="11"/>
      <c r="O1285" s="11" t="str">
        <f aca="false">IF(K1285&lt;=StockP33,"Low",IF(K1285&lt;=StockP67,"Moderate","High"))</f>
        <v>Moderate</v>
      </c>
      <c r="P1285" s="11" t="str">
        <f aca="false">IF(H1285=0,"Low",IF(H1285&lt;=MarkdownP75,"Moderate","High"))</f>
        <v>Low</v>
      </c>
      <c r="Q1285" s="11" t="str">
        <f aca="false">IF(ISBLANK(L1285),"Unknown",IF(L1285&gt;=4,"Good",IF(L1285&lt;=2,"Poor","Neutral")))</f>
        <v>Neutral</v>
      </c>
      <c r="R1285" s="11" t="str">
        <f aca="false">IF(AND(O1285="Low",P1285="Low",Q1285="Good"),"BUY / PRIORITIZE",IF(AND(O1285="High",P1285="High",OR(Q1285="Poor",M1285=TRUE())),"HOLD / REVIEW","MONITOR"))</f>
        <v>MONITOR</v>
      </c>
      <c r="S1285" s="11" t="n">
        <f aca="false">K1285+(ROW()/10000000)</f>
        <v>26.0001285</v>
      </c>
    </row>
    <row r="1286" customFormat="false" ht="15" hidden="false" customHeight="false" outlineLevel="0" collapsed="false">
      <c r="A1286" s="11" t="s">
        <v>1596</v>
      </c>
      <c r="B1286" s="11" t="s">
        <v>26</v>
      </c>
      <c r="C1286" s="11" t="s">
        <v>95</v>
      </c>
      <c r="D1286" s="11" t="s">
        <v>36</v>
      </c>
      <c r="E1286" s="11" t="s">
        <v>102</v>
      </c>
      <c r="F1286" s="11" t="s">
        <v>98</v>
      </c>
      <c r="G1286" s="21" t="n">
        <v>113.83</v>
      </c>
      <c r="H1286" s="19" t="n">
        <v>51.6</v>
      </c>
      <c r="I1286" s="21" t="n">
        <v>55.09</v>
      </c>
      <c r="J1286" s="22" t="s">
        <v>80</v>
      </c>
      <c r="K1286" s="11" t="n">
        <v>12</v>
      </c>
      <c r="L1286" s="23" t="n">
        <v>2.9</v>
      </c>
      <c r="M1286" s="24" t="b">
        <f aca="false">FALSE()</f>
        <v>0</v>
      </c>
      <c r="N1286" s="11"/>
      <c r="O1286" s="11" t="str">
        <f aca="false">IF(K1286&lt;=StockP33,"Low",IF(K1286&lt;=StockP67,"Moderate","High"))</f>
        <v>Low</v>
      </c>
      <c r="P1286" s="11" t="str">
        <f aca="false">IF(H1286=0,"Low",IF(H1286&lt;=MarkdownP75,"Moderate","High"))</f>
        <v>High</v>
      </c>
      <c r="Q1286" s="11" t="str">
        <f aca="false">IF(ISBLANK(L1286),"Unknown",IF(L1286&gt;=4,"Good",IF(L1286&lt;=2,"Poor","Neutral")))</f>
        <v>Neutral</v>
      </c>
      <c r="R1286" s="11" t="str">
        <f aca="false">IF(AND(O1286="Low",P1286="Low",Q1286="Good"),"BUY / PRIORITIZE",IF(AND(O1286="High",P1286="High",OR(Q1286="Poor",M1286=TRUE())),"HOLD / REVIEW","MONITOR"))</f>
        <v>MONITOR</v>
      </c>
      <c r="S1286" s="11" t="n">
        <f aca="false">K1286+(ROW()/10000000)</f>
        <v>12.0001286</v>
      </c>
    </row>
    <row r="1287" customFormat="false" ht="15" hidden="false" customHeight="false" outlineLevel="0" collapsed="false">
      <c r="A1287" s="11" t="s">
        <v>1597</v>
      </c>
      <c r="B1287" s="11" t="s">
        <v>26</v>
      </c>
      <c r="C1287" s="11" t="s">
        <v>72</v>
      </c>
      <c r="D1287" s="11" t="s">
        <v>35</v>
      </c>
      <c r="E1287" s="11" t="s">
        <v>110</v>
      </c>
      <c r="F1287" s="11" t="s">
        <v>120</v>
      </c>
      <c r="G1287" s="21" t="n">
        <v>64.68</v>
      </c>
      <c r="H1287" s="19" t="n">
        <v>42.9</v>
      </c>
      <c r="I1287" s="21" t="n">
        <v>36.93</v>
      </c>
      <c r="J1287" s="22" t="s">
        <v>80</v>
      </c>
      <c r="K1287" s="11" t="n">
        <v>36</v>
      </c>
      <c r="L1287" s="23"/>
      <c r="M1287" s="24" t="b">
        <f aca="false">FALSE()</f>
        <v>0</v>
      </c>
      <c r="N1287" s="11"/>
      <c r="O1287" s="11" t="str">
        <f aca="false">IF(K1287&lt;=StockP33,"Low",IF(K1287&lt;=StockP67,"Moderate","High"))</f>
        <v>High</v>
      </c>
      <c r="P1287" s="11" t="str">
        <f aca="false">IF(H1287=0,"Low",IF(H1287&lt;=MarkdownP75,"Moderate","High"))</f>
        <v>High</v>
      </c>
      <c r="Q1287" s="11" t="str">
        <f aca="false">IF(ISBLANK(L1287),"Unknown",IF(L1287&gt;=4,"Good",IF(L1287&lt;=2,"Poor","Neutral")))</f>
        <v>Unknown</v>
      </c>
      <c r="R1287" s="11" t="str">
        <f aca="false">IF(AND(O1287="Low",P1287="Low",Q1287="Good"),"BUY / PRIORITIZE",IF(AND(O1287="High",P1287="High",OR(Q1287="Poor",M1287=TRUE())),"HOLD / REVIEW","MONITOR"))</f>
        <v>MONITOR</v>
      </c>
      <c r="S1287" s="11" t="n">
        <f aca="false">K1287+(ROW()/10000000)</f>
        <v>36.0001287</v>
      </c>
    </row>
    <row r="1288" customFormat="false" ht="15" hidden="false" customHeight="false" outlineLevel="0" collapsed="false">
      <c r="A1288" s="11" t="s">
        <v>1598</v>
      </c>
      <c r="B1288" s="11" t="s">
        <v>29</v>
      </c>
      <c r="C1288" s="11" t="s">
        <v>130</v>
      </c>
      <c r="D1288" s="11" t="s">
        <v>36</v>
      </c>
      <c r="E1288" s="11"/>
      <c r="F1288" s="11" t="s">
        <v>111</v>
      </c>
      <c r="G1288" s="21" t="n">
        <v>123.23</v>
      </c>
      <c r="H1288" s="19" t="n">
        <v>0</v>
      </c>
      <c r="I1288" s="21" t="n">
        <v>123.23</v>
      </c>
      <c r="J1288" s="22" t="s">
        <v>80</v>
      </c>
      <c r="K1288" s="11" t="n">
        <v>40</v>
      </c>
      <c r="L1288" s="23" t="n">
        <v>4.3</v>
      </c>
      <c r="M1288" s="24" t="b">
        <f aca="false">FALSE()</f>
        <v>0</v>
      </c>
      <c r="N1288" s="11"/>
      <c r="O1288" s="11" t="str">
        <f aca="false">IF(K1288&lt;=StockP33,"Low",IF(K1288&lt;=StockP67,"Moderate","High"))</f>
        <v>High</v>
      </c>
      <c r="P1288" s="11" t="str">
        <f aca="false">IF(H1288=0,"Low",IF(H1288&lt;=MarkdownP75,"Moderate","High"))</f>
        <v>Low</v>
      </c>
      <c r="Q1288" s="11" t="str">
        <f aca="false">IF(ISBLANK(L1288),"Unknown",IF(L1288&gt;=4,"Good",IF(L1288&lt;=2,"Poor","Neutral")))</f>
        <v>Good</v>
      </c>
      <c r="R1288" s="11" t="str">
        <f aca="false">IF(AND(O1288="Low",P1288="Low",Q1288="Good"),"BUY / PRIORITIZE",IF(AND(O1288="High",P1288="High",OR(Q1288="Poor",M1288=TRUE())),"HOLD / REVIEW","MONITOR"))</f>
        <v>MONITOR</v>
      </c>
      <c r="S1288" s="11" t="n">
        <f aca="false">K1288+(ROW()/10000000)</f>
        <v>40.0001288</v>
      </c>
    </row>
    <row r="1289" customFormat="false" ht="15" hidden="false" customHeight="false" outlineLevel="0" collapsed="false">
      <c r="A1289" s="11" t="s">
        <v>1599</v>
      </c>
      <c r="B1289" s="11" t="s">
        <v>8</v>
      </c>
      <c r="C1289" s="11" t="s">
        <v>107</v>
      </c>
      <c r="D1289" s="11" t="s">
        <v>37</v>
      </c>
      <c r="E1289" s="11"/>
      <c r="F1289" s="11" t="s">
        <v>74</v>
      </c>
      <c r="G1289" s="21" t="n">
        <v>69.69</v>
      </c>
      <c r="H1289" s="19" t="n">
        <v>0</v>
      </c>
      <c r="I1289" s="21" t="n">
        <v>69.69</v>
      </c>
      <c r="J1289" s="22" t="s">
        <v>80</v>
      </c>
      <c r="K1289" s="11" t="n">
        <v>35</v>
      </c>
      <c r="L1289" s="23" t="n">
        <v>3</v>
      </c>
      <c r="M1289" s="24" t="b">
        <f aca="false">FALSE()</f>
        <v>0</v>
      </c>
      <c r="N1289" s="11"/>
      <c r="O1289" s="11" t="str">
        <f aca="false">IF(K1289&lt;=StockP33,"Low",IF(K1289&lt;=StockP67,"Moderate","High"))</f>
        <v>High</v>
      </c>
      <c r="P1289" s="11" t="str">
        <f aca="false">IF(H1289=0,"Low",IF(H1289&lt;=MarkdownP75,"Moderate","High"))</f>
        <v>Low</v>
      </c>
      <c r="Q1289" s="11" t="str">
        <f aca="false">IF(ISBLANK(L1289),"Unknown",IF(L1289&gt;=4,"Good",IF(L1289&lt;=2,"Poor","Neutral")))</f>
        <v>Neutral</v>
      </c>
      <c r="R1289" s="11" t="str">
        <f aca="false">IF(AND(O1289="Low",P1289="Low",Q1289="Good"),"BUY / PRIORITIZE",IF(AND(O1289="High",P1289="High",OR(Q1289="Poor",M1289=TRUE())),"HOLD / REVIEW","MONITOR"))</f>
        <v>MONITOR</v>
      </c>
      <c r="S1289" s="11" t="n">
        <f aca="false">K1289+(ROW()/10000000)</f>
        <v>35.0001289</v>
      </c>
    </row>
    <row r="1290" customFormat="false" ht="15" hidden="false" customHeight="false" outlineLevel="0" collapsed="false">
      <c r="A1290" s="11" t="s">
        <v>1600</v>
      </c>
      <c r="B1290" s="11" t="s">
        <v>8</v>
      </c>
      <c r="C1290" s="11" t="s">
        <v>86</v>
      </c>
      <c r="D1290" s="11" t="s">
        <v>37</v>
      </c>
      <c r="E1290" s="11"/>
      <c r="F1290" s="11" t="s">
        <v>98</v>
      </c>
      <c r="G1290" s="21" t="n">
        <v>46.15</v>
      </c>
      <c r="H1290" s="19" t="n">
        <v>24.4</v>
      </c>
      <c r="I1290" s="21" t="n">
        <v>34.89</v>
      </c>
      <c r="J1290" s="22" t="s">
        <v>80</v>
      </c>
      <c r="K1290" s="11" t="n">
        <v>31</v>
      </c>
      <c r="L1290" s="23" t="n">
        <v>4.4</v>
      </c>
      <c r="M1290" s="24" t="b">
        <f aca="false">TRUE()</f>
        <v>1</v>
      </c>
      <c r="N1290" s="11" t="s">
        <v>128</v>
      </c>
      <c r="O1290" s="11" t="str">
        <f aca="false">IF(K1290&lt;=StockP33,"Low",IF(K1290&lt;=StockP67,"Moderate","High"))</f>
        <v>Moderate</v>
      </c>
      <c r="P1290" s="11" t="str">
        <f aca="false">IF(H1290=0,"Low",IF(H1290&lt;=MarkdownP75,"Moderate","High"))</f>
        <v>High</v>
      </c>
      <c r="Q1290" s="11" t="str">
        <f aca="false">IF(ISBLANK(L1290),"Unknown",IF(L1290&gt;=4,"Good",IF(L1290&lt;=2,"Poor","Neutral")))</f>
        <v>Good</v>
      </c>
      <c r="R1290" s="11" t="str">
        <f aca="false">IF(AND(O1290="Low",P1290="Low",Q1290="Good"),"BUY / PRIORITIZE",IF(AND(O1290="High",P1290="High",OR(Q1290="Poor",M1290=TRUE())),"HOLD / REVIEW","MONITOR"))</f>
        <v>MONITOR</v>
      </c>
      <c r="S1290" s="11" t="n">
        <f aca="false">K1290+(ROW()/10000000)</f>
        <v>31.000129</v>
      </c>
    </row>
    <row r="1291" customFormat="false" ht="15" hidden="false" customHeight="false" outlineLevel="0" collapsed="false">
      <c r="A1291" s="11" t="s">
        <v>1601</v>
      </c>
      <c r="B1291" s="11" t="s">
        <v>28</v>
      </c>
      <c r="C1291" s="11" t="s">
        <v>101</v>
      </c>
      <c r="D1291" s="11" t="s">
        <v>35</v>
      </c>
      <c r="E1291" s="11" t="s">
        <v>110</v>
      </c>
      <c r="F1291" s="11" t="s">
        <v>118</v>
      </c>
      <c r="G1291" s="21" t="n">
        <v>229.8</v>
      </c>
      <c r="H1291" s="19" t="n">
        <v>0</v>
      </c>
      <c r="I1291" s="21" t="n">
        <v>229.8</v>
      </c>
      <c r="J1291" s="22" t="s">
        <v>80</v>
      </c>
      <c r="K1291" s="11" t="n">
        <v>46</v>
      </c>
      <c r="L1291" s="23" t="n">
        <v>3.6</v>
      </c>
      <c r="M1291" s="24" t="b">
        <f aca="false">FALSE()</f>
        <v>0</v>
      </c>
      <c r="N1291" s="11"/>
      <c r="O1291" s="11" t="str">
        <f aca="false">IF(K1291&lt;=StockP33,"Low",IF(K1291&lt;=StockP67,"Moderate","High"))</f>
        <v>High</v>
      </c>
      <c r="P1291" s="11" t="str">
        <f aca="false">IF(H1291=0,"Low",IF(H1291&lt;=MarkdownP75,"Moderate","High"))</f>
        <v>Low</v>
      </c>
      <c r="Q1291" s="11" t="str">
        <f aca="false">IF(ISBLANK(L1291),"Unknown",IF(L1291&gt;=4,"Good",IF(L1291&lt;=2,"Poor","Neutral")))</f>
        <v>Neutral</v>
      </c>
      <c r="R1291" s="11" t="str">
        <f aca="false">IF(AND(O1291="Low",P1291="Low",Q1291="Good"),"BUY / PRIORITIZE",IF(AND(O1291="High",P1291="High",OR(Q1291="Poor",M1291=TRUE())),"HOLD / REVIEW","MONITOR"))</f>
        <v>MONITOR</v>
      </c>
      <c r="S1291" s="11" t="n">
        <f aca="false">K1291+(ROW()/10000000)</f>
        <v>46.0001291</v>
      </c>
    </row>
    <row r="1292" customFormat="false" ht="15" hidden="false" customHeight="false" outlineLevel="0" collapsed="false">
      <c r="A1292" s="11" t="s">
        <v>1602</v>
      </c>
      <c r="B1292" s="11" t="s">
        <v>28</v>
      </c>
      <c r="C1292" s="11" t="s">
        <v>77</v>
      </c>
      <c r="D1292" s="11" t="s">
        <v>36</v>
      </c>
      <c r="E1292" s="11" t="s">
        <v>110</v>
      </c>
      <c r="F1292" s="11" t="s">
        <v>120</v>
      </c>
      <c r="G1292" s="21" t="n">
        <v>179.44</v>
      </c>
      <c r="H1292" s="19" t="n">
        <v>19.6</v>
      </c>
      <c r="I1292" s="21" t="n">
        <v>144.27</v>
      </c>
      <c r="J1292" s="22" t="s">
        <v>80</v>
      </c>
      <c r="K1292" s="11" t="n">
        <v>42</v>
      </c>
      <c r="L1292" s="23" t="n">
        <v>3</v>
      </c>
      <c r="M1292" s="24" t="b">
        <f aca="false">FALSE()</f>
        <v>0</v>
      </c>
      <c r="N1292" s="11"/>
      <c r="O1292" s="11" t="str">
        <f aca="false">IF(K1292&lt;=StockP33,"Low",IF(K1292&lt;=StockP67,"Moderate","High"))</f>
        <v>High</v>
      </c>
      <c r="P1292" s="11" t="str">
        <f aca="false">IF(H1292=0,"Low",IF(H1292&lt;=MarkdownP75,"Moderate","High"))</f>
        <v>Moderate</v>
      </c>
      <c r="Q1292" s="11" t="str">
        <f aca="false">IF(ISBLANK(L1292),"Unknown",IF(L1292&gt;=4,"Good",IF(L1292&lt;=2,"Poor","Neutral")))</f>
        <v>Neutral</v>
      </c>
      <c r="R1292" s="11" t="str">
        <f aca="false">IF(AND(O1292="Low",P1292="Low",Q1292="Good"),"BUY / PRIORITIZE",IF(AND(O1292="High",P1292="High",OR(Q1292="Poor",M1292=TRUE())),"HOLD / REVIEW","MONITOR"))</f>
        <v>MONITOR</v>
      </c>
      <c r="S1292" s="11" t="n">
        <f aca="false">K1292+(ROW()/10000000)</f>
        <v>42.0001292</v>
      </c>
    </row>
    <row r="1293" customFormat="false" ht="15" hidden="false" customHeight="false" outlineLevel="0" collapsed="false">
      <c r="A1293" s="11" t="s">
        <v>1603</v>
      </c>
      <c r="B1293" s="11" t="s">
        <v>29</v>
      </c>
      <c r="C1293" s="11" t="s">
        <v>86</v>
      </c>
      <c r="D1293" s="11" t="s">
        <v>36</v>
      </c>
      <c r="E1293" s="11" t="s">
        <v>78</v>
      </c>
      <c r="F1293" s="11" t="s">
        <v>98</v>
      </c>
      <c r="G1293" s="21" t="n">
        <v>80.96</v>
      </c>
      <c r="H1293" s="19" t="n">
        <v>56.3</v>
      </c>
      <c r="I1293" s="21" t="n">
        <v>35.38</v>
      </c>
      <c r="J1293" s="22" t="s">
        <v>80</v>
      </c>
      <c r="K1293" s="11" t="n">
        <v>41</v>
      </c>
      <c r="L1293" s="23" t="n">
        <v>2.2</v>
      </c>
      <c r="M1293" s="24" t="b">
        <f aca="false">TRUE()</f>
        <v>1</v>
      </c>
      <c r="N1293" s="11" t="s">
        <v>178</v>
      </c>
      <c r="O1293" s="11" t="str">
        <f aca="false">IF(K1293&lt;=StockP33,"Low",IF(K1293&lt;=StockP67,"Moderate","High"))</f>
        <v>High</v>
      </c>
      <c r="P1293" s="11" t="str">
        <f aca="false">IF(H1293=0,"Low",IF(H1293&lt;=MarkdownP75,"Moderate","High"))</f>
        <v>High</v>
      </c>
      <c r="Q1293" s="11" t="str">
        <f aca="false">IF(ISBLANK(L1293),"Unknown",IF(L1293&gt;=4,"Good",IF(L1293&lt;=2,"Poor","Neutral")))</f>
        <v>Neutral</v>
      </c>
      <c r="R1293" s="11" t="str">
        <f aca="false">IF(AND(O1293="Low",P1293="Low",Q1293="Good"),"BUY / PRIORITIZE",IF(AND(O1293="High",P1293="High",OR(Q1293="Poor",M1293=TRUE())),"HOLD / REVIEW","MONITOR"))</f>
        <v>HOLD / REVIEW</v>
      </c>
      <c r="S1293" s="11" t="n">
        <f aca="false">K1293+(ROW()/10000000)</f>
        <v>41.0001293</v>
      </c>
    </row>
    <row r="1294" customFormat="false" ht="15" hidden="false" customHeight="false" outlineLevel="0" collapsed="false">
      <c r="A1294" s="11" t="s">
        <v>1604</v>
      </c>
      <c r="B1294" s="11" t="s">
        <v>26</v>
      </c>
      <c r="C1294" s="11" t="s">
        <v>77</v>
      </c>
      <c r="D1294" s="11" t="s">
        <v>36</v>
      </c>
      <c r="E1294" s="11" t="s">
        <v>78</v>
      </c>
      <c r="F1294" s="11" t="s">
        <v>98</v>
      </c>
      <c r="G1294" s="21" t="n">
        <v>62.3</v>
      </c>
      <c r="H1294" s="19" t="n">
        <v>19.2</v>
      </c>
      <c r="I1294" s="21" t="n">
        <v>50.34</v>
      </c>
      <c r="J1294" s="22" t="s">
        <v>80</v>
      </c>
      <c r="K1294" s="11" t="n">
        <v>9</v>
      </c>
      <c r="L1294" s="23" t="n">
        <v>2.5</v>
      </c>
      <c r="M1294" s="24" t="b">
        <f aca="false">FALSE()</f>
        <v>0</v>
      </c>
      <c r="N1294" s="11"/>
      <c r="O1294" s="11" t="str">
        <f aca="false">IF(K1294&lt;=StockP33,"Low",IF(K1294&lt;=StockP67,"Moderate","High"))</f>
        <v>Low</v>
      </c>
      <c r="P1294" s="11" t="str">
        <f aca="false">IF(H1294=0,"Low",IF(H1294&lt;=MarkdownP75,"Moderate","High"))</f>
        <v>Moderate</v>
      </c>
      <c r="Q1294" s="11" t="str">
        <f aca="false">IF(ISBLANK(L1294),"Unknown",IF(L1294&gt;=4,"Good",IF(L1294&lt;=2,"Poor","Neutral")))</f>
        <v>Neutral</v>
      </c>
      <c r="R1294" s="11" t="str">
        <f aca="false">IF(AND(O1294="Low",P1294="Low",Q1294="Good"),"BUY / PRIORITIZE",IF(AND(O1294="High",P1294="High",OR(Q1294="Poor",M1294=TRUE())),"HOLD / REVIEW","MONITOR"))</f>
        <v>MONITOR</v>
      </c>
      <c r="S1294" s="11" t="n">
        <f aca="false">K1294+(ROW()/10000000)</f>
        <v>9.0001294</v>
      </c>
    </row>
    <row r="1295" customFormat="false" ht="15" hidden="false" customHeight="false" outlineLevel="0" collapsed="false">
      <c r="A1295" s="11" t="s">
        <v>1605</v>
      </c>
      <c r="B1295" s="11" t="s">
        <v>8</v>
      </c>
      <c r="C1295" s="11" t="s">
        <v>77</v>
      </c>
      <c r="D1295" s="11" t="s">
        <v>36</v>
      </c>
      <c r="E1295" s="11"/>
      <c r="F1295" s="11" t="s">
        <v>111</v>
      </c>
      <c r="G1295" s="21" t="n">
        <v>58.83</v>
      </c>
      <c r="H1295" s="19" t="n">
        <v>12.5</v>
      </c>
      <c r="I1295" s="21" t="n">
        <v>51.48</v>
      </c>
      <c r="J1295" s="22" t="s">
        <v>80</v>
      </c>
      <c r="K1295" s="11" t="n">
        <v>3</v>
      </c>
      <c r="L1295" s="23" t="n">
        <v>1.5</v>
      </c>
      <c r="M1295" s="24" t="b">
        <f aca="false">FALSE()</f>
        <v>0</v>
      </c>
      <c r="N1295" s="11"/>
      <c r="O1295" s="11" t="str">
        <f aca="false">IF(K1295&lt;=StockP33,"Low",IF(K1295&lt;=StockP67,"Moderate","High"))</f>
        <v>Low</v>
      </c>
      <c r="P1295" s="11" t="str">
        <f aca="false">IF(H1295=0,"Low",IF(H1295&lt;=MarkdownP75,"Moderate","High"))</f>
        <v>Moderate</v>
      </c>
      <c r="Q1295" s="11" t="str">
        <f aca="false">IF(ISBLANK(L1295),"Unknown",IF(L1295&gt;=4,"Good",IF(L1295&lt;=2,"Poor","Neutral")))</f>
        <v>Poor</v>
      </c>
      <c r="R1295" s="11" t="str">
        <f aca="false">IF(AND(O1295="Low",P1295="Low",Q1295="Good"),"BUY / PRIORITIZE",IF(AND(O1295="High",P1295="High",OR(Q1295="Poor",M1295=TRUE())),"HOLD / REVIEW","MONITOR"))</f>
        <v>MONITOR</v>
      </c>
      <c r="S1295" s="11" t="n">
        <f aca="false">K1295+(ROW()/10000000)</f>
        <v>3.0001295</v>
      </c>
    </row>
    <row r="1296" customFormat="false" ht="15" hidden="false" customHeight="false" outlineLevel="0" collapsed="false">
      <c r="A1296" s="11" t="s">
        <v>1606</v>
      </c>
      <c r="B1296" s="11" t="s">
        <v>30</v>
      </c>
      <c r="C1296" s="11" t="s">
        <v>101</v>
      </c>
      <c r="D1296" s="11" t="s">
        <v>35</v>
      </c>
      <c r="E1296" s="11" t="s">
        <v>102</v>
      </c>
      <c r="F1296" s="11" t="s">
        <v>118</v>
      </c>
      <c r="G1296" s="21" t="n">
        <v>119.04</v>
      </c>
      <c r="H1296" s="19" t="n">
        <v>1.7</v>
      </c>
      <c r="I1296" s="21" t="n">
        <v>117.02</v>
      </c>
      <c r="J1296" s="22" t="s">
        <v>80</v>
      </c>
      <c r="K1296" s="11" t="n">
        <v>34</v>
      </c>
      <c r="L1296" s="23" t="n">
        <v>4.1</v>
      </c>
      <c r="M1296" s="24" t="b">
        <f aca="false">FALSE()</f>
        <v>0</v>
      </c>
      <c r="N1296" s="11"/>
      <c r="O1296" s="11" t="str">
        <f aca="false">IF(K1296&lt;=StockP33,"Low",IF(K1296&lt;=StockP67,"Moderate","High"))</f>
        <v>High</v>
      </c>
      <c r="P1296" s="11" t="str">
        <f aca="false">IF(H1296=0,"Low",IF(H1296&lt;=MarkdownP75,"Moderate","High"))</f>
        <v>Moderate</v>
      </c>
      <c r="Q1296" s="11" t="str">
        <f aca="false">IF(ISBLANK(L1296),"Unknown",IF(L1296&gt;=4,"Good",IF(L1296&lt;=2,"Poor","Neutral")))</f>
        <v>Good</v>
      </c>
      <c r="R1296" s="11" t="str">
        <f aca="false">IF(AND(O1296="Low",P1296="Low",Q1296="Good"),"BUY / PRIORITIZE",IF(AND(O1296="High",P1296="High",OR(Q1296="Poor",M1296=TRUE())),"HOLD / REVIEW","MONITOR"))</f>
        <v>MONITOR</v>
      </c>
      <c r="S1296" s="11" t="n">
        <f aca="false">K1296+(ROW()/10000000)</f>
        <v>34.0001296</v>
      </c>
    </row>
    <row r="1297" customFormat="false" ht="15" hidden="false" customHeight="false" outlineLevel="0" collapsed="false">
      <c r="A1297" s="11" t="s">
        <v>1607</v>
      </c>
      <c r="B1297" s="11" t="s">
        <v>28</v>
      </c>
      <c r="C1297" s="11" t="s">
        <v>72</v>
      </c>
      <c r="D1297" s="11" t="s">
        <v>35</v>
      </c>
      <c r="E1297" s="11" t="s">
        <v>91</v>
      </c>
      <c r="F1297" s="11" t="s">
        <v>118</v>
      </c>
      <c r="G1297" s="21" t="n">
        <v>80.54</v>
      </c>
      <c r="H1297" s="19" t="n">
        <v>0</v>
      </c>
      <c r="I1297" s="21" t="n">
        <v>80.54</v>
      </c>
      <c r="J1297" s="22" t="s">
        <v>80</v>
      </c>
      <c r="K1297" s="11" t="n">
        <v>3</v>
      </c>
      <c r="L1297" s="23" t="n">
        <v>1.8</v>
      </c>
      <c r="M1297" s="24" t="b">
        <f aca="false">TRUE()</f>
        <v>1</v>
      </c>
      <c r="N1297" s="11" t="s">
        <v>128</v>
      </c>
      <c r="O1297" s="11" t="str">
        <f aca="false">IF(K1297&lt;=StockP33,"Low",IF(K1297&lt;=StockP67,"Moderate","High"))</f>
        <v>Low</v>
      </c>
      <c r="P1297" s="11" t="str">
        <f aca="false">IF(H1297=0,"Low",IF(H1297&lt;=MarkdownP75,"Moderate","High"))</f>
        <v>Low</v>
      </c>
      <c r="Q1297" s="11" t="str">
        <f aca="false">IF(ISBLANK(L1297),"Unknown",IF(L1297&gt;=4,"Good",IF(L1297&lt;=2,"Poor","Neutral")))</f>
        <v>Poor</v>
      </c>
      <c r="R1297" s="11" t="str">
        <f aca="false">IF(AND(O1297="Low",P1297="Low",Q1297="Good"),"BUY / PRIORITIZE",IF(AND(O1297="High",P1297="High",OR(Q1297="Poor",M1297=TRUE())),"HOLD / REVIEW","MONITOR"))</f>
        <v>MONITOR</v>
      </c>
      <c r="S1297" s="11" t="n">
        <f aca="false">K1297+(ROW()/10000000)</f>
        <v>3.0001297</v>
      </c>
    </row>
    <row r="1298" customFormat="false" ht="15" hidden="false" customHeight="false" outlineLevel="0" collapsed="false">
      <c r="A1298" s="11" t="s">
        <v>1608</v>
      </c>
      <c r="B1298" s="11" t="s">
        <v>26</v>
      </c>
      <c r="C1298" s="11" t="s">
        <v>86</v>
      </c>
      <c r="D1298" s="11" t="s">
        <v>37</v>
      </c>
      <c r="E1298" s="11" t="s">
        <v>110</v>
      </c>
      <c r="F1298" s="11" t="s">
        <v>82</v>
      </c>
      <c r="G1298" s="21" t="n">
        <v>47.32</v>
      </c>
      <c r="H1298" s="19" t="n">
        <v>25.7</v>
      </c>
      <c r="I1298" s="21" t="n">
        <v>35.16</v>
      </c>
      <c r="J1298" s="22" t="s">
        <v>80</v>
      </c>
      <c r="K1298" s="11" t="n">
        <v>2</v>
      </c>
      <c r="L1298" s="23" t="n">
        <v>3.2</v>
      </c>
      <c r="M1298" s="24" t="b">
        <f aca="false">FALSE()</f>
        <v>0</v>
      </c>
      <c r="N1298" s="11"/>
      <c r="O1298" s="11" t="str">
        <f aca="false">IF(K1298&lt;=StockP33,"Low",IF(K1298&lt;=StockP67,"Moderate","High"))</f>
        <v>Low</v>
      </c>
      <c r="P1298" s="11" t="str">
        <f aca="false">IF(H1298=0,"Low",IF(H1298&lt;=MarkdownP75,"Moderate","High"))</f>
        <v>High</v>
      </c>
      <c r="Q1298" s="11" t="str">
        <f aca="false">IF(ISBLANK(L1298),"Unknown",IF(L1298&gt;=4,"Good",IF(L1298&lt;=2,"Poor","Neutral")))</f>
        <v>Neutral</v>
      </c>
      <c r="R1298" s="11" t="str">
        <f aca="false">IF(AND(O1298="Low",P1298="Low",Q1298="Good"),"BUY / PRIORITIZE",IF(AND(O1298="High",P1298="High",OR(Q1298="Poor",M1298=TRUE())),"HOLD / REVIEW","MONITOR"))</f>
        <v>MONITOR</v>
      </c>
      <c r="S1298" s="11" t="n">
        <f aca="false">K1298+(ROW()/10000000)</f>
        <v>2.0001298</v>
      </c>
    </row>
    <row r="1299" customFormat="false" ht="15" hidden="false" customHeight="false" outlineLevel="0" collapsed="false">
      <c r="A1299" s="11" t="s">
        <v>1609</v>
      </c>
      <c r="B1299" s="11" t="s">
        <v>29</v>
      </c>
      <c r="C1299" s="11" t="s">
        <v>116</v>
      </c>
      <c r="D1299" s="11" t="s">
        <v>37</v>
      </c>
      <c r="E1299" s="11" t="s">
        <v>73</v>
      </c>
      <c r="F1299" s="11" t="s">
        <v>79</v>
      </c>
      <c r="G1299" s="21" t="n">
        <v>104.57</v>
      </c>
      <c r="H1299" s="19" t="n">
        <v>27.4</v>
      </c>
      <c r="I1299" s="21" t="n">
        <v>75.92</v>
      </c>
      <c r="J1299" s="22" t="s">
        <v>80</v>
      </c>
      <c r="K1299" s="11" t="n">
        <v>7</v>
      </c>
      <c r="L1299" s="23" t="n">
        <v>1</v>
      </c>
      <c r="M1299" s="24" t="b">
        <f aca="false">TRUE()</f>
        <v>1</v>
      </c>
      <c r="N1299" s="11" t="s">
        <v>140</v>
      </c>
      <c r="O1299" s="11" t="str">
        <f aca="false">IF(K1299&lt;=StockP33,"Low",IF(K1299&lt;=StockP67,"Moderate","High"))</f>
        <v>Low</v>
      </c>
      <c r="P1299" s="11" t="str">
        <f aca="false">IF(H1299=0,"Low",IF(H1299&lt;=MarkdownP75,"Moderate","High"))</f>
        <v>High</v>
      </c>
      <c r="Q1299" s="11" t="str">
        <f aca="false">IF(ISBLANK(L1299),"Unknown",IF(L1299&gt;=4,"Good",IF(L1299&lt;=2,"Poor","Neutral")))</f>
        <v>Poor</v>
      </c>
      <c r="R1299" s="11" t="str">
        <f aca="false">IF(AND(O1299="Low",P1299="Low",Q1299="Good"),"BUY / PRIORITIZE",IF(AND(O1299="High",P1299="High",OR(Q1299="Poor",M1299=TRUE())),"HOLD / REVIEW","MONITOR"))</f>
        <v>MONITOR</v>
      </c>
      <c r="S1299" s="11" t="n">
        <f aca="false">K1299+(ROW()/10000000)</f>
        <v>7.0001299</v>
      </c>
    </row>
    <row r="1300" customFormat="false" ht="15" hidden="false" customHeight="false" outlineLevel="0" collapsed="false">
      <c r="A1300" s="11" t="s">
        <v>1610</v>
      </c>
      <c r="B1300" s="11" t="s">
        <v>8</v>
      </c>
      <c r="C1300" s="11" t="s">
        <v>72</v>
      </c>
      <c r="D1300" s="11" t="s">
        <v>37</v>
      </c>
      <c r="E1300" s="11"/>
      <c r="F1300" s="11" t="s">
        <v>96</v>
      </c>
      <c r="G1300" s="21" t="n">
        <v>38.37</v>
      </c>
      <c r="H1300" s="19" t="n">
        <v>23.3</v>
      </c>
      <c r="I1300" s="21" t="n">
        <v>29.43</v>
      </c>
      <c r="J1300" s="22" t="s">
        <v>80</v>
      </c>
      <c r="K1300" s="11" t="n">
        <v>22</v>
      </c>
      <c r="L1300" s="23" t="n">
        <v>1.4</v>
      </c>
      <c r="M1300" s="24" t="b">
        <f aca="false">FALSE()</f>
        <v>0</v>
      </c>
      <c r="N1300" s="11"/>
      <c r="O1300" s="11" t="str">
        <f aca="false">IF(K1300&lt;=StockP33,"Low",IF(K1300&lt;=StockP67,"Moderate","High"))</f>
        <v>Moderate</v>
      </c>
      <c r="P1300" s="11" t="str">
        <f aca="false">IF(H1300=0,"Low",IF(H1300&lt;=MarkdownP75,"Moderate","High"))</f>
        <v>High</v>
      </c>
      <c r="Q1300" s="11" t="str">
        <f aca="false">IF(ISBLANK(L1300),"Unknown",IF(L1300&gt;=4,"Good",IF(L1300&lt;=2,"Poor","Neutral")))</f>
        <v>Poor</v>
      </c>
      <c r="R1300" s="11" t="str">
        <f aca="false">IF(AND(O1300="Low",P1300="Low",Q1300="Good"),"BUY / PRIORITIZE",IF(AND(O1300="High",P1300="High",OR(Q1300="Poor",M1300=TRUE())),"HOLD / REVIEW","MONITOR"))</f>
        <v>MONITOR</v>
      </c>
      <c r="S1300" s="11" t="n">
        <f aca="false">K1300+(ROW()/10000000)</f>
        <v>22.00013</v>
      </c>
    </row>
    <row r="1301" customFormat="false" ht="15" hidden="false" customHeight="false" outlineLevel="0" collapsed="false">
      <c r="A1301" s="11" t="s">
        <v>1611</v>
      </c>
      <c r="B1301" s="11" t="s">
        <v>28</v>
      </c>
      <c r="C1301" s="11" t="s">
        <v>101</v>
      </c>
      <c r="D1301" s="11" t="s">
        <v>37</v>
      </c>
      <c r="E1301" s="11"/>
      <c r="F1301" s="11" t="s">
        <v>74</v>
      </c>
      <c r="G1301" s="21" t="n">
        <v>86.3</v>
      </c>
      <c r="H1301" s="19" t="n">
        <v>0</v>
      </c>
      <c r="I1301" s="21" t="n">
        <v>86.3</v>
      </c>
      <c r="J1301" s="22" t="s">
        <v>80</v>
      </c>
      <c r="K1301" s="11" t="n">
        <v>33</v>
      </c>
      <c r="L1301" s="23" t="n">
        <v>3.9</v>
      </c>
      <c r="M1301" s="24" t="b">
        <f aca="false">FALSE()</f>
        <v>0</v>
      </c>
      <c r="N1301" s="11"/>
      <c r="O1301" s="11" t="str">
        <f aca="false">IF(K1301&lt;=StockP33,"Low",IF(K1301&lt;=StockP67,"Moderate","High"))</f>
        <v>Moderate</v>
      </c>
      <c r="P1301" s="11" t="str">
        <f aca="false">IF(H1301=0,"Low",IF(H1301&lt;=MarkdownP75,"Moderate","High"))</f>
        <v>Low</v>
      </c>
      <c r="Q1301" s="11" t="str">
        <f aca="false">IF(ISBLANK(L1301),"Unknown",IF(L1301&gt;=4,"Good",IF(L1301&lt;=2,"Poor","Neutral")))</f>
        <v>Neutral</v>
      </c>
      <c r="R1301" s="11" t="str">
        <f aca="false">IF(AND(O1301="Low",P1301="Low",Q1301="Good"),"BUY / PRIORITIZE",IF(AND(O1301="High",P1301="High",OR(Q1301="Poor",M1301=TRUE())),"HOLD / REVIEW","MONITOR"))</f>
        <v>MONITOR</v>
      </c>
      <c r="S1301" s="11" t="n">
        <f aca="false">K1301+(ROW()/10000000)</f>
        <v>33.0001301</v>
      </c>
    </row>
    <row r="1302" customFormat="false" ht="15" hidden="false" customHeight="false" outlineLevel="0" collapsed="false">
      <c r="A1302" s="11" t="s">
        <v>1612</v>
      </c>
      <c r="B1302" s="11" t="s">
        <v>8</v>
      </c>
      <c r="C1302" s="11" t="s">
        <v>95</v>
      </c>
      <c r="D1302" s="11" t="s">
        <v>37</v>
      </c>
      <c r="E1302" s="11"/>
      <c r="F1302" s="11" t="s">
        <v>120</v>
      </c>
      <c r="G1302" s="21" t="n">
        <v>64.89</v>
      </c>
      <c r="H1302" s="19" t="n">
        <v>4.2</v>
      </c>
      <c r="I1302" s="21" t="n">
        <v>62.16</v>
      </c>
      <c r="J1302" s="22" t="s">
        <v>80</v>
      </c>
      <c r="K1302" s="11" t="n">
        <v>40</v>
      </c>
      <c r="L1302" s="23" t="n">
        <v>1.4</v>
      </c>
      <c r="M1302" s="24" t="b">
        <f aca="false">FALSE()</f>
        <v>0</v>
      </c>
      <c r="N1302" s="11"/>
      <c r="O1302" s="11" t="str">
        <f aca="false">IF(K1302&lt;=StockP33,"Low",IF(K1302&lt;=StockP67,"Moderate","High"))</f>
        <v>High</v>
      </c>
      <c r="P1302" s="11" t="str">
        <f aca="false">IF(H1302=0,"Low",IF(H1302&lt;=MarkdownP75,"Moderate","High"))</f>
        <v>Moderate</v>
      </c>
      <c r="Q1302" s="11" t="str">
        <f aca="false">IF(ISBLANK(L1302),"Unknown",IF(L1302&gt;=4,"Good",IF(L1302&lt;=2,"Poor","Neutral")))</f>
        <v>Poor</v>
      </c>
      <c r="R1302" s="11" t="str">
        <f aca="false">IF(AND(O1302="Low",P1302="Low",Q1302="Good"),"BUY / PRIORITIZE",IF(AND(O1302="High",P1302="High",OR(Q1302="Poor",M1302=TRUE())),"HOLD / REVIEW","MONITOR"))</f>
        <v>MONITOR</v>
      </c>
      <c r="S1302" s="11" t="n">
        <f aca="false">K1302+(ROW()/10000000)</f>
        <v>40.0001302</v>
      </c>
    </row>
    <row r="1303" customFormat="false" ht="15" hidden="false" customHeight="false" outlineLevel="0" collapsed="false">
      <c r="A1303" s="11" t="s">
        <v>1613</v>
      </c>
      <c r="B1303" s="11" t="s">
        <v>8</v>
      </c>
      <c r="C1303" s="11" t="s">
        <v>95</v>
      </c>
      <c r="D1303" s="11" t="s">
        <v>36</v>
      </c>
      <c r="E1303" s="11"/>
      <c r="F1303" s="11" t="s">
        <v>118</v>
      </c>
      <c r="G1303" s="21" t="n">
        <v>53.64</v>
      </c>
      <c r="H1303" s="19" t="n">
        <v>0</v>
      </c>
      <c r="I1303" s="21" t="n">
        <v>53.64</v>
      </c>
      <c r="J1303" s="22" t="s">
        <v>80</v>
      </c>
      <c r="K1303" s="11" t="n">
        <v>18</v>
      </c>
      <c r="L1303" s="23" t="n">
        <v>2.3</v>
      </c>
      <c r="M1303" s="24" t="b">
        <f aca="false">FALSE()</f>
        <v>0</v>
      </c>
      <c r="N1303" s="11"/>
      <c r="O1303" s="11" t="str">
        <f aca="false">IF(K1303&lt;=StockP33,"Low",IF(K1303&lt;=StockP67,"Moderate","High"))</f>
        <v>Moderate</v>
      </c>
      <c r="P1303" s="11" t="str">
        <f aca="false">IF(H1303=0,"Low",IF(H1303&lt;=MarkdownP75,"Moderate","High"))</f>
        <v>Low</v>
      </c>
      <c r="Q1303" s="11" t="str">
        <f aca="false">IF(ISBLANK(L1303),"Unknown",IF(L1303&gt;=4,"Good",IF(L1303&lt;=2,"Poor","Neutral")))</f>
        <v>Neutral</v>
      </c>
      <c r="R1303" s="11" t="str">
        <f aca="false">IF(AND(O1303="Low",P1303="Low",Q1303="Good"),"BUY / PRIORITIZE",IF(AND(O1303="High",P1303="High",OR(Q1303="Poor",M1303=TRUE())),"HOLD / REVIEW","MONITOR"))</f>
        <v>MONITOR</v>
      </c>
      <c r="S1303" s="11" t="n">
        <f aca="false">K1303+(ROW()/10000000)</f>
        <v>18.0001303</v>
      </c>
    </row>
    <row r="1304" customFormat="false" ht="15" hidden="false" customHeight="false" outlineLevel="0" collapsed="false">
      <c r="A1304" s="11" t="s">
        <v>1614</v>
      </c>
      <c r="B1304" s="11" t="s">
        <v>27</v>
      </c>
      <c r="C1304" s="11" t="s">
        <v>95</v>
      </c>
      <c r="D1304" s="11" t="s">
        <v>35</v>
      </c>
      <c r="E1304" s="11" t="s">
        <v>102</v>
      </c>
      <c r="F1304" s="11" t="s">
        <v>79</v>
      </c>
      <c r="G1304" s="21" t="n">
        <v>113.81</v>
      </c>
      <c r="H1304" s="19" t="n">
        <v>9.2</v>
      </c>
      <c r="I1304" s="21" t="n">
        <v>103.34</v>
      </c>
      <c r="J1304" s="22" t="s">
        <v>80</v>
      </c>
      <c r="K1304" s="11" t="n">
        <v>11</v>
      </c>
      <c r="L1304" s="23" t="n">
        <v>2.4</v>
      </c>
      <c r="M1304" s="24" t="b">
        <f aca="false">FALSE()</f>
        <v>0</v>
      </c>
      <c r="N1304" s="11"/>
      <c r="O1304" s="11" t="str">
        <f aca="false">IF(K1304&lt;=StockP33,"Low",IF(K1304&lt;=StockP67,"Moderate","High"))</f>
        <v>Low</v>
      </c>
      <c r="P1304" s="11" t="str">
        <f aca="false">IF(H1304=0,"Low",IF(H1304&lt;=MarkdownP75,"Moderate","High"))</f>
        <v>Moderate</v>
      </c>
      <c r="Q1304" s="11" t="str">
        <f aca="false">IF(ISBLANK(L1304),"Unknown",IF(L1304&gt;=4,"Good",IF(L1304&lt;=2,"Poor","Neutral")))</f>
        <v>Neutral</v>
      </c>
      <c r="R1304" s="11" t="str">
        <f aca="false">IF(AND(O1304="Low",P1304="Low",Q1304="Good"),"BUY / PRIORITIZE",IF(AND(O1304="High",P1304="High",OR(Q1304="Poor",M1304=TRUE())),"HOLD / REVIEW","MONITOR"))</f>
        <v>MONITOR</v>
      </c>
      <c r="S1304" s="11" t="n">
        <f aca="false">K1304+(ROW()/10000000)</f>
        <v>11.0001304</v>
      </c>
    </row>
    <row r="1305" customFormat="false" ht="15" hidden="false" customHeight="false" outlineLevel="0" collapsed="false">
      <c r="A1305" s="11" t="s">
        <v>1615</v>
      </c>
      <c r="B1305" s="11" t="s">
        <v>30</v>
      </c>
      <c r="C1305" s="11" t="s">
        <v>107</v>
      </c>
      <c r="D1305" s="11" t="s">
        <v>35</v>
      </c>
      <c r="E1305" s="11" t="s">
        <v>102</v>
      </c>
      <c r="F1305" s="11" t="s">
        <v>111</v>
      </c>
      <c r="G1305" s="21" t="n">
        <v>40.12</v>
      </c>
      <c r="H1305" s="19" t="n">
        <v>27.7</v>
      </c>
      <c r="I1305" s="21" t="n">
        <v>29.01</v>
      </c>
      <c r="J1305" s="22" t="s">
        <v>80</v>
      </c>
      <c r="K1305" s="11" t="n">
        <v>29</v>
      </c>
      <c r="L1305" s="23" t="n">
        <v>1.7</v>
      </c>
      <c r="M1305" s="24" t="b">
        <f aca="false">TRUE()</f>
        <v>1</v>
      </c>
      <c r="N1305" s="11" t="s">
        <v>128</v>
      </c>
      <c r="O1305" s="11" t="str">
        <f aca="false">IF(K1305&lt;=StockP33,"Low",IF(K1305&lt;=StockP67,"Moderate","High"))</f>
        <v>Moderate</v>
      </c>
      <c r="P1305" s="11" t="str">
        <f aca="false">IF(H1305=0,"Low",IF(H1305&lt;=MarkdownP75,"Moderate","High"))</f>
        <v>High</v>
      </c>
      <c r="Q1305" s="11" t="str">
        <f aca="false">IF(ISBLANK(L1305),"Unknown",IF(L1305&gt;=4,"Good",IF(L1305&lt;=2,"Poor","Neutral")))</f>
        <v>Poor</v>
      </c>
      <c r="R1305" s="11" t="str">
        <f aca="false">IF(AND(O1305="Low",P1305="Low",Q1305="Good"),"BUY / PRIORITIZE",IF(AND(O1305="High",P1305="High",OR(Q1305="Poor",M1305=TRUE())),"HOLD / REVIEW","MONITOR"))</f>
        <v>MONITOR</v>
      </c>
      <c r="S1305" s="11" t="n">
        <f aca="false">K1305+(ROW()/10000000)</f>
        <v>29.0001305</v>
      </c>
    </row>
    <row r="1306" customFormat="false" ht="15" hidden="false" customHeight="false" outlineLevel="0" collapsed="false">
      <c r="A1306" s="11" t="s">
        <v>1616</v>
      </c>
      <c r="B1306" s="11" t="s">
        <v>30</v>
      </c>
      <c r="C1306" s="11" t="s">
        <v>116</v>
      </c>
      <c r="D1306" s="11" t="s">
        <v>37</v>
      </c>
      <c r="E1306" s="11" t="s">
        <v>113</v>
      </c>
      <c r="F1306" s="11" t="s">
        <v>82</v>
      </c>
      <c r="G1306" s="21" t="n">
        <v>49.64</v>
      </c>
      <c r="H1306" s="19" t="n">
        <v>30.9</v>
      </c>
      <c r="I1306" s="21" t="n">
        <v>34.3</v>
      </c>
      <c r="J1306" s="22" t="s">
        <v>80</v>
      </c>
      <c r="K1306" s="11" t="n">
        <v>21</v>
      </c>
      <c r="L1306" s="23" t="n">
        <v>2</v>
      </c>
      <c r="M1306" s="24" t="b">
        <f aca="false">FALSE()</f>
        <v>0</v>
      </c>
      <c r="N1306" s="11"/>
      <c r="O1306" s="11" t="str">
        <f aca="false">IF(K1306&lt;=StockP33,"Low",IF(K1306&lt;=StockP67,"Moderate","High"))</f>
        <v>Moderate</v>
      </c>
      <c r="P1306" s="11" t="str">
        <f aca="false">IF(H1306=0,"Low",IF(H1306&lt;=MarkdownP75,"Moderate","High"))</f>
        <v>High</v>
      </c>
      <c r="Q1306" s="11" t="str">
        <f aca="false">IF(ISBLANK(L1306),"Unknown",IF(L1306&gt;=4,"Good",IF(L1306&lt;=2,"Poor","Neutral")))</f>
        <v>Poor</v>
      </c>
      <c r="R1306" s="11" t="str">
        <f aca="false">IF(AND(O1306="Low",P1306="Low",Q1306="Good"),"BUY / PRIORITIZE",IF(AND(O1306="High",P1306="High",OR(Q1306="Poor",M1306=TRUE())),"HOLD / REVIEW","MONITOR"))</f>
        <v>MONITOR</v>
      </c>
      <c r="S1306" s="11" t="n">
        <f aca="false">K1306+(ROW()/10000000)</f>
        <v>21.0001306</v>
      </c>
    </row>
    <row r="1307" customFormat="false" ht="15" hidden="false" customHeight="false" outlineLevel="0" collapsed="false">
      <c r="A1307" s="11" t="s">
        <v>1617</v>
      </c>
      <c r="B1307" s="11" t="s">
        <v>26</v>
      </c>
      <c r="C1307" s="11" t="s">
        <v>130</v>
      </c>
      <c r="D1307" s="11" t="s">
        <v>35</v>
      </c>
      <c r="E1307" s="11" t="s">
        <v>78</v>
      </c>
      <c r="F1307" s="11" t="s">
        <v>124</v>
      </c>
      <c r="G1307" s="21" t="n">
        <v>117.64</v>
      </c>
      <c r="H1307" s="19" t="n">
        <v>54.2</v>
      </c>
      <c r="I1307" s="21" t="n">
        <v>53.88</v>
      </c>
      <c r="J1307" s="22" t="s">
        <v>80</v>
      </c>
      <c r="K1307" s="11" t="n">
        <v>25</v>
      </c>
      <c r="L1307" s="23" t="n">
        <v>4.6</v>
      </c>
      <c r="M1307" s="24" t="b">
        <f aca="false">TRUE()</f>
        <v>1</v>
      </c>
      <c r="N1307" s="11" t="s">
        <v>191</v>
      </c>
      <c r="O1307" s="11" t="str">
        <f aca="false">IF(K1307&lt;=StockP33,"Low",IF(K1307&lt;=StockP67,"Moderate","High"))</f>
        <v>Moderate</v>
      </c>
      <c r="P1307" s="11" t="str">
        <f aca="false">IF(H1307=0,"Low",IF(H1307&lt;=MarkdownP75,"Moderate","High"))</f>
        <v>High</v>
      </c>
      <c r="Q1307" s="11" t="str">
        <f aca="false">IF(ISBLANK(L1307),"Unknown",IF(L1307&gt;=4,"Good",IF(L1307&lt;=2,"Poor","Neutral")))</f>
        <v>Good</v>
      </c>
      <c r="R1307" s="11" t="str">
        <f aca="false">IF(AND(O1307="Low",P1307="Low",Q1307="Good"),"BUY / PRIORITIZE",IF(AND(O1307="High",P1307="High",OR(Q1307="Poor",M1307=TRUE())),"HOLD / REVIEW","MONITOR"))</f>
        <v>MONITOR</v>
      </c>
      <c r="S1307" s="11" t="n">
        <f aca="false">K1307+(ROW()/10000000)</f>
        <v>25.0001307</v>
      </c>
    </row>
    <row r="1308" customFormat="false" ht="15" hidden="false" customHeight="false" outlineLevel="0" collapsed="false">
      <c r="A1308" s="11" t="s">
        <v>1618</v>
      </c>
      <c r="B1308" s="11" t="s">
        <v>8</v>
      </c>
      <c r="C1308" s="11" t="s">
        <v>95</v>
      </c>
      <c r="D1308" s="11" t="s">
        <v>35</v>
      </c>
      <c r="E1308" s="11"/>
      <c r="F1308" s="11" t="s">
        <v>74</v>
      </c>
      <c r="G1308" s="21" t="n">
        <v>69.78</v>
      </c>
      <c r="H1308" s="19" t="n">
        <v>3.7</v>
      </c>
      <c r="I1308" s="21" t="n">
        <v>67.2</v>
      </c>
      <c r="J1308" s="22" t="s">
        <v>80</v>
      </c>
      <c r="K1308" s="11" t="n">
        <v>14</v>
      </c>
      <c r="L1308" s="23" t="n">
        <v>3.2</v>
      </c>
      <c r="M1308" s="24" t="b">
        <f aca="false">FALSE()</f>
        <v>0</v>
      </c>
      <c r="N1308" s="11"/>
      <c r="O1308" s="11" t="str">
        <f aca="false">IF(K1308&lt;=StockP33,"Low",IF(K1308&lt;=StockP67,"Moderate","High"))</f>
        <v>Low</v>
      </c>
      <c r="P1308" s="11" t="str">
        <f aca="false">IF(H1308=0,"Low",IF(H1308&lt;=MarkdownP75,"Moderate","High"))</f>
        <v>Moderate</v>
      </c>
      <c r="Q1308" s="11" t="str">
        <f aca="false">IF(ISBLANK(L1308),"Unknown",IF(L1308&gt;=4,"Good",IF(L1308&lt;=2,"Poor","Neutral")))</f>
        <v>Neutral</v>
      </c>
      <c r="R1308" s="11" t="str">
        <f aca="false">IF(AND(O1308="Low",P1308="Low",Q1308="Good"),"BUY / PRIORITIZE",IF(AND(O1308="High",P1308="High",OR(Q1308="Poor",M1308=TRUE())),"HOLD / REVIEW","MONITOR"))</f>
        <v>MONITOR</v>
      </c>
      <c r="S1308" s="11" t="n">
        <f aca="false">K1308+(ROW()/10000000)</f>
        <v>14.0001308</v>
      </c>
    </row>
    <row r="1309" customFormat="false" ht="15" hidden="false" customHeight="false" outlineLevel="0" collapsed="false">
      <c r="A1309" s="11" t="s">
        <v>1619</v>
      </c>
      <c r="B1309" s="11" t="s">
        <v>8</v>
      </c>
      <c r="C1309" s="11" t="s">
        <v>130</v>
      </c>
      <c r="D1309" s="11" t="s">
        <v>34</v>
      </c>
      <c r="E1309" s="11"/>
      <c r="F1309" s="11" t="s">
        <v>88</v>
      </c>
      <c r="G1309" s="21" t="n">
        <v>29.91</v>
      </c>
      <c r="H1309" s="19" t="n">
        <v>18.4</v>
      </c>
      <c r="I1309" s="21" t="n">
        <v>24.41</v>
      </c>
      <c r="J1309" s="22" t="s">
        <v>1620</v>
      </c>
      <c r="K1309" s="11" t="n">
        <v>10</v>
      </c>
      <c r="L1309" s="23" t="n">
        <v>4.9</v>
      </c>
      <c r="M1309" s="24" t="b">
        <f aca="false">FALSE()</f>
        <v>0</v>
      </c>
      <c r="N1309" s="11"/>
      <c r="O1309" s="11" t="str">
        <f aca="false">IF(K1309&lt;=StockP33,"Low",IF(K1309&lt;=StockP67,"Moderate","High"))</f>
        <v>Low</v>
      </c>
      <c r="P1309" s="11" t="str">
        <f aca="false">IF(H1309=0,"Low",IF(H1309&lt;=MarkdownP75,"Moderate","High"))</f>
        <v>Moderate</v>
      </c>
      <c r="Q1309" s="11" t="str">
        <f aca="false">IF(ISBLANK(L1309),"Unknown",IF(L1309&gt;=4,"Good",IF(L1309&lt;=2,"Poor","Neutral")))</f>
        <v>Good</v>
      </c>
      <c r="R1309" s="11" t="str">
        <f aca="false">IF(AND(O1309="Low",P1309="Low",Q1309="Good"),"BUY / PRIORITIZE",IF(AND(O1309="High",P1309="High",OR(Q1309="Poor",M1309=TRUE())),"HOLD / REVIEW","MONITOR"))</f>
        <v>MONITOR</v>
      </c>
      <c r="S1309" s="11" t="n">
        <f aca="false">K1309+(ROW()/10000000)</f>
        <v>10.0001309</v>
      </c>
    </row>
    <row r="1310" customFormat="false" ht="15" hidden="false" customHeight="false" outlineLevel="0" collapsed="false">
      <c r="A1310" s="11" t="s">
        <v>1621</v>
      </c>
      <c r="B1310" s="11" t="s">
        <v>29</v>
      </c>
      <c r="C1310" s="11" t="s">
        <v>101</v>
      </c>
      <c r="D1310" s="11" t="s">
        <v>36</v>
      </c>
      <c r="E1310" s="11" t="s">
        <v>73</v>
      </c>
      <c r="F1310" s="11" t="s">
        <v>82</v>
      </c>
      <c r="G1310" s="21" t="n">
        <v>187.11</v>
      </c>
      <c r="H1310" s="19" t="n">
        <v>43.3</v>
      </c>
      <c r="I1310" s="21" t="n">
        <v>106.09</v>
      </c>
      <c r="J1310" s="22" t="s">
        <v>80</v>
      </c>
      <c r="K1310" s="11" t="n">
        <v>26</v>
      </c>
      <c r="L1310" s="23" t="n">
        <v>3</v>
      </c>
      <c r="M1310" s="24" t="b">
        <f aca="false">FALSE()</f>
        <v>0</v>
      </c>
      <c r="N1310" s="11"/>
      <c r="O1310" s="11" t="str">
        <f aca="false">IF(K1310&lt;=StockP33,"Low",IF(K1310&lt;=StockP67,"Moderate","High"))</f>
        <v>Moderate</v>
      </c>
      <c r="P1310" s="11" t="str">
        <f aca="false">IF(H1310=0,"Low",IF(H1310&lt;=MarkdownP75,"Moderate","High"))</f>
        <v>High</v>
      </c>
      <c r="Q1310" s="11" t="str">
        <f aca="false">IF(ISBLANK(L1310),"Unknown",IF(L1310&gt;=4,"Good",IF(L1310&lt;=2,"Poor","Neutral")))</f>
        <v>Neutral</v>
      </c>
      <c r="R1310" s="11" t="str">
        <f aca="false">IF(AND(O1310="Low",P1310="Low",Q1310="Good"),"BUY / PRIORITIZE",IF(AND(O1310="High",P1310="High",OR(Q1310="Poor",M1310=TRUE())),"HOLD / REVIEW","MONITOR"))</f>
        <v>MONITOR</v>
      </c>
      <c r="S1310" s="11" t="n">
        <f aca="false">K1310+(ROW()/10000000)</f>
        <v>26.000131</v>
      </c>
    </row>
    <row r="1311" customFormat="false" ht="15" hidden="false" customHeight="false" outlineLevel="0" collapsed="false">
      <c r="A1311" s="11" t="s">
        <v>1622</v>
      </c>
      <c r="B1311" s="11" t="s">
        <v>8</v>
      </c>
      <c r="C1311" s="11" t="s">
        <v>107</v>
      </c>
      <c r="D1311" s="11" t="s">
        <v>35</v>
      </c>
      <c r="E1311" s="11"/>
      <c r="F1311" s="11" t="s">
        <v>111</v>
      </c>
      <c r="G1311" s="21" t="n">
        <v>40.04</v>
      </c>
      <c r="H1311" s="19" t="n">
        <v>15.8</v>
      </c>
      <c r="I1311" s="21" t="n">
        <v>33.71</v>
      </c>
      <c r="J1311" s="22" t="s">
        <v>80</v>
      </c>
      <c r="K1311" s="11" t="n">
        <v>31</v>
      </c>
      <c r="L1311" s="23" t="n">
        <v>1.8</v>
      </c>
      <c r="M1311" s="24" t="b">
        <f aca="false">FALSE()</f>
        <v>0</v>
      </c>
      <c r="N1311" s="11"/>
      <c r="O1311" s="11" t="str">
        <f aca="false">IF(K1311&lt;=StockP33,"Low",IF(K1311&lt;=StockP67,"Moderate","High"))</f>
        <v>Moderate</v>
      </c>
      <c r="P1311" s="11" t="str">
        <f aca="false">IF(H1311=0,"Low",IF(H1311&lt;=MarkdownP75,"Moderate","High"))</f>
        <v>Moderate</v>
      </c>
      <c r="Q1311" s="11" t="str">
        <f aca="false">IF(ISBLANK(L1311),"Unknown",IF(L1311&gt;=4,"Good",IF(L1311&lt;=2,"Poor","Neutral")))</f>
        <v>Poor</v>
      </c>
      <c r="R1311" s="11" t="str">
        <f aca="false">IF(AND(O1311="Low",P1311="Low",Q1311="Good"),"BUY / PRIORITIZE",IF(AND(O1311="High",P1311="High",OR(Q1311="Poor",M1311=TRUE())),"HOLD / REVIEW","MONITOR"))</f>
        <v>MONITOR</v>
      </c>
      <c r="S1311" s="11" t="n">
        <f aca="false">K1311+(ROW()/10000000)</f>
        <v>31.0001311</v>
      </c>
    </row>
    <row r="1312" customFormat="false" ht="15" hidden="false" customHeight="false" outlineLevel="0" collapsed="false">
      <c r="A1312" s="11" t="s">
        <v>1623</v>
      </c>
      <c r="B1312" s="11" t="s">
        <v>27</v>
      </c>
      <c r="C1312" s="11" t="s">
        <v>95</v>
      </c>
      <c r="D1312" s="11" t="s">
        <v>34</v>
      </c>
      <c r="E1312" s="11" t="s">
        <v>110</v>
      </c>
      <c r="F1312" s="11" t="s">
        <v>111</v>
      </c>
      <c r="G1312" s="21" t="n">
        <v>113.44</v>
      </c>
      <c r="H1312" s="19" t="n">
        <v>23.4</v>
      </c>
      <c r="I1312" s="21" t="n">
        <v>86.9</v>
      </c>
      <c r="J1312" s="22" t="s">
        <v>1416</v>
      </c>
      <c r="K1312" s="11" t="n">
        <v>1</v>
      </c>
      <c r="L1312" s="23"/>
      <c r="M1312" s="24" t="b">
        <f aca="false">FALSE()</f>
        <v>0</v>
      </c>
      <c r="N1312" s="11"/>
      <c r="O1312" s="11" t="str">
        <f aca="false">IF(K1312&lt;=StockP33,"Low",IF(K1312&lt;=StockP67,"Moderate","High"))</f>
        <v>Low</v>
      </c>
      <c r="P1312" s="11" t="str">
        <f aca="false">IF(H1312=0,"Low",IF(H1312&lt;=MarkdownP75,"Moderate","High"))</f>
        <v>High</v>
      </c>
      <c r="Q1312" s="11" t="str">
        <f aca="false">IF(ISBLANK(L1312),"Unknown",IF(L1312&gt;=4,"Good",IF(L1312&lt;=2,"Poor","Neutral")))</f>
        <v>Unknown</v>
      </c>
      <c r="R1312" s="11" t="str">
        <f aca="false">IF(AND(O1312="Low",P1312="Low",Q1312="Good"),"BUY / PRIORITIZE",IF(AND(O1312="High",P1312="High",OR(Q1312="Poor",M1312=TRUE())),"HOLD / REVIEW","MONITOR"))</f>
        <v>MONITOR</v>
      </c>
      <c r="S1312" s="11" t="n">
        <f aca="false">K1312+(ROW()/10000000)</f>
        <v>1.0001312</v>
      </c>
    </row>
    <row r="1313" customFormat="false" ht="15" hidden="false" customHeight="false" outlineLevel="0" collapsed="false">
      <c r="A1313" s="11" t="s">
        <v>1624</v>
      </c>
      <c r="B1313" s="11" t="s">
        <v>26</v>
      </c>
      <c r="C1313" s="11" t="s">
        <v>72</v>
      </c>
      <c r="D1313" s="11" t="s">
        <v>34</v>
      </c>
      <c r="E1313" s="11" t="s">
        <v>91</v>
      </c>
      <c r="F1313" s="11" t="s">
        <v>92</v>
      </c>
      <c r="G1313" s="21" t="n">
        <v>119.84</v>
      </c>
      <c r="H1313" s="19" t="n">
        <v>0</v>
      </c>
      <c r="I1313" s="21" t="n">
        <v>119.84</v>
      </c>
      <c r="J1313" s="22" t="s">
        <v>431</v>
      </c>
      <c r="K1313" s="11" t="n">
        <v>47</v>
      </c>
      <c r="L1313" s="23" t="n">
        <v>1.4</v>
      </c>
      <c r="M1313" s="24" t="b">
        <f aca="false">FALSE()</f>
        <v>0</v>
      </c>
      <c r="N1313" s="11"/>
      <c r="O1313" s="11" t="str">
        <f aca="false">IF(K1313&lt;=StockP33,"Low",IF(K1313&lt;=StockP67,"Moderate","High"))</f>
        <v>High</v>
      </c>
      <c r="P1313" s="11" t="str">
        <f aca="false">IF(H1313=0,"Low",IF(H1313&lt;=MarkdownP75,"Moderate","High"))</f>
        <v>Low</v>
      </c>
      <c r="Q1313" s="11" t="str">
        <f aca="false">IF(ISBLANK(L1313),"Unknown",IF(L1313&gt;=4,"Good",IF(L1313&lt;=2,"Poor","Neutral")))</f>
        <v>Poor</v>
      </c>
      <c r="R1313" s="11" t="str">
        <f aca="false">IF(AND(O1313="Low",P1313="Low",Q1313="Good"),"BUY / PRIORITIZE",IF(AND(O1313="High",P1313="High",OR(Q1313="Poor",M1313=TRUE())),"HOLD / REVIEW","MONITOR"))</f>
        <v>MONITOR</v>
      </c>
      <c r="S1313" s="11" t="n">
        <f aca="false">K1313+(ROW()/10000000)</f>
        <v>47.0001313</v>
      </c>
    </row>
    <row r="1314" customFormat="false" ht="15" hidden="false" customHeight="false" outlineLevel="0" collapsed="false">
      <c r="A1314" s="11" t="s">
        <v>1625</v>
      </c>
      <c r="B1314" s="11" t="s">
        <v>29</v>
      </c>
      <c r="C1314" s="11" t="s">
        <v>77</v>
      </c>
      <c r="D1314" s="11" t="s">
        <v>36</v>
      </c>
      <c r="E1314" s="11" t="s">
        <v>102</v>
      </c>
      <c r="F1314" s="11" t="s">
        <v>124</v>
      </c>
      <c r="G1314" s="21" t="n">
        <v>167.27</v>
      </c>
      <c r="H1314" s="19" t="n">
        <v>0</v>
      </c>
      <c r="I1314" s="21" t="n">
        <v>167.27</v>
      </c>
      <c r="J1314" s="22" t="s">
        <v>80</v>
      </c>
      <c r="K1314" s="11" t="n">
        <v>9</v>
      </c>
      <c r="L1314" s="23" t="n">
        <v>4</v>
      </c>
      <c r="M1314" s="24" t="b">
        <f aca="false">FALSE()</f>
        <v>0</v>
      </c>
      <c r="N1314" s="11"/>
      <c r="O1314" s="11" t="str">
        <f aca="false">IF(K1314&lt;=StockP33,"Low",IF(K1314&lt;=StockP67,"Moderate","High"))</f>
        <v>Low</v>
      </c>
      <c r="P1314" s="11" t="str">
        <f aca="false">IF(H1314=0,"Low",IF(H1314&lt;=MarkdownP75,"Moderate","High"))</f>
        <v>Low</v>
      </c>
      <c r="Q1314" s="11" t="str">
        <f aca="false">IF(ISBLANK(L1314),"Unknown",IF(L1314&gt;=4,"Good",IF(L1314&lt;=2,"Poor","Neutral")))</f>
        <v>Good</v>
      </c>
      <c r="R1314" s="11" t="str">
        <f aca="false">IF(AND(O1314="Low",P1314="Low",Q1314="Good"),"BUY / PRIORITIZE",IF(AND(O1314="High",P1314="High",OR(Q1314="Poor",M1314=TRUE())),"HOLD / REVIEW","MONITOR"))</f>
        <v>BUY / PRIORITIZE</v>
      </c>
      <c r="S1314" s="11" t="n">
        <f aca="false">K1314+(ROW()/10000000)</f>
        <v>9.0001314</v>
      </c>
    </row>
    <row r="1315" customFormat="false" ht="15" hidden="false" customHeight="false" outlineLevel="0" collapsed="false">
      <c r="A1315" s="11" t="s">
        <v>1626</v>
      </c>
      <c r="B1315" s="11" t="s">
        <v>27</v>
      </c>
      <c r="C1315" s="11" t="s">
        <v>86</v>
      </c>
      <c r="D1315" s="11" t="s">
        <v>34</v>
      </c>
      <c r="E1315" s="11" t="s">
        <v>73</v>
      </c>
      <c r="F1315" s="11" t="s">
        <v>96</v>
      </c>
      <c r="G1315" s="21" t="n">
        <v>148</v>
      </c>
      <c r="H1315" s="19" t="n">
        <v>1.1</v>
      </c>
      <c r="I1315" s="21" t="n">
        <v>146.37</v>
      </c>
      <c r="J1315" s="22" t="s">
        <v>565</v>
      </c>
      <c r="K1315" s="11" t="n">
        <v>43</v>
      </c>
      <c r="L1315" s="23" t="n">
        <v>2</v>
      </c>
      <c r="M1315" s="24" t="b">
        <f aca="false">FALSE()</f>
        <v>0</v>
      </c>
      <c r="N1315" s="11"/>
      <c r="O1315" s="11" t="str">
        <f aca="false">IF(K1315&lt;=StockP33,"Low",IF(K1315&lt;=StockP67,"Moderate","High"))</f>
        <v>High</v>
      </c>
      <c r="P1315" s="11" t="str">
        <f aca="false">IF(H1315=0,"Low",IF(H1315&lt;=MarkdownP75,"Moderate","High"))</f>
        <v>Moderate</v>
      </c>
      <c r="Q1315" s="11" t="str">
        <f aca="false">IF(ISBLANK(L1315),"Unknown",IF(L1315&gt;=4,"Good",IF(L1315&lt;=2,"Poor","Neutral")))</f>
        <v>Poor</v>
      </c>
      <c r="R1315" s="11" t="str">
        <f aca="false">IF(AND(O1315="Low",P1315="Low",Q1315="Good"),"BUY / PRIORITIZE",IF(AND(O1315="High",P1315="High",OR(Q1315="Poor",M1315=TRUE())),"HOLD / REVIEW","MONITOR"))</f>
        <v>MONITOR</v>
      </c>
      <c r="S1315" s="11" t="n">
        <f aca="false">K1315+(ROW()/10000000)</f>
        <v>43.0001315</v>
      </c>
    </row>
    <row r="1316" customFormat="false" ht="15" hidden="false" customHeight="false" outlineLevel="0" collapsed="false">
      <c r="A1316" s="11" t="s">
        <v>1627</v>
      </c>
      <c r="B1316" s="11" t="s">
        <v>26</v>
      </c>
      <c r="C1316" s="11" t="s">
        <v>101</v>
      </c>
      <c r="D1316" s="11" t="s">
        <v>37</v>
      </c>
      <c r="E1316" s="11" t="s">
        <v>102</v>
      </c>
      <c r="F1316" s="11" t="s">
        <v>74</v>
      </c>
      <c r="G1316" s="21" t="n">
        <v>65.34</v>
      </c>
      <c r="H1316" s="19" t="n">
        <v>49.8</v>
      </c>
      <c r="I1316" s="21" t="n">
        <v>32.8</v>
      </c>
      <c r="J1316" s="22" t="s">
        <v>80</v>
      </c>
      <c r="K1316" s="11" t="n">
        <v>9</v>
      </c>
      <c r="L1316" s="23"/>
      <c r="M1316" s="24" t="b">
        <f aca="false">FALSE()</f>
        <v>0</v>
      </c>
      <c r="N1316" s="11"/>
      <c r="O1316" s="11" t="str">
        <f aca="false">IF(K1316&lt;=StockP33,"Low",IF(K1316&lt;=StockP67,"Moderate","High"))</f>
        <v>Low</v>
      </c>
      <c r="P1316" s="11" t="str">
        <f aca="false">IF(H1316=0,"Low",IF(H1316&lt;=MarkdownP75,"Moderate","High"))</f>
        <v>High</v>
      </c>
      <c r="Q1316" s="11" t="str">
        <f aca="false">IF(ISBLANK(L1316),"Unknown",IF(L1316&gt;=4,"Good",IF(L1316&lt;=2,"Poor","Neutral")))</f>
        <v>Unknown</v>
      </c>
      <c r="R1316" s="11" t="str">
        <f aca="false">IF(AND(O1316="Low",P1316="Low",Q1316="Good"),"BUY / PRIORITIZE",IF(AND(O1316="High",P1316="High",OR(Q1316="Poor",M1316=TRUE())),"HOLD / REVIEW","MONITOR"))</f>
        <v>MONITOR</v>
      </c>
      <c r="S1316" s="11" t="n">
        <f aca="false">K1316+(ROW()/10000000)</f>
        <v>9.0001316</v>
      </c>
    </row>
    <row r="1317" customFormat="false" ht="15" hidden="false" customHeight="false" outlineLevel="0" collapsed="false">
      <c r="A1317" s="11" t="s">
        <v>1628</v>
      </c>
      <c r="B1317" s="11" t="s">
        <v>29</v>
      </c>
      <c r="C1317" s="11" t="s">
        <v>86</v>
      </c>
      <c r="D1317" s="11" t="s">
        <v>34</v>
      </c>
      <c r="E1317" s="11" t="s">
        <v>113</v>
      </c>
      <c r="F1317" s="11" t="s">
        <v>98</v>
      </c>
      <c r="G1317" s="21" t="n">
        <v>84.57</v>
      </c>
      <c r="H1317" s="19" t="n">
        <v>5.4</v>
      </c>
      <c r="I1317" s="21" t="n">
        <v>80</v>
      </c>
      <c r="J1317" s="22" t="s">
        <v>372</v>
      </c>
      <c r="K1317" s="11" t="n">
        <v>33</v>
      </c>
      <c r="L1317" s="23"/>
      <c r="M1317" s="24" t="b">
        <f aca="false">FALSE()</f>
        <v>0</v>
      </c>
      <c r="N1317" s="11"/>
      <c r="O1317" s="11" t="str">
        <f aca="false">IF(K1317&lt;=StockP33,"Low",IF(K1317&lt;=StockP67,"Moderate","High"))</f>
        <v>Moderate</v>
      </c>
      <c r="P1317" s="11" t="str">
        <f aca="false">IF(H1317=0,"Low",IF(H1317&lt;=MarkdownP75,"Moderate","High"))</f>
        <v>Moderate</v>
      </c>
      <c r="Q1317" s="11" t="str">
        <f aca="false">IF(ISBLANK(L1317),"Unknown",IF(L1317&gt;=4,"Good",IF(L1317&lt;=2,"Poor","Neutral")))</f>
        <v>Unknown</v>
      </c>
      <c r="R1317" s="11" t="str">
        <f aca="false">IF(AND(O1317="Low",P1317="Low",Q1317="Good"),"BUY / PRIORITIZE",IF(AND(O1317="High",P1317="High",OR(Q1317="Poor",M1317=TRUE())),"HOLD / REVIEW","MONITOR"))</f>
        <v>MONITOR</v>
      </c>
      <c r="S1317" s="11" t="n">
        <f aca="false">K1317+(ROW()/10000000)</f>
        <v>33.0001317</v>
      </c>
    </row>
    <row r="1318" customFormat="false" ht="15" hidden="false" customHeight="false" outlineLevel="0" collapsed="false">
      <c r="A1318" s="11" t="s">
        <v>1629</v>
      </c>
      <c r="B1318" s="11" t="s">
        <v>26</v>
      </c>
      <c r="C1318" s="11" t="s">
        <v>116</v>
      </c>
      <c r="D1318" s="11" t="s">
        <v>35</v>
      </c>
      <c r="E1318" s="11" t="s">
        <v>110</v>
      </c>
      <c r="F1318" s="11" t="s">
        <v>92</v>
      </c>
      <c r="G1318" s="21" t="n">
        <v>52.6</v>
      </c>
      <c r="H1318" s="19" t="n">
        <v>0</v>
      </c>
      <c r="I1318" s="21" t="n">
        <v>52.6</v>
      </c>
      <c r="J1318" s="22" t="s">
        <v>80</v>
      </c>
      <c r="K1318" s="11" t="n">
        <v>35</v>
      </c>
      <c r="L1318" s="23" t="n">
        <v>1.2</v>
      </c>
      <c r="M1318" s="24" t="b">
        <f aca="false">TRUE()</f>
        <v>1</v>
      </c>
      <c r="N1318" s="11" t="s">
        <v>89</v>
      </c>
      <c r="O1318" s="11" t="str">
        <f aca="false">IF(K1318&lt;=StockP33,"Low",IF(K1318&lt;=StockP67,"Moderate","High"))</f>
        <v>High</v>
      </c>
      <c r="P1318" s="11" t="str">
        <f aca="false">IF(H1318=0,"Low",IF(H1318&lt;=MarkdownP75,"Moderate","High"))</f>
        <v>Low</v>
      </c>
      <c r="Q1318" s="11" t="str">
        <f aca="false">IF(ISBLANK(L1318),"Unknown",IF(L1318&gt;=4,"Good",IF(L1318&lt;=2,"Poor","Neutral")))</f>
        <v>Poor</v>
      </c>
      <c r="R1318" s="11" t="str">
        <f aca="false">IF(AND(O1318="Low",P1318="Low",Q1318="Good"),"BUY / PRIORITIZE",IF(AND(O1318="High",P1318="High",OR(Q1318="Poor",M1318=TRUE())),"HOLD / REVIEW","MONITOR"))</f>
        <v>MONITOR</v>
      </c>
      <c r="S1318" s="11" t="n">
        <f aca="false">K1318+(ROW()/10000000)</f>
        <v>35.0001318</v>
      </c>
    </row>
    <row r="1319" customFormat="false" ht="15" hidden="false" customHeight="false" outlineLevel="0" collapsed="false">
      <c r="A1319" s="11" t="s">
        <v>1630</v>
      </c>
      <c r="B1319" s="11" t="s">
        <v>29</v>
      </c>
      <c r="C1319" s="11" t="s">
        <v>77</v>
      </c>
      <c r="D1319" s="11" t="s">
        <v>35</v>
      </c>
      <c r="E1319" s="11" t="s">
        <v>78</v>
      </c>
      <c r="F1319" s="11" t="s">
        <v>98</v>
      </c>
      <c r="G1319" s="21" t="n">
        <v>106.37</v>
      </c>
      <c r="H1319" s="19" t="n">
        <v>0</v>
      </c>
      <c r="I1319" s="21" t="n">
        <v>106.37</v>
      </c>
      <c r="J1319" s="22" t="s">
        <v>80</v>
      </c>
      <c r="K1319" s="11" t="n">
        <v>30</v>
      </c>
      <c r="L1319" s="23" t="n">
        <v>1.1</v>
      </c>
      <c r="M1319" s="24" t="b">
        <f aca="false">FALSE()</f>
        <v>0</v>
      </c>
      <c r="N1319" s="11"/>
      <c r="O1319" s="11" t="str">
        <f aca="false">IF(K1319&lt;=StockP33,"Low",IF(K1319&lt;=StockP67,"Moderate","High"))</f>
        <v>Moderate</v>
      </c>
      <c r="P1319" s="11" t="str">
        <f aca="false">IF(H1319=0,"Low",IF(H1319&lt;=MarkdownP75,"Moderate","High"))</f>
        <v>Low</v>
      </c>
      <c r="Q1319" s="11" t="str">
        <f aca="false">IF(ISBLANK(L1319),"Unknown",IF(L1319&gt;=4,"Good",IF(L1319&lt;=2,"Poor","Neutral")))</f>
        <v>Poor</v>
      </c>
      <c r="R1319" s="11" t="str">
        <f aca="false">IF(AND(O1319="Low",P1319="Low",Q1319="Good"),"BUY / PRIORITIZE",IF(AND(O1319="High",P1319="High",OR(Q1319="Poor",M1319=TRUE())),"HOLD / REVIEW","MONITOR"))</f>
        <v>MONITOR</v>
      </c>
      <c r="S1319" s="11" t="n">
        <f aca="false">K1319+(ROW()/10000000)</f>
        <v>30.0001319</v>
      </c>
    </row>
    <row r="1320" customFormat="false" ht="15" hidden="false" customHeight="false" outlineLevel="0" collapsed="false">
      <c r="A1320" s="11" t="s">
        <v>1631</v>
      </c>
      <c r="B1320" s="11" t="s">
        <v>30</v>
      </c>
      <c r="C1320" s="11" t="s">
        <v>116</v>
      </c>
      <c r="D1320" s="11" t="s">
        <v>35</v>
      </c>
      <c r="E1320" s="11" t="s">
        <v>102</v>
      </c>
      <c r="F1320" s="11" t="s">
        <v>82</v>
      </c>
      <c r="G1320" s="21" t="n">
        <v>96.77</v>
      </c>
      <c r="H1320" s="19" t="n">
        <v>40.4</v>
      </c>
      <c r="I1320" s="21" t="n">
        <v>57.67</v>
      </c>
      <c r="J1320" s="22" t="s">
        <v>80</v>
      </c>
      <c r="K1320" s="11" t="n">
        <v>31</v>
      </c>
      <c r="L1320" s="23" t="n">
        <v>4.5</v>
      </c>
      <c r="M1320" s="24" t="b">
        <f aca="false">FALSE()</f>
        <v>0</v>
      </c>
      <c r="N1320" s="11"/>
      <c r="O1320" s="11" t="str">
        <f aca="false">IF(K1320&lt;=StockP33,"Low",IF(K1320&lt;=StockP67,"Moderate","High"))</f>
        <v>Moderate</v>
      </c>
      <c r="P1320" s="11" t="str">
        <f aca="false">IF(H1320=0,"Low",IF(H1320&lt;=MarkdownP75,"Moderate","High"))</f>
        <v>High</v>
      </c>
      <c r="Q1320" s="11" t="str">
        <f aca="false">IF(ISBLANK(L1320),"Unknown",IF(L1320&gt;=4,"Good",IF(L1320&lt;=2,"Poor","Neutral")))</f>
        <v>Good</v>
      </c>
      <c r="R1320" s="11" t="str">
        <f aca="false">IF(AND(O1320="Low",P1320="Low",Q1320="Good"),"BUY / PRIORITIZE",IF(AND(O1320="High",P1320="High",OR(Q1320="Poor",M1320=TRUE())),"HOLD / REVIEW","MONITOR"))</f>
        <v>MONITOR</v>
      </c>
      <c r="S1320" s="11" t="n">
        <f aca="false">K1320+(ROW()/10000000)</f>
        <v>31.000132</v>
      </c>
    </row>
    <row r="1321" customFormat="false" ht="15" hidden="false" customHeight="false" outlineLevel="0" collapsed="false">
      <c r="A1321" s="11" t="s">
        <v>1632</v>
      </c>
      <c r="B1321" s="11" t="s">
        <v>28</v>
      </c>
      <c r="C1321" s="11" t="s">
        <v>86</v>
      </c>
      <c r="D1321" s="11" t="s">
        <v>34</v>
      </c>
      <c r="E1321" s="11" t="s">
        <v>78</v>
      </c>
      <c r="F1321" s="11" t="s">
        <v>124</v>
      </c>
      <c r="G1321" s="21" t="n">
        <v>99.02</v>
      </c>
      <c r="H1321" s="19" t="n">
        <v>0</v>
      </c>
      <c r="I1321" s="21" t="n">
        <v>99.02</v>
      </c>
      <c r="J1321" s="22" t="s">
        <v>144</v>
      </c>
      <c r="K1321" s="11" t="n">
        <v>21</v>
      </c>
      <c r="L1321" s="23" t="n">
        <v>1.2</v>
      </c>
      <c r="M1321" s="24" t="b">
        <f aca="false">FALSE()</f>
        <v>0</v>
      </c>
      <c r="N1321" s="11"/>
      <c r="O1321" s="11" t="str">
        <f aca="false">IF(K1321&lt;=StockP33,"Low",IF(K1321&lt;=StockP67,"Moderate","High"))</f>
        <v>Moderate</v>
      </c>
      <c r="P1321" s="11" t="str">
        <f aca="false">IF(H1321=0,"Low",IF(H1321&lt;=MarkdownP75,"Moderate","High"))</f>
        <v>Low</v>
      </c>
      <c r="Q1321" s="11" t="str">
        <f aca="false">IF(ISBLANK(L1321),"Unknown",IF(L1321&gt;=4,"Good",IF(L1321&lt;=2,"Poor","Neutral")))</f>
        <v>Poor</v>
      </c>
      <c r="R1321" s="11" t="str">
        <f aca="false">IF(AND(O1321="Low",P1321="Low",Q1321="Good"),"BUY / PRIORITIZE",IF(AND(O1321="High",P1321="High",OR(Q1321="Poor",M1321=TRUE())),"HOLD / REVIEW","MONITOR"))</f>
        <v>MONITOR</v>
      </c>
      <c r="S1321" s="11" t="n">
        <f aca="false">K1321+(ROW()/10000000)</f>
        <v>21.0001321</v>
      </c>
    </row>
    <row r="1322" customFormat="false" ht="15" hidden="false" customHeight="false" outlineLevel="0" collapsed="false">
      <c r="A1322" s="11" t="s">
        <v>1633</v>
      </c>
      <c r="B1322" s="11" t="s">
        <v>8</v>
      </c>
      <c r="C1322" s="11" t="s">
        <v>72</v>
      </c>
      <c r="D1322" s="11" t="s">
        <v>34</v>
      </c>
      <c r="E1322" s="11"/>
      <c r="F1322" s="11" t="s">
        <v>120</v>
      </c>
      <c r="G1322" s="21" t="n">
        <v>68.89</v>
      </c>
      <c r="H1322" s="19" t="n">
        <v>36.9</v>
      </c>
      <c r="I1322" s="21" t="n">
        <v>43.47</v>
      </c>
      <c r="J1322" s="22" t="s">
        <v>1634</v>
      </c>
      <c r="K1322" s="11" t="n">
        <v>9</v>
      </c>
      <c r="L1322" s="23" t="n">
        <v>1.8</v>
      </c>
      <c r="M1322" s="24" t="b">
        <f aca="false">FALSE()</f>
        <v>0</v>
      </c>
      <c r="N1322" s="11"/>
      <c r="O1322" s="11" t="str">
        <f aca="false">IF(K1322&lt;=StockP33,"Low",IF(K1322&lt;=StockP67,"Moderate","High"))</f>
        <v>Low</v>
      </c>
      <c r="P1322" s="11" t="str">
        <f aca="false">IF(H1322=0,"Low",IF(H1322&lt;=MarkdownP75,"Moderate","High"))</f>
        <v>High</v>
      </c>
      <c r="Q1322" s="11" t="str">
        <f aca="false">IF(ISBLANK(L1322),"Unknown",IF(L1322&gt;=4,"Good",IF(L1322&lt;=2,"Poor","Neutral")))</f>
        <v>Poor</v>
      </c>
      <c r="R1322" s="11" t="str">
        <f aca="false">IF(AND(O1322="Low",P1322="Low",Q1322="Good"),"BUY / PRIORITIZE",IF(AND(O1322="High",P1322="High",OR(Q1322="Poor",M1322=TRUE())),"HOLD / REVIEW","MONITOR"))</f>
        <v>MONITOR</v>
      </c>
      <c r="S1322" s="11" t="n">
        <f aca="false">K1322+(ROW()/10000000)</f>
        <v>9.0001322</v>
      </c>
    </row>
    <row r="1323" customFormat="false" ht="15" hidden="false" customHeight="false" outlineLevel="0" collapsed="false">
      <c r="A1323" s="11" t="s">
        <v>1635</v>
      </c>
      <c r="B1323" s="11" t="s">
        <v>27</v>
      </c>
      <c r="C1323" s="11" t="s">
        <v>101</v>
      </c>
      <c r="D1323" s="11" t="s">
        <v>34</v>
      </c>
      <c r="E1323" s="11" t="s">
        <v>91</v>
      </c>
      <c r="F1323" s="11" t="s">
        <v>79</v>
      </c>
      <c r="G1323" s="21" t="n">
        <v>63.91</v>
      </c>
      <c r="H1323" s="19" t="n">
        <v>3.5</v>
      </c>
      <c r="I1323" s="21" t="n">
        <v>61.67</v>
      </c>
      <c r="J1323" s="22" t="s">
        <v>1153</v>
      </c>
      <c r="K1323" s="11" t="n">
        <v>14</v>
      </c>
      <c r="L1323" s="23" t="n">
        <v>2.1</v>
      </c>
      <c r="M1323" s="24" t="b">
        <f aca="false">FALSE()</f>
        <v>0</v>
      </c>
      <c r="N1323" s="11"/>
      <c r="O1323" s="11" t="str">
        <f aca="false">IF(K1323&lt;=StockP33,"Low",IF(K1323&lt;=StockP67,"Moderate","High"))</f>
        <v>Low</v>
      </c>
      <c r="P1323" s="11" t="str">
        <f aca="false">IF(H1323=0,"Low",IF(H1323&lt;=MarkdownP75,"Moderate","High"))</f>
        <v>Moderate</v>
      </c>
      <c r="Q1323" s="11" t="str">
        <f aca="false">IF(ISBLANK(L1323),"Unknown",IF(L1323&gt;=4,"Good",IF(L1323&lt;=2,"Poor","Neutral")))</f>
        <v>Neutral</v>
      </c>
      <c r="R1323" s="11" t="str">
        <f aca="false">IF(AND(O1323="Low",P1323="Low",Q1323="Good"),"BUY / PRIORITIZE",IF(AND(O1323="High",P1323="High",OR(Q1323="Poor",M1323=TRUE())),"HOLD / REVIEW","MONITOR"))</f>
        <v>MONITOR</v>
      </c>
      <c r="S1323" s="11" t="n">
        <f aca="false">K1323+(ROW()/10000000)</f>
        <v>14.0001323</v>
      </c>
    </row>
    <row r="1324" customFormat="false" ht="15" hidden="false" customHeight="false" outlineLevel="0" collapsed="false">
      <c r="A1324" s="11" t="s">
        <v>1636</v>
      </c>
      <c r="B1324" s="11" t="s">
        <v>29</v>
      </c>
      <c r="C1324" s="11" t="s">
        <v>95</v>
      </c>
      <c r="D1324" s="11" t="s">
        <v>36</v>
      </c>
      <c r="E1324" s="11" t="s">
        <v>91</v>
      </c>
      <c r="F1324" s="11" t="s">
        <v>118</v>
      </c>
      <c r="G1324" s="21" t="n">
        <v>116.38</v>
      </c>
      <c r="H1324" s="19" t="n">
        <v>11.4</v>
      </c>
      <c r="I1324" s="21" t="n">
        <v>103.11</v>
      </c>
      <c r="J1324" s="22" t="s">
        <v>80</v>
      </c>
      <c r="K1324" s="11" t="n">
        <v>15</v>
      </c>
      <c r="L1324" s="23"/>
      <c r="M1324" s="24" t="b">
        <f aca="false">FALSE()</f>
        <v>0</v>
      </c>
      <c r="N1324" s="11"/>
      <c r="O1324" s="11" t="str">
        <f aca="false">IF(K1324&lt;=StockP33,"Low",IF(K1324&lt;=StockP67,"Moderate","High"))</f>
        <v>Low</v>
      </c>
      <c r="P1324" s="11" t="str">
        <f aca="false">IF(H1324=0,"Low",IF(H1324&lt;=MarkdownP75,"Moderate","High"))</f>
        <v>Moderate</v>
      </c>
      <c r="Q1324" s="11" t="str">
        <f aca="false">IF(ISBLANK(L1324),"Unknown",IF(L1324&gt;=4,"Good",IF(L1324&lt;=2,"Poor","Neutral")))</f>
        <v>Unknown</v>
      </c>
      <c r="R1324" s="11" t="str">
        <f aca="false">IF(AND(O1324="Low",P1324="Low",Q1324="Good"),"BUY / PRIORITIZE",IF(AND(O1324="High",P1324="High",OR(Q1324="Poor",M1324=TRUE())),"HOLD / REVIEW","MONITOR"))</f>
        <v>MONITOR</v>
      </c>
      <c r="S1324" s="11" t="n">
        <f aca="false">K1324+(ROW()/10000000)</f>
        <v>15.0001324</v>
      </c>
    </row>
    <row r="1325" customFormat="false" ht="15" hidden="false" customHeight="false" outlineLevel="0" collapsed="false">
      <c r="A1325" s="11" t="s">
        <v>1637</v>
      </c>
      <c r="B1325" s="11" t="s">
        <v>26</v>
      </c>
      <c r="C1325" s="11" t="s">
        <v>77</v>
      </c>
      <c r="D1325" s="11" t="s">
        <v>36</v>
      </c>
      <c r="E1325" s="11" t="s">
        <v>110</v>
      </c>
      <c r="F1325" s="11" t="s">
        <v>98</v>
      </c>
      <c r="G1325" s="21" t="n">
        <v>71.74</v>
      </c>
      <c r="H1325" s="19" t="n">
        <v>0</v>
      </c>
      <c r="I1325" s="21" t="n">
        <v>71.74</v>
      </c>
      <c r="J1325" s="22" t="s">
        <v>80</v>
      </c>
      <c r="K1325" s="11" t="n">
        <v>16</v>
      </c>
      <c r="L1325" s="23"/>
      <c r="M1325" s="24" t="b">
        <f aca="false">FALSE()</f>
        <v>0</v>
      </c>
      <c r="N1325" s="11"/>
      <c r="O1325" s="11" t="str">
        <f aca="false">IF(K1325&lt;=StockP33,"Low",IF(K1325&lt;=StockP67,"Moderate","High"))</f>
        <v>Low</v>
      </c>
      <c r="P1325" s="11" t="str">
        <f aca="false">IF(H1325=0,"Low",IF(H1325&lt;=MarkdownP75,"Moderate","High"))</f>
        <v>Low</v>
      </c>
      <c r="Q1325" s="11" t="str">
        <f aca="false">IF(ISBLANK(L1325),"Unknown",IF(L1325&gt;=4,"Good",IF(L1325&lt;=2,"Poor","Neutral")))</f>
        <v>Unknown</v>
      </c>
      <c r="R1325" s="11" t="str">
        <f aca="false">IF(AND(O1325="Low",P1325="Low",Q1325="Good"),"BUY / PRIORITIZE",IF(AND(O1325="High",P1325="High",OR(Q1325="Poor",M1325=TRUE())),"HOLD / REVIEW","MONITOR"))</f>
        <v>MONITOR</v>
      </c>
      <c r="S1325" s="11" t="n">
        <f aca="false">K1325+(ROW()/10000000)</f>
        <v>16.0001325</v>
      </c>
    </row>
    <row r="1326" customFormat="false" ht="15" hidden="false" customHeight="false" outlineLevel="0" collapsed="false">
      <c r="A1326" s="11" t="s">
        <v>1638</v>
      </c>
      <c r="B1326" s="11" t="s">
        <v>26</v>
      </c>
      <c r="C1326" s="11" t="s">
        <v>130</v>
      </c>
      <c r="D1326" s="11" t="s">
        <v>37</v>
      </c>
      <c r="E1326" s="11" t="s">
        <v>113</v>
      </c>
      <c r="F1326" s="11" t="s">
        <v>111</v>
      </c>
      <c r="G1326" s="21" t="n">
        <v>91.11</v>
      </c>
      <c r="H1326" s="19" t="n">
        <v>0</v>
      </c>
      <c r="I1326" s="21" t="n">
        <v>91.11</v>
      </c>
      <c r="J1326" s="22" t="s">
        <v>80</v>
      </c>
      <c r="K1326" s="11" t="n">
        <v>38</v>
      </c>
      <c r="L1326" s="23" t="n">
        <v>3.3</v>
      </c>
      <c r="M1326" s="24" t="b">
        <f aca="false">FALSE()</f>
        <v>0</v>
      </c>
      <c r="N1326" s="11"/>
      <c r="O1326" s="11" t="str">
        <f aca="false">IF(K1326&lt;=StockP33,"Low",IF(K1326&lt;=StockP67,"Moderate","High"))</f>
        <v>High</v>
      </c>
      <c r="P1326" s="11" t="str">
        <f aca="false">IF(H1326=0,"Low",IF(H1326&lt;=MarkdownP75,"Moderate","High"))</f>
        <v>Low</v>
      </c>
      <c r="Q1326" s="11" t="str">
        <f aca="false">IF(ISBLANK(L1326),"Unknown",IF(L1326&gt;=4,"Good",IF(L1326&lt;=2,"Poor","Neutral")))</f>
        <v>Neutral</v>
      </c>
      <c r="R1326" s="11" t="str">
        <f aca="false">IF(AND(O1326="Low",P1326="Low",Q1326="Good"),"BUY / PRIORITIZE",IF(AND(O1326="High",P1326="High",OR(Q1326="Poor",M1326=TRUE())),"HOLD / REVIEW","MONITOR"))</f>
        <v>MONITOR</v>
      </c>
      <c r="S1326" s="11" t="n">
        <f aca="false">K1326+(ROW()/10000000)</f>
        <v>38.0001326</v>
      </c>
    </row>
    <row r="1327" customFormat="false" ht="15" hidden="false" customHeight="false" outlineLevel="0" collapsed="false">
      <c r="A1327" s="11" t="s">
        <v>1639</v>
      </c>
      <c r="B1327" s="11" t="s">
        <v>8</v>
      </c>
      <c r="C1327" s="11" t="s">
        <v>72</v>
      </c>
      <c r="D1327" s="11" t="s">
        <v>35</v>
      </c>
      <c r="E1327" s="11"/>
      <c r="F1327" s="11" t="s">
        <v>88</v>
      </c>
      <c r="G1327" s="21" t="n">
        <v>46.07</v>
      </c>
      <c r="H1327" s="19" t="n">
        <v>0</v>
      </c>
      <c r="I1327" s="21" t="n">
        <v>46.07</v>
      </c>
      <c r="J1327" s="22" t="s">
        <v>80</v>
      </c>
      <c r="K1327" s="11" t="n">
        <v>25</v>
      </c>
      <c r="L1327" s="23" t="n">
        <v>2.5</v>
      </c>
      <c r="M1327" s="24" t="b">
        <f aca="false">FALSE()</f>
        <v>0</v>
      </c>
      <c r="N1327" s="11"/>
      <c r="O1327" s="11" t="str">
        <f aca="false">IF(K1327&lt;=StockP33,"Low",IF(K1327&lt;=StockP67,"Moderate","High"))</f>
        <v>Moderate</v>
      </c>
      <c r="P1327" s="11" t="str">
        <f aca="false">IF(H1327=0,"Low",IF(H1327&lt;=MarkdownP75,"Moderate","High"))</f>
        <v>Low</v>
      </c>
      <c r="Q1327" s="11" t="str">
        <f aca="false">IF(ISBLANK(L1327),"Unknown",IF(L1327&gt;=4,"Good",IF(L1327&lt;=2,"Poor","Neutral")))</f>
        <v>Neutral</v>
      </c>
      <c r="R1327" s="11" t="str">
        <f aca="false">IF(AND(O1327="Low",P1327="Low",Q1327="Good"),"BUY / PRIORITIZE",IF(AND(O1327="High",P1327="High",OR(Q1327="Poor",M1327=TRUE())),"HOLD / REVIEW","MONITOR"))</f>
        <v>MONITOR</v>
      </c>
      <c r="S1327" s="11" t="n">
        <f aca="false">K1327+(ROW()/10000000)</f>
        <v>25.0001327</v>
      </c>
    </row>
    <row r="1328" customFormat="false" ht="15" hidden="false" customHeight="false" outlineLevel="0" collapsed="false">
      <c r="A1328" s="11" t="s">
        <v>1640</v>
      </c>
      <c r="B1328" s="11" t="s">
        <v>27</v>
      </c>
      <c r="C1328" s="11" t="s">
        <v>95</v>
      </c>
      <c r="D1328" s="11" t="s">
        <v>36</v>
      </c>
      <c r="E1328" s="11" t="s">
        <v>91</v>
      </c>
      <c r="F1328" s="11" t="s">
        <v>98</v>
      </c>
      <c r="G1328" s="21" t="n">
        <v>156.27</v>
      </c>
      <c r="H1328" s="19" t="n">
        <v>0</v>
      </c>
      <c r="I1328" s="21" t="n">
        <v>156.27</v>
      </c>
      <c r="J1328" s="22" t="s">
        <v>80</v>
      </c>
      <c r="K1328" s="11" t="n">
        <v>43</v>
      </c>
      <c r="L1328" s="23"/>
      <c r="M1328" s="24" t="b">
        <f aca="false">FALSE()</f>
        <v>0</v>
      </c>
      <c r="N1328" s="11"/>
      <c r="O1328" s="11" t="str">
        <f aca="false">IF(K1328&lt;=StockP33,"Low",IF(K1328&lt;=StockP67,"Moderate","High"))</f>
        <v>High</v>
      </c>
      <c r="P1328" s="11" t="str">
        <f aca="false">IF(H1328=0,"Low",IF(H1328&lt;=MarkdownP75,"Moderate","High"))</f>
        <v>Low</v>
      </c>
      <c r="Q1328" s="11" t="str">
        <f aca="false">IF(ISBLANK(L1328),"Unknown",IF(L1328&gt;=4,"Good",IF(L1328&lt;=2,"Poor","Neutral")))</f>
        <v>Unknown</v>
      </c>
      <c r="R1328" s="11" t="str">
        <f aca="false">IF(AND(O1328="Low",P1328="Low",Q1328="Good"),"BUY / PRIORITIZE",IF(AND(O1328="High",P1328="High",OR(Q1328="Poor",M1328=TRUE())),"HOLD / REVIEW","MONITOR"))</f>
        <v>MONITOR</v>
      </c>
      <c r="S1328" s="11" t="n">
        <f aca="false">K1328+(ROW()/10000000)</f>
        <v>43.0001328</v>
      </c>
    </row>
    <row r="1329" customFormat="false" ht="15" hidden="false" customHeight="false" outlineLevel="0" collapsed="false">
      <c r="A1329" s="11" t="s">
        <v>1641</v>
      </c>
      <c r="B1329" s="11" t="s">
        <v>30</v>
      </c>
      <c r="C1329" s="11" t="s">
        <v>95</v>
      </c>
      <c r="D1329" s="11" t="s">
        <v>36</v>
      </c>
      <c r="E1329" s="11" t="s">
        <v>110</v>
      </c>
      <c r="F1329" s="11" t="s">
        <v>79</v>
      </c>
      <c r="G1329" s="21" t="n">
        <v>56.35</v>
      </c>
      <c r="H1329" s="19" t="n">
        <v>0</v>
      </c>
      <c r="I1329" s="21" t="n">
        <v>56.35</v>
      </c>
      <c r="J1329" s="22" t="s">
        <v>80</v>
      </c>
      <c r="K1329" s="11" t="n">
        <v>31</v>
      </c>
      <c r="L1329" s="23" t="n">
        <v>1.5</v>
      </c>
      <c r="M1329" s="24" t="b">
        <f aca="false">FALSE()</f>
        <v>0</v>
      </c>
      <c r="N1329" s="11"/>
      <c r="O1329" s="11" t="str">
        <f aca="false">IF(K1329&lt;=StockP33,"Low",IF(K1329&lt;=StockP67,"Moderate","High"))</f>
        <v>Moderate</v>
      </c>
      <c r="P1329" s="11" t="str">
        <f aca="false">IF(H1329=0,"Low",IF(H1329&lt;=MarkdownP75,"Moderate","High"))</f>
        <v>Low</v>
      </c>
      <c r="Q1329" s="11" t="str">
        <f aca="false">IF(ISBLANK(L1329),"Unknown",IF(L1329&gt;=4,"Good",IF(L1329&lt;=2,"Poor","Neutral")))</f>
        <v>Poor</v>
      </c>
      <c r="R1329" s="11" t="str">
        <f aca="false">IF(AND(O1329="Low",P1329="Low",Q1329="Good"),"BUY / PRIORITIZE",IF(AND(O1329="High",P1329="High",OR(Q1329="Poor",M1329=TRUE())),"HOLD / REVIEW","MONITOR"))</f>
        <v>MONITOR</v>
      </c>
      <c r="S1329" s="11" t="n">
        <f aca="false">K1329+(ROW()/10000000)</f>
        <v>31.0001329</v>
      </c>
    </row>
    <row r="1330" customFormat="false" ht="15" hidden="false" customHeight="false" outlineLevel="0" collapsed="false">
      <c r="A1330" s="11" t="s">
        <v>1642</v>
      </c>
      <c r="B1330" s="11" t="s">
        <v>26</v>
      </c>
      <c r="C1330" s="11" t="s">
        <v>72</v>
      </c>
      <c r="D1330" s="11" t="s">
        <v>37</v>
      </c>
      <c r="E1330" s="11" t="s">
        <v>110</v>
      </c>
      <c r="F1330" s="11" t="s">
        <v>120</v>
      </c>
      <c r="G1330" s="21" t="n">
        <v>118.21</v>
      </c>
      <c r="H1330" s="19" t="n">
        <v>23.1</v>
      </c>
      <c r="I1330" s="21" t="n">
        <v>90.9</v>
      </c>
      <c r="J1330" s="22" t="s">
        <v>80</v>
      </c>
      <c r="K1330" s="11" t="n">
        <v>15</v>
      </c>
      <c r="L1330" s="23" t="n">
        <v>5</v>
      </c>
      <c r="M1330" s="24" t="b">
        <f aca="false">FALSE()</f>
        <v>0</v>
      </c>
      <c r="N1330" s="11"/>
      <c r="O1330" s="11" t="str">
        <f aca="false">IF(K1330&lt;=StockP33,"Low",IF(K1330&lt;=StockP67,"Moderate","High"))</f>
        <v>Low</v>
      </c>
      <c r="P1330" s="11" t="str">
        <f aca="false">IF(H1330=0,"Low",IF(H1330&lt;=MarkdownP75,"Moderate","High"))</f>
        <v>High</v>
      </c>
      <c r="Q1330" s="11" t="str">
        <f aca="false">IF(ISBLANK(L1330),"Unknown",IF(L1330&gt;=4,"Good",IF(L1330&lt;=2,"Poor","Neutral")))</f>
        <v>Good</v>
      </c>
      <c r="R1330" s="11" t="str">
        <f aca="false">IF(AND(O1330="Low",P1330="Low",Q1330="Good"),"BUY / PRIORITIZE",IF(AND(O1330="High",P1330="High",OR(Q1330="Poor",M1330=TRUE())),"HOLD / REVIEW","MONITOR"))</f>
        <v>MONITOR</v>
      </c>
      <c r="S1330" s="11" t="n">
        <f aca="false">K1330+(ROW()/10000000)</f>
        <v>15.000133</v>
      </c>
    </row>
    <row r="1331" customFormat="false" ht="15" hidden="false" customHeight="false" outlineLevel="0" collapsed="false">
      <c r="A1331" s="11" t="s">
        <v>1643</v>
      </c>
      <c r="B1331" s="11" t="s">
        <v>30</v>
      </c>
      <c r="C1331" s="11" t="s">
        <v>116</v>
      </c>
      <c r="D1331" s="11" t="s">
        <v>36</v>
      </c>
      <c r="E1331" s="11" t="s">
        <v>110</v>
      </c>
      <c r="F1331" s="11" t="s">
        <v>111</v>
      </c>
      <c r="G1331" s="21" t="n">
        <v>25.86</v>
      </c>
      <c r="H1331" s="19" t="n">
        <v>0</v>
      </c>
      <c r="I1331" s="21" t="n">
        <v>25.86</v>
      </c>
      <c r="J1331" s="22" t="s">
        <v>80</v>
      </c>
      <c r="K1331" s="11" t="n">
        <v>46</v>
      </c>
      <c r="L1331" s="23" t="n">
        <v>1.5</v>
      </c>
      <c r="M1331" s="24" t="b">
        <f aca="false">FALSE()</f>
        <v>0</v>
      </c>
      <c r="N1331" s="11"/>
      <c r="O1331" s="11" t="str">
        <f aca="false">IF(K1331&lt;=StockP33,"Low",IF(K1331&lt;=StockP67,"Moderate","High"))</f>
        <v>High</v>
      </c>
      <c r="P1331" s="11" t="str">
        <f aca="false">IF(H1331=0,"Low",IF(H1331&lt;=MarkdownP75,"Moderate","High"))</f>
        <v>Low</v>
      </c>
      <c r="Q1331" s="11" t="str">
        <f aca="false">IF(ISBLANK(L1331),"Unknown",IF(L1331&gt;=4,"Good",IF(L1331&lt;=2,"Poor","Neutral")))</f>
        <v>Poor</v>
      </c>
      <c r="R1331" s="11" t="str">
        <f aca="false">IF(AND(O1331="Low",P1331="Low",Q1331="Good"),"BUY / PRIORITIZE",IF(AND(O1331="High",P1331="High",OR(Q1331="Poor",M1331=TRUE())),"HOLD / REVIEW","MONITOR"))</f>
        <v>MONITOR</v>
      </c>
      <c r="S1331" s="11" t="n">
        <f aca="false">K1331+(ROW()/10000000)</f>
        <v>46.0001331</v>
      </c>
    </row>
    <row r="1332" customFormat="false" ht="15" hidden="false" customHeight="false" outlineLevel="0" collapsed="false">
      <c r="A1332" s="11" t="s">
        <v>1644</v>
      </c>
      <c r="B1332" s="11" t="s">
        <v>30</v>
      </c>
      <c r="C1332" s="11" t="s">
        <v>101</v>
      </c>
      <c r="D1332" s="11" t="s">
        <v>36</v>
      </c>
      <c r="E1332" s="11" t="s">
        <v>91</v>
      </c>
      <c r="F1332" s="11" t="s">
        <v>98</v>
      </c>
      <c r="G1332" s="21" t="n">
        <v>91.67</v>
      </c>
      <c r="H1332" s="19" t="n">
        <v>23.7</v>
      </c>
      <c r="I1332" s="21" t="n">
        <v>69.94</v>
      </c>
      <c r="J1332" s="22" t="s">
        <v>80</v>
      </c>
      <c r="K1332" s="11" t="n">
        <v>3</v>
      </c>
      <c r="L1332" s="23" t="n">
        <v>3.7</v>
      </c>
      <c r="M1332" s="24" t="b">
        <f aca="false">FALSE()</f>
        <v>0</v>
      </c>
      <c r="N1332" s="11"/>
      <c r="O1332" s="11" t="str">
        <f aca="false">IF(K1332&lt;=StockP33,"Low",IF(K1332&lt;=StockP67,"Moderate","High"))</f>
        <v>Low</v>
      </c>
      <c r="P1332" s="11" t="str">
        <f aca="false">IF(H1332=0,"Low",IF(H1332&lt;=MarkdownP75,"Moderate","High"))</f>
        <v>High</v>
      </c>
      <c r="Q1332" s="11" t="str">
        <f aca="false">IF(ISBLANK(L1332),"Unknown",IF(L1332&gt;=4,"Good",IF(L1332&lt;=2,"Poor","Neutral")))</f>
        <v>Neutral</v>
      </c>
      <c r="R1332" s="11" t="str">
        <f aca="false">IF(AND(O1332="Low",P1332="Low",Q1332="Good"),"BUY / PRIORITIZE",IF(AND(O1332="High",P1332="High",OR(Q1332="Poor",M1332=TRUE())),"HOLD / REVIEW","MONITOR"))</f>
        <v>MONITOR</v>
      </c>
      <c r="S1332" s="11" t="n">
        <f aca="false">K1332+(ROW()/10000000)</f>
        <v>3.0001332</v>
      </c>
    </row>
    <row r="1333" customFormat="false" ht="15" hidden="false" customHeight="false" outlineLevel="0" collapsed="false">
      <c r="A1333" s="11" t="s">
        <v>1645</v>
      </c>
      <c r="B1333" s="11" t="s">
        <v>26</v>
      </c>
      <c r="C1333" s="11" t="s">
        <v>77</v>
      </c>
      <c r="D1333" s="11" t="s">
        <v>36</v>
      </c>
      <c r="E1333" s="11" t="s">
        <v>78</v>
      </c>
      <c r="F1333" s="11" t="s">
        <v>96</v>
      </c>
      <c r="G1333" s="21" t="n">
        <v>25.29</v>
      </c>
      <c r="H1333" s="19" t="n">
        <v>7.9</v>
      </c>
      <c r="I1333" s="21" t="n">
        <v>23.29</v>
      </c>
      <c r="J1333" s="22" t="s">
        <v>80</v>
      </c>
      <c r="K1333" s="11" t="n">
        <v>39</v>
      </c>
      <c r="L1333" s="23" t="n">
        <v>1.7</v>
      </c>
      <c r="M1333" s="24" t="b">
        <f aca="false">FALSE()</f>
        <v>0</v>
      </c>
      <c r="N1333" s="11"/>
      <c r="O1333" s="11" t="str">
        <f aca="false">IF(K1333&lt;=StockP33,"Low",IF(K1333&lt;=StockP67,"Moderate","High"))</f>
        <v>High</v>
      </c>
      <c r="P1333" s="11" t="str">
        <f aca="false">IF(H1333=0,"Low",IF(H1333&lt;=MarkdownP75,"Moderate","High"))</f>
        <v>Moderate</v>
      </c>
      <c r="Q1333" s="11" t="str">
        <f aca="false">IF(ISBLANK(L1333),"Unknown",IF(L1333&gt;=4,"Good",IF(L1333&lt;=2,"Poor","Neutral")))</f>
        <v>Poor</v>
      </c>
      <c r="R1333" s="11" t="str">
        <f aca="false">IF(AND(O1333="Low",P1333="Low",Q1333="Good"),"BUY / PRIORITIZE",IF(AND(O1333="High",P1333="High",OR(Q1333="Poor",M1333=TRUE())),"HOLD / REVIEW","MONITOR"))</f>
        <v>MONITOR</v>
      </c>
      <c r="S1333" s="11" t="n">
        <f aca="false">K1333+(ROW()/10000000)</f>
        <v>39.0001333</v>
      </c>
    </row>
    <row r="1334" customFormat="false" ht="15" hidden="false" customHeight="false" outlineLevel="0" collapsed="false">
      <c r="A1334" s="11" t="s">
        <v>1646</v>
      </c>
      <c r="B1334" s="11" t="s">
        <v>8</v>
      </c>
      <c r="C1334" s="11" t="s">
        <v>101</v>
      </c>
      <c r="D1334" s="11" t="s">
        <v>37</v>
      </c>
      <c r="E1334" s="11"/>
      <c r="F1334" s="11" t="s">
        <v>118</v>
      </c>
      <c r="G1334" s="21" t="n">
        <v>51.61</v>
      </c>
      <c r="H1334" s="19" t="n">
        <v>32.2</v>
      </c>
      <c r="I1334" s="21" t="n">
        <v>34.99</v>
      </c>
      <c r="J1334" s="22" t="s">
        <v>80</v>
      </c>
      <c r="K1334" s="11" t="n">
        <v>34</v>
      </c>
      <c r="L1334" s="23" t="n">
        <v>4.8</v>
      </c>
      <c r="M1334" s="24" t="b">
        <f aca="false">FALSE()</f>
        <v>0</v>
      </c>
      <c r="N1334" s="11"/>
      <c r="O1334" s="11" t="str">
        <f aca="false">IF(K1334&lt;=StockP33,"Low",IF(K1334&lt;=StockP67,"Moderate","High"))</f>
        <v>High</v>
      </c>
      <c r="P1334" s="11" t="str">
        <f aca="false">IF(H1334=0,"Low",IF(H1334&lt;=MarkdownP75,"Moderate","High"))</f>
        <v>High</v>
      </c>
      <c r="Q1334" s="11" t="str">
        <f aca="false">IF(ISBLANK(L1334),"Unknown",IF(L1334&gt;=4,"Good",IF(L1334&lt;=2,"Poor","Neutral")))</f>
        <v>Good</v>
      </c>
      <c r="R1334" s="11" t="str">
        <f aca="false">IF(AND(O1334="Low",P1334="Low",Q1334="Good"),"BUY / PRIORITIZE",IF(AND(O1334="High",P1334="High",OR(Q1334="Poor",M1334=TRUE())),"HOLD / REVIEW","MONITOR"))</f>
        <v>MONITOR</v>
      </c>
      <c r="S1334" s="11" t="n">
        <f aca="false">K1334+(ROW()/10000000)</f>
        <v>34.0001334</v>
      </c>
    </row>
    <row r="1335" customFormat="false" ht="15" hidden="false" customHeight="false" outlineLevel="0" collapsed="false">
      <c r="A1335" s="11" t="s">
        <v>1647</v>
      </c>
      <c r="B1335" s="11" t="s">
        <v>28</v>
      </c>
      <c r="C1335" s="11" t="s">
        <v>86</v>
      </c>
      <c r="D1335" s="11" t="s">
        <v>35</v>
      </c>
      <c r="E1335" s="11" t="s">
        <v>73</v>
      </c>
      <c r="F1335" s="11" t="s">
        <v>82</v>
      </c>
      <c r="G1335" s="21" t="n">
        <v>143.61</v>
      </c>
      <c r="H1335" s="19" t="n">
        <v>24.6</v>
      </c>
      <c r="I1335" s="21" t="n">
        <v>108.28</v>
      </c>
      <c r="J1335" s="22" t="s">
        <v>80</v>
      </c>
      <c r="K1335" s="11" t="n">
        <v>50</v>
      </c>
      <c r="L1335" s="23" t="n">
        <v>4.1</v>
      </c>
      <c r="M1335" s="24" t="b">
        <f aca="false">FALSE()</f>
        <v>0</v>
      </c>
      <c r="N1335" s="11"/>
      <c r="O1335" s="11" t="str">
        <f aca="false">IF(K1335&lt;=StockP33,"Low",IF(K1335&lt;=StockP67,"Moderate","High"))</f>
        <v>High</v>
      </c>
      <c r="P1335" s="11" t="str">
        <f aca="false">IF(H1335=0,"Low",IF(H1335&lt;=MarkdownP75,"Moderate","High"))</f>
        <v>High</v>
      </c>
      <c r="Q1335" s="11" t="str">
        <f aca="false">IF(ISBLANK(L1335),"Unknown",IF(L1335&gt;=4,"Good",IF(L1335&lt;=2,"Poor","Neutral")))</f>
        <v>Good</v>
      </c>
      <c r="R1335" s="11" t="str">
        <f aca="false">IF(AND(O1335="Low",P1335="Low",Q1335="Good"),"BUY / PRIORITIZE",IF(AND(O1335="High",P1335="High",OR(Q1335="Poor",M1335=TRUE())),"HOLD / REVIEW","MONITOR"))</f>
        <v>MONITOR</v>
      </c>
      <c r="S1335" s="11" t="n">
        <f aca="false">K1335+(ROW()/10000000)</f>
        <v>50.0001335</v>
      </c>
    </row>
    <row r="1336" customFormat="false" ht="15" hidden="false" customHeight="false" outlineLevel="0" collapsed="false">
      <c r="A1336" s="11" t="s">
        <v>1648</v>
      </c>
      <c r="B1336" s="11" t="s">
        <v>26</v>
      </c>
      <c r="C1336" s="11" t="s">
        <v>116</v>
      </c>
      <c r="D1336" s="11" t="s">
        <v>35</v>
      </c>
      <c r="E1336" s="11" t="s">
        <v>78</v>
      </c>
      <c r="F1336" s="11" t="s">
        <v>74</v>
      </c>
      <c r="G1336" s="21" t="n">
        <v>45.48</v>
      </c>
      <c r="H1336" s="19" t="n">
        <v>0</v>
      </c>
      <c r="I1336" s="21" t="n">
        <v>45.48</v>
      </c>
      <c r="J1336" s="22" t="s">
        <v>80</v>
      </c>
      <c r="K1336" s="11" t="n">
        <v>29</v>
      </c>
      <c r="L1336" s="23" t="n">
        <v>2.3</v>
      </c>
      <c r="M1336" s="24" t="b">
        <f aca="false">FALSE()</f>
        <v>0</v>
      </c>
      <c r="N1336" s="11"/>
      <c r="O1336" s="11" t="str">
        <f aca="false">IF(K1336&lt;=StockP33,"Low",IF(K1336&lt;=StockP67,"Moderate","High"))</f>
        <v>Moderate</v>
      </c>
      <c r="P1336" s="11" t="str">
        <f aca="false">IF(H1336=0,"Low",IF(H1336&lt;=MarkdownP75,"Moderate","High"))</f>
        <v>Low</v>
      </c>
      <c r="Q1336" s="11" t="str">
        <f aca="false">IF(ISBLANK(L1336),"Unknown",IF(L1336&gt;=4,"Good",IF(L1336&lt;=2,"Poor","Neutral")))</f>
        <v>Neutral</v>
      </c>
      <c r="R1336" s="11" t="str">
        <f aca="false">IF(AND(O1336="Low",P1336="Low",Q1336="Good"),"BUY / PRIORITIZE",IF(AND(O1336="High",P1336="High",OR(Q1336="Poor",M1336=TRUE())),"HOLD / REVIEW","MONITOR"))</f>
        <v>MONITOR</v>
      </c>
      <c r="S1336" s="11" t="n">
        <f aca="false">K1336+(ROW()/10000000)</f>
        <v>29.0001336</v>
      </c>
    </row>
    <row r="1337" customFormat="false" ht="15" hidden="false" customHeight="false" outlineLevel="0" collapsed="false">
      <c r="A1337" s="11" t="s">
        <v>1649</v>
      </c>
      <c r="B1337" s="11" t="s">
        <v>29</v>
      </c>
      <c r="C1337" s="11" t="s">
        <v>72</v>
      </c>
      <c r="D1337" s="11" t="s">
        <v>35</v>
      </c>
      <c r="E1337" s="11"/>
      <c r="F1337" s="11" t="s">
        <v>88</v>
      </c>
      <c r="G1337" s="21" t="n">
        <v>177.79</v>
      </c>
      <c r="H1337" s="19" t="n">
        <v>10.7</v>
      </c>
      <c r="I1337" s="21" t="n">
        <v>158.77</v>
      </c>
      <c r="J1337" s="22" t="s">
        <v>80</v>
      </c>
      <c r="K1337" s="11" t="n">
        <v>37</v>
      </c>
      <c r="L1337" s="23"/>
      <c r="M1337" s="24" t="b">
        <f aca="false">FALSE()</f>
        <v>0</v>
      </c>
      <c r="N1337" s="11"/>
      <c r="O1337" s="11" t="str">
        <f aca="false">IF(K1337&lt;=StockP33,"Low",IF(K1337&lt;=StockP67,"Moderate","High"))</f>
        <v>High</v>
      </c>
      <c r="P1337" s="11" t="str">
        <f aca="false">IF(H1337=0,"Low",IF(H1337&lt;=MarkdownP75,"Moderate","High"))</f>
        <v>Moderate</v>
      </c>
      <c r="Q1337" s="11" t="str">
        <f aca="false">IF(ISBLANK(L1337),"Unknown",IF(L1337&gt;=4,"Good",IF(L1337&lt;=2,"Poor","Neutral")))</f>
        <v>Unknown</v>
      </c>
      <c r="R1337" s="11" t="str">
        <f aca="false">IF(AND(O1337="Low",P1337="Low",Q1337="Good"),"BUY / PRIORITIZE",IF(AND(O1337="High",P1337="High",OR(Q1337="Poor",M1337=TRUE())),"HOLD / REVIEW","MONITOR"))</f>
        <v>MONITOR</v>
      </c>
      <c r="S1337" s="11" t="n">
        <f aca="false">K1337+(ROW()/10000000)</f>
        <v>37.0001337</v>
      </c>
    </row>
    <row r="1338" customFormat="false" ht="15" hidden="false" customHeight="false" outlineLevel="0" collapsed="false">
      <c r="A1338" s="11" t="s">
        <v>1650</v>
      </c>
      <c r="B1338" s="11" t="s">
        <v>28</v>
      </c>
      <c r="C1338" s="11" t="s">
        <v>116</v>
      </c>
      <c r="D1338" s="11" t="s">
        <v>36</v>
      </c>
      <c r="E1338" s="11" t="s">
        <v>110</v>
      </c>
      <c r="F1338" s="11" t="s">
        <v>120</v>
      </c>
      <c r="G1338" s="21" t="n">
        <v>145.1</v>
      </c>
      <c r="H1338" s="19" t="n">
        <v>34.2</v>
      </c>
      <c r="I1338" s="21" t="n">
        <v>95.48</v>
      </c>
      <c r="J1338" s="22" t="s">
        <v>80</v>
      </c>
      <c r="K1338" s="11" t="n">
        <v>14</v>
      </c>
      <c r="L1338" s="23"/>
      <c r="M1338" s="24" t="b">
        <f aca="false">FALSE()</f>
        <v>0</v>
      </c>
      <c r="N1338" s="11"/>
      <c r="O1338" s="11" t="str">
        <f aca="false">IF(K1338&lt;=StockP33,"Low",IF(K1338&lt;=StockP67,"Moderate","High"))</f>
        <v>Low</v>
      </c>
      <c r="P1338" s="11" t="str">
        <f aca="false">IF(H1338=0,"Low",IF(H1338&lt;=MarkdownP75,"Moderate","High"))</f>
        <v>High</v>
      </c>
      <c r="Q1338" s="11" t="str">
        <f aca="false">IF(ISBLANK(L1338),"Unknown",IF(L1338&gt;=4,"Good",IF(L1338&lt;=2,"Poor","Neutral")))</f>
        <v>Unknown</v>
      </c>
      <c r="R1338" s="11" t="str">
        <f aca="false">IF(AND(O1338="Low",P1338="Low",Q1338="Good"),"BUY / PRIORITIZE",IF(AND(O1338="High",P1338="High",OR(Q1338="Poor",M1338=TRUE())),"HOLD / REVIEW","MONITOR"))</f>
        <v>MONITOR</v>
      </c>
      <c r="S1338" s="11" t="n">
        <f aca="false">K1338+(ROW()/10000000)</f>
        <v>14.0001338</v>
      </c>
    </row>
    <row r="1339" customFormat="false" ht="15" hidden="false" customHeight="false" outlineLevel="0" collapsed="false">
      <c r="A1339" s="11" t="s">
        <v>1651</v>
      </c>
      <c r="B1339" s="11" t="s">
        <v>29</v>
      </c>
      <c r="C1339" s="11" t="s">
        <v>107</v>
      </c>
      <c r="D1339" s="11" t="s">
        <v>35</v>
      </c>
      <c r="E1339" s="11" t="s">
        <v>102</v>
      </c>
      <c r="F1339" s="11" t="s">
        <v>118</v>
      </c>
      <c r="G1339" s="21" t="n">
        <v>190.78</v>
      </c>
      <c r="H1339" s="19" t="n">
        <v>0</v>
      </c>
      <c r="I1339" s="21" t="n">
        <v>190.78</v>
      </c>
      <c r="J1339" s="22" t="s">
        <v>80</v>
      </c>
      <c r="K1339" s="11" t="n">
        <v>39</v>
      </c>
      <c r="L1339" s="23" t="n">
        <v>3.7</v>
      </c>
      <c r="M1339" s="24" t="b">
        <f aca="false">FALSE()</f>
        <v>0</v>
      </c>
      <c r="N1339" s="11"/>
      <c r="O1339" s="11" t="str">
        <f aca="false">IF(K1339&lt;=StockP33,"Low",IF(K1339&lt;=StockP67,"Moderate","High"))</f>
        <v>High</v>
      </c>
      <c r="P1339" s="11" t="str">
        <f aca="false">IF(H1339=0,"Low",IF(H1339&lt;=MarkdownP75,"Moderate","High"))</f>
        <v>Low</v>
      </c>
      <c r="Q1339" s="11" t="str">
        <f aca="false">IF(ISBLANK(L1339),"Unknown",IF(L1339&gt;=4,"Good",IF(L1339&lt;=2,"Poor","Neutral")))</f>
        <v>Neutral</v>
      </c>
      <c r="R1339" s="11" t="str">
        <f aca="false">IF(AND(O1339="Low",P1339="Low",Q1339="Good"),"BUY / PRIORITIZE",IF(AND(O1339="High",P1339="High",OR(Q1339="Poor",M1339=TRUE())),"HOLD / REVIEW","MONITOR"))</f>
        <v>MONITOR</v>
      </c>
      <c r="S1339" s="11" t="n">
        <f aca="false">K1339+(ROW()/10000000)</f>
        <v>39.0001339</v>
      </c>
    </row>
    <row r="1340" customFormat="false" ht="15" hidden="false" customHeight="false" outlineLevel="0" collapsed="false">
      <c r="A1340" s="11" t="s">
        <v>1652</v>
      </c>
      <c r="B1340" s="11" t="s">
        <v>8</v>
      </c>
      <c r="C1340" s="11" t="s">
        <v>130</v>
      </c>
      <c r="D1340" s="11" t="s">
        <v>36</v>
      </c>
      <c r="E1340" s="11"/>
      <c r="F1340" s="11" t="s">
        <v>96</v>
      </c>
      <c r="G1340" s="21" t="n">
        <v>44.73</v>
      </c>
      <c r="H1340" s="19" t="n">
        <v>0</v>
      </c>
      <c r="I1340" s="21" t="n">
        <v>44.73</v>
      </c>
      <c r="J1340" s="22" t="s">
        <v>80</v>
      </c>
      <c r="K1340" s="11" t="n">
        <v>25</v>
      </c>
      <c r="L1340" s="23" t="n">
        <v>1.1</v>
      </c>
      <c r="M1340" s="24" t="b">
        <f aca="false">FALSE()</f>
        <v>0</v>
      </c>
      <c r="N1340" s="11"/>
      <c r="O1340" s="11" t="str">
        <f aca="false">IF(K1340&lt;=StockP33,"Low",IF(K1340&lt;=StockP67,"Moderate","High"))</f>
        <v>Moderate</v>
      </c>
      <c r="P1340" s="11" t="str">
        <f aca="false">IF(H1340=0,"Low",IF(H1340&lt;=MarkdownP75,"Moderate","High"))</f>
        <v>Low</v>
      </c>
      <c r="Q1340" s="11" t="str">
        <f aca="false">IF(ISBLANK(L1340),"Unknown",IF(L1340&gt;=4,"Good",IF(L1340&lt;=2,"Poor","Neutral")))</f>
        <v>Poor</v>
      </c>
      <c r="R1340" s="11" t="str">
        <f aca="false">IF(AND(O1340="Low",P1340="Low",Q1340="Good"),"BUY / PRIORITIZE",IF(AND(O1340="High",P1340="High",OR(Q1340="Poor",M1340=TRUE())),"HOLD / REVIEW","MONITOR"))</f>
        <v>MONITOR</v>
      </c>
      <c r="S1340" s="11" t="n">
        <f aca="false">K1340+(ROW()/10000000)</f>
        <v>25.000134</v>
      </c>
    </row>
    <row r="1341" customFormat="false" ht="15" hidden="false" customHeight="false" outlineLevel="0" collapsed="false">
      <c r="A1341" s="11" t="s">
        <v>1653</v>
      </c>
      <c r="B1341" s="11" t="s">
        <v>29</v>
      </c>
      <c r="C1341" s="11" t="s">
        <v>86</v>
      </c>
      <c r="D1341" s="11" t="s">
        <v>37</v>
      </c>
      <c r="E1341" s="11" t="s">
        <v>102</v>
      </c>
      <c r="F1341" s="11" t="s">
        <v>88</v>
      </c>
      <c r="G1341" s="21" t="n">
        <v>65.48</v>
      </c>
      <c r="H1341" s="19" t="n">
        <v>0</v>
      </c>
      <c r="I1341" s="21" t="n">
        <v>65.48</v>
      </c>
      <c r="J1341" s="22" t="s">
        <v>80</v>
      </c>
      <c r="K1341" s="11" t="n">
        <v>7</v>
      </c>
      <c r="L1341" s="23" t="n">
        <v>4.6</v>
      </c>
      <c r="M1341" s="24" t="b">
        <f aca="false">FALSE()</f>
        <v>0</v>
      </c>
      <c r="N1341" s="11"/>
      <c r="O1341" s="11" t="str">
        <f aca="false">IF(K1341&lt;=StockP33,"Low",IF(K1341&lt;=StockP67,"Moderate","High"))</f>
        <v>Low</v>
      </c>
      <c r="P1341" s="11" t="str">
        <f aca="false">IF(H1341=0,"Low",IF(H1341&lt;=MarkdownP75,"Moderate","High"))</f>
        <v>Low</v>
      </c>
      <c r="Q1341" s="11" t="str">
        <f aca="false">IF(ISBLANK(L1341),"Unknown",IF(L1341&gt;=4,"Good",IF(L1341&lt;=2,"Poor","Neutral")))</f>
        <v>Good</v>
      </c>
      <c r="R1341" s="11" t="str">
        <f aca="false">IF(AND(O1341="Low",P1341="Low",Q1341="Good"),"BUY / PRIORITIZE",IF(AND(O1341="High",P1341="High",OR(Q1341="Poor",M1341=TRUE())),"HOLD / REVIEW","MONITOR"))</f>
        <v>BUY / PRIORITIZE</v>
      </c>
      <c r="S1341" s="11" t="n">
        <f aca="false">K1341+(ROW()/10000000)</f>
        <v>7.0001341</v>
      </c>
    </row>
    <row r="1342" customFormat="false" ht="15" hidden="false" customHeight="false" outlineLevel="0" collapsed="false">
      <c r="A1342" s="11" t="s">
        <v>1654</v>
      </c>
      <c r="B1342" s="11" t="s">
        <v>29</v>
      </c>
      <c r="C1342" s="11" t="s">
        <v>116</v>
      </c>
      <c r="D1342" s="11" t="s">
        <v>34</v>
      </c>
      <c r="E1342" s="11" t="s">
        <v>110</v>
      </c>
      <c r="F1342" s="11" t="s">
        <v>120</v>
      </c>
      <c r="G1342" s="21" t="n">
        <v>86.1</v>
      </c>
      <c r="H1342" s="19" t="n">
        <v>0</v>
      </c>
      <c r="I1342" s="21" t="n">
        <v>86.1</v>
      </c>
      <c r="J1342" s="22" t="s">
        <v>389</v>
      </c>
      <c r="K1342" s="11" t="n">
        <v>4</v>
      </c>
      <c r="L1342" s="23" t="n">
        <v>2.4</v>
      </c>
      <c r="M1342" s="24" t="b">
        <f aca="false">FALSE()</f>
        <v>0</v>
      </c>
      <c r="N1342" s="11"/>
      <c r="O1342" s="11" t="str">
        <f aca="false">IF(K1342&lt;=StockP33,"Low",IF(K1342&lt;=StockP67,"Moderate","High"))</f>
        <v>Low</v>
      </c>
      <c r="P1342" s="11" t="str">
        <f aca="false">IF(H1342=0,"Low",IF(H1342&lt;=MarkdownP75,"Moderate","High"))</f>
        <v>Low</v>
      </c>
      <c r="Q1342" s="11" t="str">
        <f aca="false">IF(ISBLANK(L1342),"Unknown",IF(L1342&gt;=4,"Good",IF(L1342&lt;=2,"Poor","Neutral")))</f>
        <v>Neutral</v>
      </c>
      <c r="R1342" s="11" t="str">
        <f aca="false">IF(AND(O1342="Low",P1342="Low",Q1342="Good"),"BUY / PRIORITIZE",IF(AND(O1342="High",P1342="High",OR(Q1342="Poor",M1342=TRUE())),"HOLD / REVIEW","MONITOR"))</f>
        <v>MONITOR</v>
      </c>
      <c r="S1342" s="11" t="n">
        <f aca="false">K1342+(ROW()/10000000)</f>
        <v>4.0001342</v>
      </c>
    </row>
    <row r="1343" customFormat="false" ht="15" hidden="false" customHeight="false" outlineLevel="0" collapsed="false">
      <c r="A1343" s="11" t="s">
        <v>1655</v>
      </c>
      <c r="B1343" s="11" t="s">
        <v>26</v>
      </c>
      <c r="C1343" s="11" t="s">
        <v>77</v>
      </c>
      <c r="D1343" s="11" t="s">
        <v>37</v>
      </c>
      <c r="E1343" s="11" t="s">
        <v>110</v>
      </c>
      <c r="F1343" s="11" t="s">
        <v>98</v>
      </c>
      <c r="G1343" s="21" t="n">
        <v>100.14</v>
      </c>
      <c r="H1343" s="19" t="n">
        <v>0</v>
      </c>
      <c r="I1343" s="21" t="n">
        <v>100.14</v>
      </c>
      <c r="J1343" s="22" t="s">
        <v>80</v>
      </c>
      <c r="K1343" s="11" t="n">
        <v>48</v>
      </c>
      <c r="L1343" s="23" t="n">
        <v>4.2</v>
      </c>
      <c r="M1343" s="24" t="b">
        <f aca="false">FALSE()</f>
        <v>0</v>
      </c>
      <c r="N1343" s="11"/>
      <c r="O1343" s="11" t="str">
        <f aca="false">IF(K1343&lt;=StockP33,"Low",IF(K1343&lt;=StockP67,"Moderate","High"))</f>
        <v>High</v>
      </c>
      <c r="P1343" s="11" t="str">
        <f aca="false">IF(H1343=0,"Low",IF(H1343&lt;=MarkdownP75,"Moderate","High"))</f>
        <v>Low</v>
      </c>
      <c r="Q1343" s="11" t="str">
        <f aca="false">IF(ISBLANK(L1343),"Unknown",IF(L1343&gt;=4,"Good",IF(L1343&lt;=2,"Poor","Neutral")))</f>
        <v>Good</v>
      </c>
      <c r="R1343" s="11" t="str">
        <f aca="false">IF(AND(O1343="Low",P1343="Low",Q1343="Good"),"BUY / PRIORITIZE",IF(AND(O1343="High",P1343="High",OR(Q1343="Poor",M1343=TRUE())),"HOLD / REVIEW","MONITOR"))</f>
        <v>MONITOR</v>
      </c>
      <c r="S1343" s="11" t="n">
        <f aca="false">K1343+(ROW()/10000000)</f>
        <v>48.0001343</v>
      </c>
    </row>
    <row r="1344" customFormat="false" ht="15" hidden="false" customHeight="false" outlineLevel="0" collapsed="false">
      <c r="A1344" s="11" t="s">
        <v>1656</v>
      </c>
      <c r="B1344" s="11" t="s">
        <v>28</v>
      </c>
      <c r="C1344" s="11" t="s">
        <v>86</v>
      </c>
      <c r="D1344" s="11" t="s">
        <v>37</v>
      </c>
      <c r="E1344" s="11"/>
      <c r="F1344" s="11" t="s">
        <v>74</v>
      </c>
      <c r="G1344" s="21" t="n">
        <v>203.4</v>
      </c>
      <c r="H1344" s="19" t="n">
        <v>0</v>
      </c>
      <c r="I1344" s="21" t="n">
        <v>203.4</v>
      </c>
      <c r="J1344" s="22" t="s">
        <v>80</v>
      </c>
      <c r="K1344" s="11" t="n">
        <v>18</v>
      </c>
      <c r="L1344" s="23" t="n">
        <v>1.8</v>
      </c>
      <c r="M1344" s="24" t="b">
        <f aca="false">FALSE()</f>
        <v>0</v>
      </c>
      <c r="N1344" s="11"/>
      <c r="O1344" s="11" t="str">
        <f aca="false">IF(K1344&lt;=StockP33,"Low",IF(K1344&lt;=StockP67,"Moderate","High"))</f>
        <v>Moderate</v>
      </c>
      <c r="P1344" s="11" t="str">
        <f aca="false">IF(H1344=0,"Low",IF(H1344&lt;=MarkdownP75,"Moderate","High"))</f>
        <v>Low</v>
      </c>
      <c r="Q1344" s="11" t="str">
        <f aca="false">IF(ISBLANK(L1344),"Unknown",IF(L1344&gt;=4,"Good",IF(L1344&lt;=2,"Poor","Neutral")))</f>
        <v>Poor</v>
      </c>
      <c r="R1344" s="11" t="str">
        <f aca="false">IF(AND(O1344="Low",P1344="Low",Q1344="Good"),"BUY / PRIORITIZE",IF(AND(O1344="High",P1344="High",OR(Q1344="Poor",M1344=TRUE())),"HOLD / REVIEW","MONITOR"))</f>
        <v>MONITOR</v>
      </c>
      <c r="S1344" s="11" t="n">
        <f aca="false">K1344+(ROW()/10000000)</f>
        <v>18.0001344</v>
      </c>
    </row>
    <row r="1345" customFormat="false" ht="15" hidden="false" customHeight="false" outlineLevel="0" collapsed="false">
      <c r="A1345" s="11" t="s">
        <v>1657</v>
      </c>
      <c r="B1345" s="11" t="s">
        <v>30</v>
      </c>
      <c r="C1345" s="11" t="s">
        <v>116</v>
      </c>
      <c r="D1345" s="11" t="s">
        <v>37</v>
      </c>
      <c r="E1345" s="11" t="s">
        <v>110</v>
      </c>
      <c r="F1345" s="11" t="s">
        <v>88</v>
      </c>
      <c r="G1345" s="21" t="n">
        <v>95.22</v>
      </c>
      <c r="H1345" s="19" t="n">
        <v>24.4</v>
      </c>
      <c r="I1345" s="21" t="n">
        <v>71.99</v>
      </c>
      <c r="J1345" s="22" t="s">
        <v>80</v>
      </c>
      <c r="K1345" s="11" t="n">
        <v>26</v>
      </c>
      <c r="L1345" s="23" t="n">
        <v>2.3</v>
      </c>
      <c r="M1345" s="24" t="b">
        <f aca="false">FALSE()</f>
        <v>0</v>
      </c>
      <c r="N1345" s="11"/>
      <c r="O1345" s="11" t="str">
        <f aca="false">IF(K1345&lt;=StockP33,"Low",IF(K1345&lt;=StockP67,"Moderate","High"))</f>
        <v>Moderate</v>
      </c>
      <c r="P1345" s="11" t="str">
        <f aca="false">IF(H1345=0,"Low",IF(H1345&lt;=MarkdownP75,"Moderate","High"))</f>
        <v>High</v>
      </c>
      <c r="Q1345" s="11" t="str">
        <f aca="false">IF(ISBLANK(L1345),"Unknown",IF(L1345&gt;=4,"Good",IF(L1345&lt;=2,"Poor","Neutral")))</f>
        <v>Neutral</v>
      </c>
      <c r="R1345" s="11" t="str">
        <f aca="false">IF(AND(O1345="Low",P1345="Low",Q1345="Good"),"BUY / PRIORITIZE",IF(AND(O1345="High",P1345="High",OR(Q1345="Poor",M1345=TRUE())),"HOLD / REVIEW","MONITOR"))</f>
        <v>MONITOR</v>
      </c>
      <c r="S1345" s="11" t="n">
        <f aca="false">K1345+(ROW()/10000000)</f>
        <v>26.0001345</v>
      </c>
    </row>
    <row r="1346" customFormat="false" ht="15" hidden="false" customHeight="false" outlineLevel="0" collapsed="false">
      <c r="A1346" s="11" t="s">
        <v>1658</v>
      </c>
      <c r="B1346" s="11" t="s">
        <v>27</v>
      </c>
      <c r="C1346" s="11" t="s">
        <v>101</v>
      </c>
      <c r="D1346" s="11" t="s">
        <v>36</v>
      </c>
      <c r="E1346" s="11" t="s">
        <v>73</v>
      </c>
      <c r="F1346" s="11" t="s">
        <v>74</v>
      </c>
      <c r="G1346" s="21" t="n">
        <v>173.88</v>
      </c>
      <c r="H1346" s="19" t="n">
        <v>31.6</v>
      </c>
      <c r="I1346" s="21" t="n">
        <v>118.93</v>
      </c>
      <c r="J1346" s="22" t="s">
        <v>80</v>
      </c>
      <c r="K1346" s="11" t="n">
        <v>5</v>
      </c>
      <c r="L1346" s="23" t="n">
        <v>3.2</v>
      </c>
      <c r="M1346" s="24" t="b">
        <f aca="false">FALSE()</f>
        <v>0</v>
      </c>
      <c r="N1346" s="11"/>
      <c r="O1346" s="11" t="str">
        <f aca="false">IF(K1346&lt;=StockP33,"Low",IF(K1346&lt;=StockP67,"Moderate","High"))</f>
        <v>Low</v>
      </c>
      <c r="P1346" s="11" t="str">
        <f aca="false">IF(H1346=0,"Low",IF(H1346&lt;=MarkdownP75,"Moderate","High"))</f>
        <v>High</v>
      </c>
      <c r="Q1346" s="11" t="str">
        <f aca="false">IF(ISBLANK(L1346),"Unknown",IF(L1346&gt;=4,"Good",IF(L1346&lt;=2,"Poor","Neutral")))</f>
        <v>Neutral</v>
      </c>
      <c r="R1346" s="11" t="str">
        <f aca="false">IF(AND(O1346="Low",P1346="Low",Q1346="Good"),"BUY / PRIORITIZE",IF(AND(O1346="High",P1346="High",OR(Q1346="Poor",M1346=TRUE())),"HOLD / REVIEW","MONITOR"))</f>
        <v>MONITOR</v>
      </c>
      <c r="S1346" s="11" t="n">
        <f aca="false">K1346+(ROW()/10000000)</f>
        <v>5.0001346</v>
      </c>
    </row>
    <row r="1347" customFormat="false" ht="15" hidden="false" customHeight="false" outlineLevel="0" collapsed="false">
      <c r="A1347" s="11" t="s">
        <v>1659</v>
      </c>
      <c r="B1347" s="11" t="s">
        <v>27</v>
      </c>
      <c r="C1347" s="11" t="s">
        <v>101</v>
      </c>
      <c r="D1347" s="11" t="s">
        <v>37</v>
      </c>
      <c r="E1347" s="11" t="s">
        <v>78</v>
      </c>
      <c r="F1347" s="11" t="s">
        <v>111</v>
      </c>
      <c r="G1347" s="21" t="n">
        <v>160.05</v>
      </c>
      <c r="H1347" s="19" t="n">
        <v>0</v>
      </c>
      <c r="I1347" s="21" t="n">
        <v>160.05</v>
      </c>
      <c r="J1347" s="22" t="s">
        <v>80</v>
      </c>
      <c r="K1347" s="11" t="n">
        <v>23</v>
      </c>
      <c r="L1347" s="23" t="n">
        <v>4</v>
      </c>
      <c r="M1347" s="24" t="b">
        <f aca="false">FALSE()</f>
        <v>0</v>
      </c>
      <c r="N1347" s="11"/>
      <c r="O1347" s="11" t="str">
        <f aca="false">IF(K1347&lt;=StockP33,"Low",IF(K1347&lt;=StockP67,"Moderate","High"))</f>
        <v>Moderate</v>
      </c>
      <c r="P1347" s="11" t="str">
        <f aca="false">IF(H1347=0,"Low",IF(H1347&lt;=MarkdownP75,"Moderate","High"))</f>
        <v>Low</v>
      </c>
      <c r="Q1347" s="11" t="str">
        <f aca="false">IF(ISBLANK(L1347),"Unknown",IF(L1347&gt;=4,"Good",IF(L1347&lt;=2,"Poor","Neutral")))</f>
        <v>Good</v>
      </c>
      <c r="R1347" s="11" t="str">
        <f aca="false">IF(AND(O1347="Low",P1347="Low",Q1347="Good"),"BUY / PRIORITIZE",IF(AND(O1347="High",P1347="High",OR(Q1347="Poor",M1347=TRUE())),"HOLD / REVIEW","MONITOR"))</f>
        <v>MONITOR</v>
      </c>
      <c r="S1347" s="11" t="n">
        <f aca="false">K1347+(ROW()/10000000)</f>
        <v>23.0001347</v>
      </c>
    </row>
    <row r="1348" customFormat="false" ht="15" hidden="false" customHeight="false" outlineLevel="0" collapsed="false">
      <c r="A1348" s="11" t="s">
        <v>1660</v>
      </c>
      <c r="B1348" s="11" t="s">
        <v>30</v>
      </c>
      <c r="C1348" s="11" t="s">
        <v>130</v>
      </c>
      <c r="D1348" s="11" t="s">
        <v>37</v>
      </c>
      <c r="E1348" s="11" t="s">
        <v>110</v>
      </c>
      <c r="F1348" s="11" t="s">
        <v>96</v>
      </c>
      <c r="G1348" s="21" t="n">
        <v>59.53</v>
      </c>
      <c r="H1348" s="19" t="n">
        <v>0</v>
      </c>
      <c r="I1348" s="21" t="n">
        <v>59.53</v>
      </c>
      <c r="J1348" s="22" t="s">
        <v>80</v>
      </c>
      <c r="K1348" s="11" t="n">
        <v>28</v>
      </c>
      <c r="L1348" s="23" t="n">
        <v>1.5</v>
      </c>
      <c r="M1348" s="24" t="b">
        <f aca="false">FALSE()</f>
        <v>0</v>
      </c>
      <c r="N1348" s="11"/>
      <c r="O1348" s="11" t="str">
        <f aca="false">IF(K1348&lt;=StockP33,"Low",IF(K1348&lt;=StockP67,"Moderate","High"))</f>
        <v>Moderate</v>
      </c>
      <c r="P1348" s="11" t="str">
        <f aca="false">IF(H1348=0,"Low",IF(H1348&lt;=MarkdownP75,"Moderate","High"))</f>
        <v>Low</v>
      </c>
      <c r="Q1348" s="11" t="str">
        <f aca="false">IF(ISBLANK(L1348),"Unknown",IF(L1348&gt;=4,"Good",IF(L1348&lt;=2,"Poor","Neutral")))</f>
        <v>Poor</v>
      </c>
      <c r="R1348" s="11" t="str">
        <f aca="false">IF(AND(O1348="Low",P1348="Low",Q1348="Good"),"BUY / PRIORITIZE",IF(AND(O1348="High",P1348="High",OR(Q1348="Poor",M1348=TRUE())),"HOLD / REVIEW","MONITOR"))</f>
        <v>MONITOR</v>
      </c>
      <c r="S1348" s="11" t="n">
        <f aca="false">K1348+(ROW()/10000000)</f>
        <v>28.0001348</v>
      </c>
    </row>
    <row r="1349" customFormat="false" ht="15" hidden="false" customHeight="false" outlineLevel="0" collapsed="false">
      <c r="A1349" s="11" t="s">
        <v>1661</v>
      </c>
      <c r="B1349" s="11" t="s">
        <v>27</v>
      </c>
      <c r="C1349" s="11" t="s">
        <v>95</v>
      </c>
      <c r="D1349" s="11" t="s">
        <v>36</v>
      </c>
      <c r="E1349" s="11" t="s">
        <v>110</v>
      </c>
      <c r="F1349" s="11" t="s">
        <v>96</v>
      </c>
      <c r="G1349" s="21" t="n">
        <v>155.32</v>
      </c>
      <c r="H1349" s="19" t="n">
        <v>0</v>
      </c>
      <c r="I1349" s="21" t="n">
        <v>155.32</v>
      </c>
      <c r="J1349" s="22" t="s">
        <v>80</v>
      </c>
      <c r="K1349" s="11" t="n">
        <v>19</v>
      </c>
      <c r="L1349" s="23" t="n">
        <v>4.1</v>
      </c>
      <c r="M1349" s="24" t="b">
        <f aca="false">FALSE()</f>
        <v>0</v>
      </c>
      <c r="N1349" s="11"/>
      <c r="O1349" s="11" t="str">
        <f aca="false">IF(K1349&lt;=StockP33,"Low",IF(K1349&lt;=StockP67,"Moderate","High"))</f>
        <v>Moderate</v>
      </c>
      <c r="P1349" s="11" t="str">
        <f aca="false">IF(H1349=0,"Low",IF(H1349&lt;=MarkdownP75,"Moderate","High"))</f>
        <v>Low</v>
      </c>
      <c r="Q1349" s="11" t="str">
        <f aca="false">IF(ISBLANK(L1349),"Unknown",IF(L1349&gt;=4,"Good",IF(L1349&lt;=2,"Poor","Neutral")))</f>
        <v>Good</v>
      </c>
      <c r="R1349" s="11" t="str">
        <f aca="false">IF(AND(O1349="Low",P1349="Low",Q1349="Good"),"BUY / PRIORITIZE",IF(AND(O1349="High",P1349="High",OR(Q1349="Poor",M1349=TRUE())),"HOLD / REVIEW","MONITOR"))</f>
        <v>MONITOR</v>
      </c>
      <c r="S1349" s="11" t="n">
        <f aca="false">K1349+(ROW()/10000000)</f>
        <v>19.0001349</v>
      </c>
    </row>
    <row r="1350" customFormat="false" ht="15" hidden="false" customHeight="false" outlineLevel="0" collapsed="false">
      <c r="A1350" s="11" t="s">
        <v>1662</v>
      </c>
      <c r="B1350" s="11" t="s">
        <v>26</v>
      </c>
      <c r="C1350" s="11" t="s">
        <v>130</v>
      </c>
      <c r="D1350" s="11" t="s">
        <v>34</v>
      </c>
      <c r="E1350" s="11" t="s">
        <v>73</v>
      </c>
      <c r="F1350" s="11" t="s">
        <v>82</v>
      </c>
      <c r="G1350" s="21" t="n">
        <v>29.65</v>
      </c>
      <c r="H1350" s="19" t="n">
        <v>41</v>
      </c>
      <c r="I1350" s="21" t="n">
        <v>17.49</v>
      </c>
      <c r="J1350" s="22" t="s">
        <v>1663</v>
      </c>
      <c r="K1350" s="11" t="n">
        <v>21</v>
      </c>
      <c r="L1350" s="23" t="n">
        <v>4.5</v>
      </c>
      <c r="M1350" s="24" t="b">
        <f aca="false">TRUE()</f>
        <v>1</v>
      </c>
      <c r="N1350" s="11" t="s">
        <v>140</v>
      </c>
      <c r="O1350" s="11" t="str">
        <f aca="false">IF(K1350&lt;=StockP33,"Low",IF(K1350&lt;=StockP67,"Moderate","High"))</f>
        <v>Moderate</v>
      </c>
      <c r="P1350" s="11" t="str">
        <f aca="false">IF(H1350=0,"Low",IF(H1350&lt;=MarkdownP75,"Moderate","High"))</f>
        <v>High</v>
      </c>
      <c r="Q1350" s="11" t="str">
        <f aca="false">IF(ISBLANK(L1350),"Unknown",IF(L1350&gt;=4,"Good",IF(L1350&lt;=2,"Poor","Neutral")))</f>
        <v>Good</v>
      </c>
      <c r="R1350" s="11" t="str">
        <f aca="false">IF(AND(O1350="Low",P1350="Low",Q1350="Good"),"BUY / PRIORITIZE",IF(AND(O1350="High",P1350="High",OR(Q1350="Poor",M1350=TRUE())),"HOLD / REVIEW","MONITOR"))</f>
        <v>MONITOR</v>
      </c>
      <c r="S1350" s="11" t="n">
        <f aca="false">K1350+(ROW()/10000000)</f>
        <v>21.000135</v>
      </c>
    </row>
    <row r="1351" customFormat="false" ht="15" hidden="false" customHeight="false" outlineLevel="0" collapsed="false">
      <c r="A1351" s="11" t="s">
        <v>1664</v>
      </c>
      <c r="B1351" s="11" t="s">
        <v>28</v>
      </c>
      <c r="C1351" s="11" t="s">
        <v>95</v>
      </c>
      <c r="D1351" s="11" t="s">
        <v>37</v>
      </c>
      <c r="E1351" s="11" t="s">
        <v>102</v>
      </c>
      <c r="F1351" s="11" t="s">
        <v>124</v>
      </c>
      <c r="G1351" s="21" t="n">
        <v>237.53</v>
      </c>
      <c r="H1351" s="19" t="n">
        <v>23.2</v>
      </c>
      <c r="I1351" s="21" t="n">
        <v>182.42</v>
      </c>
      <c r="J1351" s="22" t="s">
        <v>80</v>
      </c>
      <c r="K1351" s="11" t="n">
        <v>23</v>
      </c>
      <c r="L1351" s="23" t="n">
        <v>2.2</v>
      </c>
      <c r="M1351" s="24" t="b">
        <f aca="false">FALSE()</f>
        <v>0</v>
      </c>
      <c r="N1351" s="11"/>
      <c r="O1351" s="11" t="str">
        <f aca="false">IF(K1351&lt;=StockP33,"Low",IF(K1351&lt;=StockP67,"Moderate","High"))</f>
        <v>Moderate</v>
      </c>
      <c r="P1351" s="11" t="str">
        <f aca="false">IF(H1351=0,"Low",IF(H1351&lt;=MarkdownP75,"Moderate","High"))</f>
        <v>High</v>
      </c>
      <c r="Q1351" s="11" t="str">
        <f aca="false">IF(ISBLANK(L1351),"Unknown",IF(L1351&gt;=4,"Good",IF(L1351&lt;=2,"Poor","Neutral")))</f>
        <v>Neutral</v>
      </c>
      <c r="R1351" s="11" t="str">
        <f aca="false">IF(AND(O1351="Low",P1351="Low",Q1351="Good"),"BUY / PRIORITIZE",IF(AND(O1351="High",P1351="High",OR(Q1351="Poor",M1351=TRUE())),"HOLD / REVIEW","MONITOR"))</f>
        <v>MONITOR</v>
      </c>
      <c r="S1351" s="11" t="n">
        <f aca="false">K1351+(ROW()/10000000)</f>
        <v>23.0001351</v>
      </c>
    </row>
    <row r="1352" customFormat="false" ht="15" hidden="false" customHeight="false" outlineLevel="0" collapsed="false">
      <c r="A1352" s="11" t="s">
        <v>1665</v>
      </c>
      <c r="B1352" s="11" t="s">
        <v>28</v>
      </c>
      <c r="C1352" s="11" t="s">
        <v>107</v>
      </c>
      <c r="D1352" s="11" t="s">
        <v>35</v>
      </c>
      <c r="E1352" s="11" t="s">
        <v>113</v>
      </c>
      <c r="F1352" s="11" t="s">
        <v>79</v>
      </c>
      <c r="G1352" s="21" t="n">
        <v>81.67</v>
      </c>
      <c r="H1352" s="19" t="n">
        <v>0</v>
      </c>
      <c r="I1352" s="21" t="n">
        <v>81.67</v>
      </c>
      <c r="J1352" s="22" t="s">
        <v>80</v>
      </c>
      <c r="K1352" s="11" t="n">
        <v>34</v>
      </c>
      <c r="L1352" s="23" t="n">
        <v>3.1</v>
      </c>
      <c r="M1352" s="24" t="b">
        <f aca="false">TRUE()</f>
        <v>1</v>
      </c>
      <c r="N1352" s="11" t="s">
        <v>134</v>
      </c>
      <c r="O1352" s="11" t="str">
        <f aca="false">IF(K1352&lt;=StockP33,"Low",IF(K1352&lt;=StockP67,"Moderate","High"))</f>
        <v>High</v>
      </c>
      <c r="P1352" s="11" t="str">
        <f aca="false">IF(H1352=0,"Low",IF(H1352&lt;=MarkdownP75,"Moderate","High"))</f>
        <v>Low</v>
      </c>
      <c r="Q1352" s="11" t="str">
        <f aca="false">IF(ISBLANK(L1352),"Unknown",IF(L1352&gt;=4,"Good",IF(L1352&lt;=2,"Poor","Neutral")))</f>
        <v>Neutral</v>
      </c>
      <c r="R1352" s="11" t="str">
        <f aca="false">IF(AND(O1352="Low",P1352="Low",Q1352="Good"),"BUY / PRIORITIZE",IF(AND(O1352="High",P1352="High",OR(Q1352="Poor",M1352=TRUE())),"HOLD / REVIEW","MONITOR"))</f>
        <v>MONITOR</v>
      </c>
      <c r="S1352" s="11" t="n">
        <f aca="false">K1352+(ROW()/10000000)</f>
        <v>34.0001352</v>
      </c>
    </row>
    <row r="1353" customFormat="false" ht="15" hidden="false" customHeight="false" outlineLevel="0" collapsed="false">
      <c r="A1353" s="11" t="s">
        <v>1666</v>
      </c>
      <c r="B1353" s="11" t="s">
        <v>26</v>
      </c>
      <c r="C1353" s="11" t="s">
        <v>86</v>
      </c>
      <c r="D1353" s="11" t="s">
        <v>34</v>
      </c>
      <c r="E1353" s="11" t="s">
        <v>113</v>
      </c>
      <c r="F1353" s="11" t="s">
        <v>111</v>
      </c>
      <c r="G1353" s="21" t="n">
        <v>37.07</v>
      </c>
      <c r="H1353" s="19" t="n">
        <v>0</v>
      </c>
      <c r="I1353" s="21" t="n">
        <v>37.07</v>
      </c>
      <c r="J1353" s="22" t="s">
        <v>1667</v>
      </c>
      <c r="K1353" s="11" t="n">
        <v>13</v>
      </c>
      <c r="L1353" s="23"/>
      <c r="M1353" s="24" t="b">
        <f aca="false">FALSE()</f>
        <v>0</v>
      </c>
      <c r="N1353" s="11"/>
      <c r="O1353" s="11" t="str">
        <f aca="false">IF(K1353&lt;=StockP33,"Low",IF(K1353&lt;=StockP67,"Moderate","High"))</f>
        <v>Low</v>
      </c>
      <c r="P1353" s="11" t="str">
        <f aca="false">IF(H1353=0,"Low",IF(H1353&lt;=MarkdownP75,"Moderate","High"))</f>
        <v>Low</v>
      </c>
      <c r="Q1353" s="11" t="str">
        <f aca="false">IF(ISBLANK(L1353),"Unknown",IF(L1353&gt;=4,"Good",IF(L1353&lt;=2,"Poor","Neutral")))</f>
        <v>Unknown</v>
      </c>
      <c r="R1353" s="11" t="str">
        <f aca="false">IF(AND(O1353="Low",P1353="Low",Q1353="Good"),"BUY / PRIORITIZE",IF(AND(O1353="High",P1353="High",OR(Q1353="Poor",M1353=TRUE())),"HOLD / REVIEW","MONITOR"))</f>
        <v>MONITOR</v>
      </c>
      <c r="S1353" s="11" t="n">
        <f aca="false">K1353+(ROW()/10000000)</f>
        <v>13.0001353</v>
      </c>
    </row>
    <row r="1354" customFormat="false" ht="15" hidden="false" customHeight="false" outlineLevel="0" collapsed="false">
      <c r="A1354" s="11" t="s">
        <v>1668</v>
      </c>
      <c r="B1354" s="11" t="s">
        <v>30</v>
      </c>
      <c r="C1354" s="11" t="s">
        <v>77</v>
      </c>
      <c r="D1354" s="11" t="s">
        <v>36</v>
      </c>
      <c r="E1354" s="11" t="s">
        <v>102</v>
      </c>
      <c r="F1354" s="11" t="s">
        <v>120</v>
      </c>
      <c r="G1354" s="21" t="n">
        <v>80.97</v>
      </c>
      <c r="H1354" s="19" t="n">
        <v>0</v>
      </c>
      <c r="I1354" s="21" t="n">
        <v>80.97</v>
      </c>
      <c r="J1354" s="22" t="s">
        <v>80</v>
      </c>
      <c r="K1354" s="11" t="n">
        <v>13</v>
      </c>
      <c r="L1354" s="23"/>
      <c r="M1354" s="24" t="b">
        <f aca="false">FALSE()</f>
        <v>0</v>
      </c>
      <c r="N1354" s="11"/>
      <c r="O1354" s="11" t="str">
        <f aca="false">IF(K1354&lt;=StockP33,"Low",IF(K1354&lt;=StockP67,"Moderate","High"))</f>
        <v>Low</v>
      </c>
      <c r="P1354" s="11" t="str">
        <f aca="false">IF(H1354=0,"Low",IF(H1354&lt;=MarkdownP75,"Moderate","High"))</f>
        <v>Low</v>
      </c>
      <c r="Q1354" s="11" t="str">
        <f aca="false">IF(ISBLANK(L1354),"Unknown",IF(L1354&gt;=4,"Good",IF(L1354&lt;=2,"Poor","Neutral")))</f>
        <v>Unknown</v>
      </c>
      <c r="R1354" s="11" t="str">
        <f aca="false">IF(AND(O1354="Low",P1354="Low",Q1354="Good"),"BUY / PRIORITIZE",IF(AND(O1354="High",P1354="High",OR(Q1354="Poor",M1354=TRUE())),"HOLD / REVIEW","MONITOR"))</f>
        <v>MONITOR</v>
      </c>
      <c r="S1354" s="11" t="n">
        <f aca="false">K1354+(ROW()/10000000)</f>
        <v>13.0001354</v>
      </c>
    </row>
    <row r="1355" customFormat="false" ht="15" hidden="false" customHeight="false" outlineLevel="0" collapsed="false">
      <c r="A1355" s="11" t="s">
        <v>1669</v>
      </c>
      <c r="B1355" s="11" t="s">
        <v>8</v>
      </c>
      <c r="C1355" s="11" t="s">
        <v>72</v>
      </c>
      <c r="D1355" s="11" t="s">
        <v>34</v>
      </c>
      <c r="E1355" s="11"/>
      <c r="F1355" s="11" t="s">
        <v>92</v>
      </c>
      <c r="G1355" s="21" t="n">
        <v>77.68</v>
      </c>
      <c r="H1355" s="19" t="n">
        <v>29.9</v>
      </c>
      <c r="I1355" s="21" t="n">
        <v>54.45</v>
      </c>
      <c r="J1355" s="22" t="s">
        <v>293</v>
      </c>
      <c r="K1355" s="11" t="n">
        <v>33</v>
      </c>
      <c r="L1355" s="23" t="n">
        <v>4</v>
      </c>
      <c r="M1355" s="24" t="b">
        <f aca="false">TRUE()</f>
        <v>1</v>
      </c>
      <c r="N1355" s="11" t="s">
        <v>134</v>
      </c>
      <c r="O1355" s="11" t="str">
        <f aca="false">IF(K1355&lt;=StockP33,"Low",IF(K1355&lt;=StockP67,"Moderate","High"))</f>
        <v>Moderate</v>
      </c>
      <c r="P1355" s="11" t="str">
        <f aca="false">IF(H1355=0,"Low",IF(H1355&lt;=MarkdownP75,"Moderate","High"))</f>
        <v>High</v>
      </c>
      <c r="Q1355" s="11" t="str">
        <f aca="false">IF(ISBLANK(L1355),"Unknown",IF(L1355&gt;=4,"Good",IF(L1355&lt;=2,"Poor","Neutral")))</f>
        <v>Good</v>
      </c>
      <c r="R1355" s="11" t="str">
        <f aca="false">IF(AND(O1355="Low",P1355="Low",Q1355="Good"),"BUY / PRIORITIZE",IF(AND(O1355="High",P1355="High",OR(Q1355="Poor",M1355=TRUE())),"HOLD / REVIEW","MONITOR"))</f>
        <v>MONITOR</v>
      </c>
      <c r="S1355" s="11" t="n">
        <f aca="false">K1355+(ROW()/10000000)</f>
        <v>33.0001355</v>
      </c>
    </row>
    <row r="1356" customFormat="false" ht="15" hidden="false" customHeight="false" outlineLevel="0" collapsed="false">
      <c r="A1356" s="11" t="s">
        <v>1670</v>
      </c>
      <c r="B1356" s="11" t="s">
        <v>30</v>
      </c>
      <c r="C1356" s="11" t="s">
        <v>86</v>
      </c>
      <c r="D1356" s="11" t="s">
        <v>35</v>
      </c>
      <c r="E1356" s="11" t="s">
        <v>102</v>
      </c>
      <c r="F1356" s="11" t="s">
        <v>98</v>
      </c>
      <c r="G1356" s="21" t="n">
        <v>117.58</v>
      </c>
      <c r="H1356" s="19" t="n">
        <v>1</v>
      </c>
      <c r="I1356" s="21" t="n">
        <v>116.4</v>
      </c>
      <c r="J1356" s="22" t="s">
        <v>80</v>
      </c>
      <c r="K1356" s="11" t="n">
        <v>27</v>
      </c>
      <c r="L1356" s="23" t="n">
        <v>3.3</v>
      </c>
      <c r="M1356" s="24" t="b">
        <f aca="false">FALSE()</f>
        <v>0</v>
      </c>
      <c r="N1356" s="11"/>
      <c r="O1356" s="11" t="str">
        <f aca="false">IF(K1356&lt;=StockP33,"Low",IF(K1356&lt;=StockP67,"Moderate","High"))</f>
        <v>Moderate</v>
      </c>
      <c r="P1356" s="11" t="str">
        <f aca="false">IF(H1356=0,"Low",IF(H1356&lt;=MarkdownP75,"Moderate","High"))</f>
        <v>Moderate</v>
      </c>
      <c r="Q1356" s="11" t="str">
        <f aca="false">IF(ISBLANK(L1356),"Unknown",IF(L1356&gt;=4,"Good",IF(L1356&lt;=2,"Poor","Neutral")))</f>
        <v>Neutral</v>
      </c>
      <c r="R1356" s="11" t="str">
        <f aca="false">IF(AND(O1356="Low",P1356="Low",Q1356="Good"),"BUY / PRIORITIZE",IF(AND(O1356="High",P1356="High",OR(Q1356="Poor",M1356=TRUE())),"HOLD / REVIEW","MONITOR"))</f>
        <v>MONITOR</v>
      </c>
      <c r="S1356" s="11" t="n">
        <f aca="false">K1356+(ROW()/10000000)</f>
        <v>27.0001356</v>
      </c>
    </row>
    <row r="1357" customFormat="false" ht="15" hidden="false" customHeight="false" outlineLevel="0" collapsed="false">
      <c r="A1357" s="11" t="s">
        <v>1671</v>
      </c>
      <c r="B1357" s="11" t="s">
        <v>28</v>
      </c>
      <c r="C1357" s="11" t="s">
        <v>95</v>
      </c>
      <c r="D1357" s="11" t="s">
        <v>36</v>
      </c>
      <c r="E1357" s="11" t="s">
        <v>73</v>
      </c>
      <c r="F1357" s="11" t="s">
        <v>96</v>
      </c>
      <c r="G1357" s="21" t="n">
        <v>130.09</v>
      </c>
      <c r="H1357" s="19" t="n">
        <v>28.3</v>
      </c>
      <c r="I1357" s="21" t="n">
        <v>93.27</v>
      </c>
      <c r="J1357" s="22" t="s">
        <v>80</v>
      </c>
      <c r="K1357" s="11" t="n">
        <v>41</v>
      </c>
      <c r="L1357" s="23" t="n">
        <v>2.3</v>
      </c>
      <c r="M1357" s="24" t="b">
        <f aca="false">FALSE()</f>
        <v>0</v>
      </c>
      <c r="N1357" s="11"/>
      <c r="O1357" s="11" t="str">
        <f aca="false">IF(K1357&lt;=StockP33,"Low",IF(K1357&lt;=StockP67,"Moderate","High"))</f>
        <v>High</v>
      </c>
      <c r="P1357" s="11" t="str">
        <f aca="false">IF(H1357=0,"Low",IF(H1357&lt;=MarkdownP75,"Moderate","High"))</f>
        <v>High</v>
      </c>
      <c r="Q1357" s="11" t="str">
        <f aca="false">IF(ISBLANK(L1357),"Unknown",IF(L1357&gt;=4,"Good",IF(L1357&lt;=2,"Poor","Neutral")))</f>
        <v>Neutral</v>
      </c>
      <c r="R1357" s="11" t="str">
        <f aca="false">IF(AND(O1357="Low",P1357="Low",Q1357="Good"),"BUY / PRIORITIZE",IF(AND(O1357="High",P1357="High",OR(Q1357="Poor",M1357=TRUE())),"HOLD / REVIEW","MONITOR"))</f>
        <v>MONITOR</v>
      </c>
      <c r="S1357" s="11" t="n">
        <f aca="false">K1357+(ROW()/10000000)</f>
        <v>41.0001357</v>
      </c>
    </row>
    <row r="1358" customFormat="false" ht="15" hidden="false" customHeight="false" outlineLevel="0" collapsed="false">
      <c r="A1358" s="11" t="s">
        <v>1672</v>
      </c>
      <c r="B1358" s="11" t="s">
        <v>30</v>
      </c>
      <c r="C1358" s="11" t="s">
        <v>77</v>
      </c>
      <c r="D1358" s="11" t="s">
        <v>36</v>
      </c>
      <c r="E1358" s="11" t="s">
        <v>110</v>
      </c>
      <c r="F1358" s="11" t="s">
        <v>120</v>
      </c>
      <c r="G1358" s="21" t="n">
        <v>63.69</v>
      </c>
      <c r="H1358" s="19" t="n">
        <v>0</v>
      </c>
      <c r="I1358" s="21" t="n">
        <v>63.69</v>
      </c>
      <c r="J1358" s="22" t="s">
        <v>80</v>
      </c>
      <c r="K1358" s="11" t="n">
        <v>11</v>
      </c>
      <c r="L1358" s="23" t="n">
        <v>3</v>
      </c>
      <c r="M1358" s="24" t="b">
        <f aca="false">FALSE()</f>
        <v>0</v>
      </c>
      <c r="N1358" s="11"/>
      <c r="O1358" s="11" t="str">
        <f aca="false">IF(K1358&lt;=StockP33,"Low",IF(K1358&lt;=StockP67,"Moderate","High"))</f>
        <v>Low</v>
      </c>
      <c r="P1358" s="11" t="str">
        <f aca="false">IF(H1358=0,"Low",IF(H1358&lt;=MarkdownP75,"Moderate","High"))</f>
        <v>Low</v>
      </c>
      <c r="Q1358" s="11" t="str">
        <f aca="false">IF(ISBLANK(L1358),"Unknown",IF(L1358&gt;=4,"Good",IF(L1358&lt;=2,"Poor","Neutral")))</f>
        <v>Neutral</v>
      </c>
      <c r="R1358" s="11" t="str">
        <f aca="false">IF(AND(O1358="Low",P1358="Low",Q1358="Good"),"BUY / PRIORITIZE",IF(AND(O1358="High",P1358="High",OR(Q1358="Poor",M1358=TRUE())),"HOLD / REVIEW","MONITOR"))</f>
        <v>MONITOR</v>
      </c>
      <c r="S1358" s="11" t="n">
        <f aca="false">K1358+(ROW()/10000000)</f>
        <v>11.0001358</v>
      </c>
    </row>
    <row r="1359" customFormat="false" ht="15" hidden="false" customHeight="false" outlineLevel="0" collapsed="false">
      <c r="A1359" s="11" t="s">
        <v>1673</v>
      </c>
      <c r="B1359" s="11" t="s">
        <v>28</v>
      </c>
      <c r="C1359" s="11" t="s">
        <v>86</v>
      </c>
      <c r="D1359" s="11" t="s">
        <v>34</v>
      </c>
      <c r="E1359" s="11" t="s">
        <v>73</v>
      </c>
      <c r="F1359" s="11" t="s">
        <v>74</v>
      </c>
      <c r="G1359" s="21" t="n">
        <v>135.02</v>
      </c>
      <c r="H1359" s="19" t="n">
        <v>0</v>
      </c>
      <c r="I1359" s="21" t="n">
        <v>135.02</v>
      </c>
      <c r="J1359" s="22" t="s">
        <v>1158</v>
      </c>
      <c r="K1359" s="11" t="n">
        <v>25</v>
      </c>
      <c r="L1359" s="23" t="n">
        <v>3.4</v>
      </c>
      <c r="M1359" s="24" t="b">
        <f aca="false">TRUE()</f>
        <v>1</v>
      </c>
      <c r="N1359" s="11" t="s">
        <v>178</v>
      </c>
      <c r="O1359" s="11" t="str">
        <f aca="false">IF(K1359&lt;=StockP33,"Low",IF(K1359&lt;=StockP67,"Moderate","High"))</f>
        <v>Moderate</v>
      </c>
      <c r="P1359" s="11" t="str">
        <f aca="false">IF(H1359=0,"Low",IF(H1359&lt;=MarkdownP75,"Moderate","High"))</f>
        <v>Low</v>
      </c>
      <c r="Q1359" s="11" t="str">
        <f aca="false">IF(ISBLANK(L1359),"Unknown",IF(L1359&gt;=4,"Good",IF(L1359&lt;=2,"Poor","Neutral")))</f>
        <v>Neutral</v>
      </c>
      <c r="R1359" s="11" t="str">
        <f aca="false">IF(AND(O1359="Low",P1359="Low",Q1359="Good"),"BUY / PRIORITIZE",IF(AND(O1359="High",P1359="High",OR(Q1359="Poor",M1359=TRUE())),"HOLD / REVIEW","MONITOR"))</f>
        <v>MONITOR</v>
      </c>
      <c r="S1359" s="11" t="n">
        <f aca="false">K1359+(ROW()/10000000)</f>
        <v>25.0001359</v>
      </c>
    </row>
    <row r="1360" customFormat="false" ht="15" hidden="false" customHeight="false" outlineLevel="0" collapsed="false">
      <c r="A1360" s="11" t="s">
        <v>1674</v>
      </c>
      <c r="B1360" s="11" t="s">
        <v>8</v>
      </c>
      <c r="C1360" s="11" t="s">
        <v>101</v>
      </c>
      <c r="D1360" s="11" t="s">
        <v>37</v>
      </c>
      <c r="E1360" s="11"/>
      <c r="F1360" s="11" t="s">
        <v>111</v>
      </c>
      <c r="G1360" s="21" t="n">
        <v>45.37</v>
      </c>
      <c r="H1360" s="19" t="n">
        <v>0</v>
      </c>
      <c r="I1360" s="21" t="n">
        <v>45.37</v>
      </c>
      <c r="J1360" s="22" t="s">
        <v>80</v>
      </c>
      <c r="K1360" s="11" t="n">
        <v>19</v>
      </c>
      <c r="L1360" s="23" t="n">
        <v>1.1</v>
      </c>
      <c r="M1360" s="24" t="b">
        <f aca="false">FALSE()</f>
        <v>0</v>
      </c>
      <c r="N1360" s="11"/>
      <c r="O1360" s="11" t="str">
        <f aca="false">IF(K1360&lt;=StockP33,"Low",IF(K1360&lt;=StockP67,"Moderate","High"))</f>
        <v>Moderate</v>
      </c>
      <c r="P1360" s="11" t="str">
        <f aca="false">IF(H1360=0,"Low",IF(H1360&lt;=MarkdownP75,"Moderate","High"))</f>
        <v>Low</v>
      </c>
      <c r="Q1360" s="11" t="str">
        <f aca="false">IF(ISBLANK(L1360),"Unknown",IF(L1360&gt;=4,"Good",IF(L1360&lt;=2,"Poor","Neutral")))</f>
        <v>Poor</v>
      </c>
      <c r="R1360" s="11" t="str">
        <f aca="false">IF(AND(O1360="Low",P1360="Low",Q1360="Good"),"BUY / PRIORITIZE",IF(AND(O1360="High",P1360="High",OR(Q1360="Poor",M1360=TRUE())),"HOLD / REVIEW","MONITOR"))</f>
        <v>MONITOR</v>
      </c>
      <c r="S1360" s="11" t="n">
        <f aca="false">K1360+(ROW()/10000000)</f>
        <v>19.000136</v>
      </c>
    </row>
    <row r="1361" customFormat="false" ht="15" hidden="false" customHeight="false" outlineLevel="0" collapsed="false">
      <c r="A1361" s="11" t="s">
        <v>1675</v>
      </c>
      <c r="B1361" s="11" t="s">
        <v>26</v>
      </c>
      <c r="C1361" s="11" t="s">
        <v>72</v>
      </c>
      <c r="D1361" s="11" t="s">
        <v>37</v>
      </c>
      <c r="E1361" s="11" t="s">
        <v>73</v>
      </c>
      <c r="F1361" s="11" t="s">
        <v>124</v>
      </c>
      <c r="G1361" s="21" t="n">
        <v>51.17</v>
      </c>
      <c r="H1361" s="19" t="n">
        <v>8</v>
      </c>
      <c r="I1361" s="21" t="n">
        <v>47.08</v>
      </c>
      <c r="J1361" s="22" t="s">
        <v>80</v>
      </c>
      <c r="K1361" s="11" t="n">
        <v>7</v>
      </c>
      <c r="L1361" s="23"/>
      <c r="M1361" s="24" t="b">
        <f aca="false">FALSE()</f>
        <v>0</v>
      </c>
      <c r="N1361" s="11"/>
      <c r="O1361" s="11" t="str">
        <f aca="false">IF(K1361&lt;=StockP33,"Low",IF(K1361&lt;=StockP67,"Moderate","High"))</f>
        <v>Low</v>
      </c>
      <c r="P1361" s="11" t="str">
        <f aca="false">IF(H1361=0,"Low",IF(H1361&lt;=MarkdownP75,"Moderate","High"))</f>
        <v>Moderate</v>
      </c>
      <c r="Q1361" s="11" t="str">
        <f aca="false">IF(ISBLANK(L1361),"Unknown",IF(L1361&gt;=4,"Good",IF(L1361&lt;=2,"Poor","Neutral")))</f>
        <v>Unknown</v>
      </c>
      <c r="R1361" s="11" t="str">
        <f aca="false">IF(AND(O1361="Low",P1361="Low",Q1361="Good"),"BUY / PRIORITIZE",IF(AND(O1361="High",P1361="High",OR(Q1361="Poor",M1361=TRUE())),"HOLD / REVIEW","MONITOR"))</f>
        <v>MONITOR</v>
      </c>
      <c r="S1361" s="11" t="n">
        <f aca="false">K1361+(ROW()/10000000)</f>
        <v>7.0001361</v>
      </c>
    </row>
    <row r="1362" customFormat="false" ht="15" hidden="false" customHeight="false" outlineLevel="0" collapsed="false">
      <c r="A1362" s="11" t="s">
        <v>1676</v>
      </c>
      <c r="B1362" s="11" t="s">
        <v>27</v>
      </c>
      <c r="C1362" s="11" t="s">
        <v>130</v>
      </c>
      <c r="D1362" s="11" t="s">
        <v>35</v>
      </c>
      <c r="E1362" s="11" t="s">
        <v>102</v>
      </c>
      <c r="F1362" s="11" t="s">
        <v>124</v>
      </c>
      <c r="G1362" s="21" t="n">
        <v>49.34</v>
      </c>
      <c r="H1362" s="19" t="n">
        <v>5.5</v>
      </c>
      <c r="I1362" s="21" t="n">
        <v>46.63</v>
      </c>
      <c r="J1362" s="22" t="s">
        <v>80</v>
      </c>
      <c r="K1362" s="11" t="n">
        <v>10</v>
      </c>
      <c r="L1362" s="23" t="n">
        <v>4.3</v>
      </c>
      <c r="M1362" s="24" t="b">
        <f aca="false">FALSE()</f>
        <v>0</v>
      </c>
      <c r="N1362" s="11"/>
      <c r="O1362" s="11" t="str">
        <f aca="false">IF(K1362&lt;=StockP33,"Low",IF(K1362&lt;=StockP67,"Moderate","High"))</f>
        <v>Low</v>
      </c>
      <c r="P1362" s="11" t="str">
        <f aca="false">IF(H1362=0,"Low",IF(H1362&lt;=MarkdownP75,"Moderate","High"))</f>
        <v>Moderate</v>
      </c>
      <c r="Q1362" s="11" t="str">
        <f aca="false">IF(ISBLANK(L1362),"Unknown",IF(L1362&gt;=4,"Good",IF(L1362&lt;=2,"Poor","Neutral")))</f>
        <v>Good</v>
      </c>
      <c r="R1362" s="11" t="str">
        <f aca="false">IF(AND(O1362="Low",P1362="Low",Q1362="Good"),"BUY / PRIORITIZE",IF(AND(O1362="High",P1362="High",OR(Q1362="Poor",M1362=TRUE())),"HOLD / REVIEW","MONITOR"))</f>
        <v>MONITOR</v>
      </c>
      <c r="S1362" s="11" t="n">
        <f aca="false">K1362+(ROW()/10000000)</f>
        <v>10.0001362</v>
      </c>
    </row>
    <row r="1363" customFormat="false" ht="15" hidden="false" customHeight="false" outlineLevel="0" collapsed="false">
      <c r="A1363" s="11" t="s">
        <v>1677</v>
      </c>
      <c r="B1363" s="11" t="s">
        <v>29</v>
      </c>
      <c r="C1363" s="11" t="s">
        <v>77</v>
      </c>
      <c r="D1363" s="11" t="s">
        <v>34</v>
      </c>
      <c r="E1363" s="11" t="s">
        <v>91</v>
      </c>
      <c r="F1363" s="11" t="s">
        <v>98</v>
      </c>
      <c r="G1363" s="21" t="n">
        <v>119.78</v>
      </c>
      <c r="H1363" s="19" t="n">
        <v>0</v>
      </c>
      <c r="I1363" s="21" t="n">
        <v>119.78</v>
      </c>
      <c r="J1363" s="22" t="s">
        <v>526</v>
      </c>
      <c r="K1363" s="11" t="n">
        <v>40</v>
      </c>
      <c r="L1363" s="23"/>
      <c r="M1363" s="24" t="b">
        <f aca="false">FALSE()</f>
        <v>0</v>
      </c>
      <c r="N1363" s="11"/>
      <c r="O1363" s="11" t="str">
        <f aca="false">IF(K1363&lt;=StockP33,"Low",IF(K1363&lt;=StockP67,"Moderate","High"))</f>
        <v>High</v>
      </c>
      <c r="P1363" s="11" t="str">
        <f aca="false">IF(H1363=0,"Low",IF(H1363&lt;=MarkdownP75,"Moderate","High"))</f>
        <v>Low</v>
      </c>
      <c r="Q1363" s="11" t="str">
        <f aca="false">IF(ISBLANK(L1363),"Unknown",IF(L1363&gt;=4,"Good",IF(L1363&lt;=2,"Poor","Neutral")))</f>
        <v>Unknown</v>
      </c>
      <c r="R1363" s="11" t="str">
        <f aca="false">IF(AND(O1363="Low",P1363="Low",Q1363="Good"),"BUY / PRIORITIZE",IF(AND(O1363="High",P1363="High",OR(Q1363="Poor",M1363=TRUE())),"HOLD / REVIEW","MONITOR"))</f>
        <v>MONITOR</v>
      </c>
      <c r="S1363" s="11" t="n">
        <f aca="false">K1363+(ROW()/10000000)</f>
        <v>40.0001363</v>
      </c>
    </row>
    <row r="1364" customFormat="false" ht="15" hidden="false" customHeight="false" outlineLevel="0" collapsed="false">
      <c r="A1364" s="11" t="s">
        <v>1678</v>
      </c>
      <c r="B1364" s="11" t="s">
        <v>30</v>
      </c>
      <c r="C1364" s="11" t="s">
        <v>86</v>
      </c>
      <c r="D1364" s="11" t="s">
        <v>34</v>
      </c>
      <c r="E1364" s="11" t="s">
        <v>91</v>
      </c>
      <c r="F1364" s="11" t="s">
        <v>92</v>
      </c>
      <c r="G1364" s="21" t="n">
        <v>77.3</v>
      </c>
      <c r="H1364" s="19" t="n">
        <v>35.1</v>
      </c>
      <c r="I1364" s="21" t="n">
        <v>50.17</v>
      </c>
      <c r="J1364" s="22" t="s">
        <v>1679</v>
      </c>
      <c r="K1364" s="11" t="n">
        <v>16</v>
      </c>
      <c r="L1364" s="23"/>
      <c r="M1364" s="24" t="b">
        <f aca="false">FALSE()</f>
        <v>0</v>
      </c>
      <c r="N1364" s="11"/>
      <c r="O1364" s="11" t="str">
        <f aca="false">IF(K1364&lt;=StockP33,"Low",IF(K1364&lt;=StockP67,"Moderate","High"))</f>
        <v>Low</v>
      </c>
      <c r="P1364" s="11" t="str">
        <f aca="false">IF(H1364=0,"Low",IF(H1364&lt;=MarkdownP75,"Moderate","High"))</f>
        <v>High</v>
      </c>
      <c r="Q1364" s="11" t="str">
        <f aca="false">IF(ISBLANK(L1364),"Unknown",IF(L1364&gt;=4,"Good",IF(L1364&lt;=2,"Poor","Neutral")))</f>
        <v>Unknown</v>
      </c>
      <c r="R1364" s="11" t="str">
        <f aca="false">IF(AND(O1364="Low",P1364="Low",Q1364="Good"),"BUY / PRIORITIZE",IF(AND(O1364="High",P1364="High",OR(Q1364="Poor",M1364=TRUE())),"HOLD / REVIEW","MONITOR"))</f>
        <v>MONITOR</v>
      </c>
      <c r="S1364" s="11" t="n">
        <f aca="false">K1364+(ROW()/10000000)</f>
        <v>16.0001364</v>
      </c>
    </row>
    <row r="1365" customFormat="false" ht="15" hidden="false" customHeight="false" outlineLevel="0" collapsed="false">
      <c r="A1365" s="11" t="s">
        <v>1680</v>
      </c>
      <c r="B1365" s="11" t="s">
        <v>30</v>
      </c>
      <c r="C1365" s="11" t="s">
        <v>116</v>
      </c>
      <c r="D1365" s="11" t="s">
        <v>36</v>
      </c>
      <c r="E1365" s="11" t="s">
        <v>110</v>
      </c>
      <c r="F1365" s="11" t="s">
        <v>74</v>
      </c>
      <c r="G1365" s="21" t="n">
        <v>72.69</v>
      </c>
      <c r="H1365" s="19" t="n">
        <v>0</v>
      </c>
      <c r="I1365" s="21" t="n">
        <v>72.69</v>
      </c>
      <c r="J1365" s="22" t="s">
        <v>80</v>
      </c>
      <c r="K1365" s="11" t="n">
        <v>6</v>
      </c>
      <c r="L1365" s="23"/>
      <c r="M1365" s="24" t="b">
        <f aca="false">FALSE()</f>
        <v>0</v>
      </c>
      <c r="N1365" s="11"/>
      <c r="O1365" s="11" t="str">
        <f aca="false">IF(K1365&lt;=StockP33,"Low",IF(K1365&lt;=StockP67,"Moderate","High"))</f>
        <v>Low</v>
      </c>
      <c r="P1365" s="11" t="str">
        <f aca="false">IF(H1365=0,"Low",IF(H1365&lt;=MarkdownP75,"Moderate","High"))</f>
        <v>Low</v>
      </c>
      <c r="Q1365" s="11" t="str">
        <f aca="false">IF(ISBLANK(L1365),"Unknown",IF(L1365&gt;=4,"Good",IF(L1365&lt;=2,"Poor","Neutral")))</f>
        <v>Unknown</v>
      </c>
      <c r="R1365" s="11" t="str">
        <f aca="false">IF(AND(O1365="Low",P1365="Low",Q1365="Good"),"BUY / PRIORITIZE",IF(AND(O1365="High",P1365="High",OR(Q1365="Poor",M1365=TRUE())),"HOLD / REVIEW","MONITOR"))</f>
        <v>MONITOR</v>
      </c>
      <c r="S1365" s="11" t="n">
        <f aca="false">K1365+(ROW()/10000000)</f>
        <v>6.0001365</v>
      </c>
    </row>
    <row r="1366" customFormat="false" ht="15" hidden="false" customHeight="false" outlineLevel="0" collapsed="false">
      <c r="A1366" s="11" t="s">
        <v>1681</v>
      </c>
      <c r="B1366" s="11" t="s">
        <v>29</v>
      </c>
      <c r="C1366" s="11" t="s">
        <v>116</v>
      </c>
      <c r="D1366" s="11" t="s">
        <v>36</v>
      </c>
      <c r="E1366" s="11" t="s">
        <v>73</v>
      </c>
      <c r="F1366" s="11" t="s">
        <v>124</v>
      </c>
      <c r="G1366" s="21" t="n">
        <v>117.57</v>
      </c>
      <c r="H1366" s="19" t="n">
        <v>0</v>
      </c>
      <c r="I1366" s="21" t="n">
        <v>117.57</v>
      </c>
      <c r="J1366" s="22" t="s">
        <v>80</v>
      </c>
      <c r="K1366" s="11" t="n">
        <v>30</v>
      </c>
      <c r="L1366" s="23" t="n">
        <v>4.8</v>
      </c>
      <c r="M1366" s="24" t="b">
        <f aca="false">FALSE()</f>
        <v>0</v>
      </c>
      <c r="N1366" s="11"/>
      <c r="O1366" s="11" t="str">
        <f aca="false">IF(K1366&lt;=StockP33,"Low",IF(K1366&lt;=StockP67,"Moderate","High"))</f>
        <v>Moderate</v>
      </c>
      <c r="P1366" s="11" t="str">
        <f aca="false">IF(H1366=0,"Low",IF(H1366&lt;=MarkdownP75,"Moderate","High"))</f>
        <v>Low</v>
      </c>
      <c r="Q1366" s="11" t="str">
        <f aca="false">IF(ISBLANK(L1366),"Unknown",IF(L1366&gt;=4,"Good",IF(L1366&lt;=2,"Poor","Neutral")))</f>
        <v>Good</v>
      </c>
      <c r="R1366" s="11" t="str">
        <f aca="false">IF(AND(O1366="Low",P1366="Low",Q1366="Good"),"BUY / PRIORITIZE",IF(AND(O1366="High",P1366="High",OR(Q1366="Poor",M1366=TRUE())),"HOLD / REVIEW","MONITOR"))</f>
        <v>MONITOR</v>
      </c>
      <c r="S1366" s="11" t="n">
        <f aca="false">K1366+(ROW()/10000000)</f>
        <v>30.0001366</v>
      </c>
    </row>
    <row r="1367" customFormat="false" ht="15" hidden="false" customHeight="false" outlineLevel="0" collapsed="false">
      <c r="A1367" s="11" t="s">
        <v>1682</v>
      </c>
      <c r="B1367" s="11" t="s">
        <v>28</v>
      </c>
      <c r="C1367" s="11" t="s">
        <v>130</v>
      </c>
      <c r="D1367" s="11" t="s">
        <v>34</v>
      </c>
      <c r="E1367" s="11" t="s">
        <v>91</v>
      </c>
      <c r="F1367" s="11" t="s">
        <v>98</v>
      </c>
      <c r="G1367" s="21" t="n">
        <v>161.25</v>
      </c>
      <c r="H1367" s="19" t="n">
        <v>48.4</v>
      </c>
      <c r="I1367" s="21" t="n">
        <v>83.2</v>
      </c>
      <c r="J1367" s="22" t="s">
        <v>1683</v>
      </c>
      <c r="K1367" s="11" t="n">
        <v>32</v>
      </c>
      <c r="L1367" s="23"/>
      <c r="M1367" s="24" t="b">
        <f aca="false">FALSE()</f>
        <v>0</v>
      </c>
      <c r="N1367" s="11"/>
      <c r="O1367" s="11" t="str">
        <f aca="false">IF(K1367&lt;=StockP33,"Low",IF(K1367&lt;=StockP67,"Moderate","High"))</f>
        <v>Moderate</v>
      </c>
      <c r="P1367" s="11" t="str">
        <f aca="false">IF(H1367=0,"Low",IF(H1367&lt;=MarkdownP75,"Moderate","High"))</f>
        <v>High</v>
      </c>
      <c r="Q1367" s="11" t="str">
        <f aca="false">IF(ISBLANK(L1367),"Unknown",IF(L1367&gt;=4,"Good",IF(L1367&lt;=2,"Poor","Neutral")))</f>
        <v>Unknown</v>
      </c>
      <c r="R1367" s="11" t="str">
        <f aca="false">IF(AND(O1367="Low",P1367="Low",Q1367="Good"),"BUY / PRIORITIZE",IF(AND(O1367="High",P1367="High",OR(Q1367="Poor",M1367=TRUE())),"HOLD / REVIEW","MONITOR"))</f>
        <v>MONITOR</v>
      </c>
      <c r="S1367" s="11" t="n">
        <f aca="false">K1367+(ROW()/10000000)</f>
        <v>32.0001367</v>
      </c>
    </row>
    <row r="1368" customFormat="false" ht="15" hidden="false" customHeight="false" outlineLevel="0" collapsed="false">
      <c r="A1368" s="11" t="s">
        <v>1684</v>
      </c>
      <c r="B1368" s="11" t="s">
        <v>29</v>
      </c>
      <c r="C1368" s="11" t="s">
        <v>107</v>
      </c>
      <c r="D1368" s="11" t="s">
        <v>36</v>
      </c>
      <c r="E1368" s="11" t="s">
        <v>91</v>
      </c>
      <c r="F1368" s="11" t="s">
        <v>120</v>
      </c>
      <c r="G1368" s="21" t="n">
        <v>158.01</v>
      </c>
      <c r="H1368" s="19" t="n">
        <v>0</v>
      </c>
      <c r="I1368" s="21" t="n">
        <v>158.01</v>
      </c>
      <c r="J1368" s="22" t="s">
        <v>80</v>
      </c>
      <c r="K1368" s="11" t="n">
        <v>19</v>
      </c>
      <c r="L1368" s="23" t="n">
        <v>2.6</v>
      </c>
      <c r="M1368" s="24" t="b">
        <f aca="false">FALSE()</f>
        <v>0</v>
      </c>
      <c r="N1368" s="11"/>
      <c r="O1368" s="11" t="str">
        <f aca="false">IF(K1368&lt;=StockP33,"Low",IF(K1368&lt;=StockP67,"Moderate","High"))</f>
        <v>Moderate</v>
      </c>
      <c r="P1368" s="11" t="str">
        <f aca="false">IF(H1368=0,"Low",IF(H1368&lt;=MarkdownP75,"Moderate","High"))</f>
        <v>Low</v>
      </c>
      <c r="Q1368" s="11" t="str">
        <f aca="false">IF(ISBLANK(L1368),"Unknown",IF(L1368&gt;=4,"Good",IF(L1368&lt;=2,"Poor","Neutral")))</f>
        <v>Neutral</v>
      </c>
      <c r="R1368" s="11" t="str">
        <f aca="false">IF(AND(O1368="Low",P1368="Low",Q1368="Good"),"BUY / PRIORITIZE",IF(AND(O1368="High",P1368="High",OR(Q1368="Poor",M1368=TRUE())),"HOLD / REVIEW","MONITOR"))</f>
        <v>MONITOR</v>
      </c>
      <c r="S1368" s="11" t="n">
        <f aca="false">K1368+(ROW()/10000000)</f>
        <v>19.0001368</v>
      </c>
    </row>
    <row r="1369" customFormat="false" ht="15" hidden="false" customHeight="false" outlineLevel="0" collapsed="false">
      <c r="A1369" s="11" t="s">
        <v>1685</v>
      </c>
      <c r="B1369" s="11" t="s">
        <v>30</v>
      </c>
      <c r="C1369" s="11" t="s">
        <v>107</v>
      </c>
      <c r="D1369" s="11" t="s">
        <v>35</v>
      </c>
      <c r="E1369" s="11" t="s">
        <v>78</v>
      </c>
      <c r="F1369" s="11" t="s">
        <v>96</v>
      </c>
      <c r="G1369" s="21" t="n">
        <v>60.92</v>
      </c>
      <c r="H1369" s="19" t="n">
        <v>0</v>
      </c>
      <c r="I1369" s="21" t="n">
        <v>60.92</v>
      </c>
      <c r="J1369" s="22" t="s">
        <v>80</v>
      </c>
      <c r="K1369" s="11" t="n">
        <v>25</v>
      </c>
      <c r="L1369" s="23"/>
      <c r="M1369" s="24" t="b">
        <f aca="false">TRUE()</f>
        <v>1</v>
      </c>
      <c r="N1369" s="11" t="s">
        <v>140</v>
      </c>
      <c r="O1369" s="11" t="str">
        <f aca="false">IF(K1369&lt;=StockP33,"Low",IF(K1369&lt;=StockP67,"Moderate","High"))</f>
        <v>Moderate</v>
      </c>
      <c r="P1369" s="11" t="str">
        <f aca="false">IF(H1369=0,"Low",IF(H1369&lt;=MarkdownP75,"Moderate","High"))</f>
        <v>Low</v>
      </c>
      <c r="Q1369" s="11" t="str">
        <f aca="false">IF(ISBLANK(L1369),"Unknown",IF(L1369&gt;=4,"Good",IF(L1369&lt;=2,"Poor","Neutral")))</f>
        <v>Unknown</v>
      </c>
      <c r="R1369" s="11" t="str">
        <f aca="false">IF(AND(O1369="Low",P1369="Low",Q1369="Good"),"BUY / PRIORITIZE",IF(AND(O1369="High",P1369="High",OR(Q1369="Poor",M1369=TRUE())),"HOLD / REVIEW","MONITOR"))</f>
        <v>MONITOR</v>
      </c>
      <c r="S1369" s="11" t="n">
        <f aca="false">K1369+(ROW()/10000000)</f>
        <v>25.0001369</v>
      </c>
    </row>
    <row r="1370" customFormat="false" ht="15" hidden="false" customHeight="false" outlineLevel="0" collapsed="false">
      <c r="A1370" s="11" t="s">
        <v>1686</v>
      </c>
      <c r="B1370" s="11" t="s">
        <v>29</v>
      </c>
      <c r="C1370" s="11" t="s">
        <v>101</v>
      </c>
      <c r="D1370" s="11" t="s">
        <v>35</v>
      </c>
      <c r="E1370" s="11" t="s">
        <v>73</v>
      </c>
      <c r="F1370" s="11" t="s">
        <v>92</v>
      </c>
      <c r="G1370" s="21" t="n">
        <v>122.03</v>
      </c>
      <c r="H1370" s="19" t="n">
        <v>25.2</v>
      </c>
      <c r="I1370" s="21" t="n">
        <v>91.28</v>
      </c>
      <c r="J1370" s="22" t="s">
        <v>80</v>
      </c>
      <c r="K1370" s="11" t="n">
        <v>21</v>
      </c>
      <c r="L1370" s="23" t="n">
        <v>4.7</v>
      </c>
      <c r="M1370" s="24" t="b">
        <f aca="false">FALSE()</f>
        <v>0</v>
      </c>
      <c r="N1370" s="11"/>
      <c r="O1370" s="11" t="str">
        <f aca="false">IF(K1370&lt;=StockP33,"Low",IF(K1370&lt;=StockP67,"Moderate","High"))</f>
        <v>Moderate</v>
      </c>
      <c r="P1370" s="11" t="str">
        <f aca="false">IF(H1370=0,"Low",IF(H1370&lt;=MarkdownP75,"Moderate","High"))</f>
        <v>High</v>
      </c>
      <c r="Q1370" s="11" t="str">
        <f aca="false">IF(ISBLANK(L1370),"Unknown",IF(L1370&gt;=4,"Good",IF(L1370&lt;=2,"Poor","Neutral")))</f>
        <v>Good</v>
      </c>
      <c r="R1370" s="11" t="str">
        <f aca="false">IF(AND(O1370="Low",P1370="Low",Q1370="Good"),"BUY / PRIORITIZE",IF(AND(O1370="High",P1370="High",OR(Q1370="Poor",M1370=TRUE())),"HOLD / REVIEW","MONITOR"))</f>
        <v>MONITOR</v>
      </c>
      <c r="S1370" s="11" t="n">
        <f aca="false">K1370+(ROW()/10000000)</f>
        <v>21.000137</v>
      </c>
    </row>
    <row r="1371" customFormat="false" ht="15" hidden="false" customHeight="false" outlineLevel="0" collapsed="false">
      <c r="A1371" s="11" t="s">
        <v>1687</v>
      </c>
      <c r="B1371" s="11" t="s">
        <v>29</v>
      </c>
      <c r="C1371" s="11" t="s">
        <v>95</v>
      </c>
      <c r="D1371" s="11" t="s">
        <v>34</v>
      </c>
      <c r="E1371" s="11" t="s">
        <v>91</v>
      </c>
      <c r="F1371" s="11" t="s">
        <v>124</v>
      </c>
      <c r="G1371" s="21" t="n">
        <v>109.15</v>
      </c>
      <c r="H1371" s="19" t="n">
        <v>0</v>
      </c>
      <c r="I1371" s="21" t="n">
        <v>109.15</v>
      </c>
      <c r="J1371" s="22" t="s">
        <v>1683</v>
      </c>
      <c r="K1371" s="11" t="n">
        <v>11</v>
      </c>
      <c r="L1371" s="23"/>
      <c r="M1371" s="24" t="b">
        <f aca="false">FALSE()</f>
        <v>0</v>
      </c>
      <c r="N1371" s="11"/>
      <c r="O1371" s="11" t="str">
        <f aca="false">IF(K1371&lt;=StockP33,"Low",IF(K1371&lt;=StockP67,"Moderate","High"))</f>
        <v>Low</v>
      </c>
      <c r="P1371" s="11" t="str">
        <f aca="false">IF(H1371=0,"Low",IF(H1371&lt;=MarkdownP75,"Moderate","High"))</f>
        <v>Low</v>
      </c>
      <c r="Q1371" s="11" t="str">
        <f aca="false">IF(ISBLANK(L1371),"Unknown",IF(L1371&gt;=4,"Good",IF(L1371&lt;=2,"Poor","Neutral")))</f>
        <v>Unknown</v>
      </c>
      <c r="R1371" s="11" t="str">
        <f aca="false">IF(AND(O1371="Low",P1371="Low",Q1371="Good"),"BUY / PRIORITIZE",IF(AND(O1371="High",P1371="High",OR(Q1371="Poor",M1371=TRUE())),"HOLD / REVIEW","MONITOR"))</f>
        <v>MONITOR</v>
      </c>
      <c r="S1371" s="11" t="n">
        <f aca="false">K1371+(ROW()/10000000)</f>
        <v>11.0001371</v>
      </c>
    </row>
    <row r="1372" customFormat="false" ht="15" hidden="false" customHeight="false" outlineLevel="0" collapsed="false">
      <c r="A1372" s="11" t="s">
        <v>1688</v>
      </c>
      <c r="B1372" s="11" t="s">
        <v>26</v>
      </c>
      <c r="C1372" s="11" t="s">
        <v>107</v>
      </c>
      <c r="D1372" s="11" t="s">
        <v>36</v>
      </c>
      <c r="E1372" s="11" t="s">
        <v>113</v>
      </c>
      <c r="F1372" s="11" t="s">
        <v>111</v>
      </c>
      <c r="G1372" s="21" t="n">
        <v>60.97</v>
      </c>
      <c r="H1372" s="19" t="n">
        <v>0</v>
      </c>
      <c r="I1372" s="21" t="n">
        <v>60.97</v>
      </c>
      <c r="J1372" s="22" t="s">
        <v>80</v>
      </c>
      <c r="K1372" s="11" t="n">
        <v>29</v>
      </c>
      <c r="L1372" s="23" t="n">
        <v>4.5</v>
      </c>
      <c r="M1372" s="24" t="b">
        <f aca="false">FALSE()</f>
        <v>0</v>
      </c>
      <c r="N1372" s="11"/>
      <c r="O1372" s="11" t="str">
        <f aca="false">IF(K1372&lt;=StockP33,"Low",IF(K1372&lt;=StockP67,"Moderate","High"))</f>
        <v>Moderate</v>
      </c>
      <c r="P1372" s="11" t="str">
        <f aca="false">IF(H1372=0,"Low",IF(H1372&lt;=MarkdownP75,"Moderate","High"))</f>
        <v>Low</v>
      </c>
      <c r="Q1372" s="11" t="str">
        <f aca="false">IF(ISBLANK(L1372),"Unknown",IF(L1372&gt;=4,"Good",IF(L1372&lt;=2,"Poor","Neutral")))</f>
        <v>Good</v>
      </c>
      <c r="R1372" s="11" t="str">
        <f aca="false">IF(AND(O1372="Low",P1372="Low",Q1372="Good"),"BUY / PRIORITIZE",IF(AND(O1372="High",P1372="High",OR(Q1372="Poor",M1372=TRUE())),"HOLD / REVIEW","MONITOR"))</f>
        <v>MONITOR</v>
      </c>
      <c r="S1372" s="11" t="n">
        <f aca="false">K1372+(ROW()/10000000)</f>
        <v>29.0001372</v>
      </c>
    </row>
    <row r="1373" customFormat="false" ht="15" hidden="false" customHeight="false" outlineLevel="0" collapsed="false">
      <c r="A1373" s="11" t="s">
        <v>1689</v>
      </c>
      <c r="B1373" s="11" t="s">
        <v>8</v>
      </c>
      <c r="C1373" s="11" t="s">
        <v>77</v>
      </c>
      <c r="D1373" s="11" t="s">
        <v>35</v>
      </c>
      <c r="E1373" s="11"/>
      <c r="F1373" s="11" t="s">
        <v>79</v>
      </c>
      <c r="G1373" s="21" t="n">
        <v>64.87</v>
      </c>
      <c r="H1373" s="19" t="n">
        <v>35.3</v>
      </c>
      <c r="I1373" s="21" t="n">
        <v>41.97</v>
      </c>
      <c r="J1373" s="22" t="s">
        <v>80</v>
      </c>
      <c r="K1373" s="11" t="n">
        <v>12</v>
      </c>
      <c r="L1373" s="23" t="n">
        <v>4.2</v>
      </c>
      <c r="M1373" s="24" t="b">
        <f aca="false">TRUE()</f>
        <v>1</v>
      </c>
      <c r="N1373" s="11" t="s">
        <v>128</v>
      </c>
      <c r="O1373" s="11" t="str">
        <f aca="false">IF(K1373&lt;=StockP33,"Low",IF(K1373&lt;=StockP67,"Moderate","High"))</f>
        <v>Low</v>
      </c>
      <c r="P1373" s="11" t="str">
        <f aca="false">IF(H1373=0,"Low",IF(H1373&lt;=MarkdownP75,"Moderate","High"))</f>
        <v>High</v>
      </c>
      <c r="Q1373" s="11" t="str">
        <f aca="false">IF(ISBLANK(L1373),"Unknown",IF(L1373&gt;=4,"Good",IF(L1373&lt;=2,"Poor","Neutral")))</f>
        <v>Good</v>
      </c>
      <c r="R1373" s="11" t="str">
        <f aca="false">IF(AND(O1373="Low",P1373="Low",Q1373="Good"),"BUY / PRIORITIZE",IF(AND(O1373="High",P1373="High",OR(Q1373="Poor",M1373=TRUE())),"HOLD / REVIEW","MONITOR"))</f>
        <v>MONITOR</v>
      </c>
      <c r="S1373" s="11" t="n">
        <f aca="false">K1373+(ROW()/10000000)</f>
        <v>12.0001373</v>
      </c>
    </row>
    <row r="1374" customFormat="false" ht="15" hidden="false" customHeight="false" outlineLevel="0" collapsed="false">
      <c r="A1374" s="11" t="s">
        <v>1690</v>
      </c>
      <c r="B1374" s="11" t="s">
        <v>29</v>
      </c>
      <c r="C1374" s="11" t="s">
        <v>95</v>
      </c>
      <c r="D1374" s="11" t="s">
        <v>36</v>
      </c>
      <c r="E1374" s="11" t="s">
        <v>91</v>
      </c>
      <c r="F1374" s="11" t="s">
        <v>79</v>
      </c>
      <c r="G1374" s="21" t="n">
        <v>151.35</v>
      </c>
      <c r="H1374" s="19" t="n">
        <v>0</v>
      </c>
      <c r="I1374" s="21" t="n">
        <v>151.35</v>
      </c>
      <c r="J1374" s="22" t="s">
        <v>80</v>
      </c>
      <c r="K1374" s="11" t="n">
        <v>18</v>
      </c>
      <c r="L1374" s="23"/>
      <c r="M1374" s="24" t="b">
        <f aca="false">FALSE()</f>
        <v>0</v>
      </c>
      <c r="N1374" s="11"/>
      <c r="O1374" s="11" t="str">
        <f aca="false">IF(K1374&lt;=StockP33,"Low",IF(K1374&lt;=StockP67,"Moderate","High"))</f>
        <v>Moderate</v>
      </c>
      <c r="P1374" s="11" t="str">
        <f aca="false">IF(H1374=0,"Low",IF(H1374&lt;=MarkdownP75,"Moderate","High"))</f>
        <v>Low</v>
      </c>
      <c r="Q1374" s="11" t="str">
        <f aca="false">IF(ISBLANK(L1374),"Unknown",IF(L1374&gt;=4,"Good",IF(L1374&lt;=2,"Poor","Neutral")))</f>
        <v>Unknown</v>
      </c>
      <c r="R1374" s="11" t="str">
        <f aca="false">IF(AND(O1374="Low",P1374="Low",Q1374="Good"),"BUY / PRIORITIZE",IF(AND(O1374="High",P1374="High",OR(Q1374="Poor",M1374=TRUE())),"HOLD / REVIEW","MONITOR"))</f>
        <v>MONITOR</v>
      </c>
      <c r="S1374" s="11" t="n">
        <f aca="false">K1374+(ROW()/10000000)</f>
        <v>18.0001374</v>
      </c>
    </row>
    <row r="1375" customFormat="false" ht="15" hidden="false" customHeight="false" outlineLevel="0" collapsed="false">
      <c r="A1375" s="11" t="s">
        <v>1691</v>
      </c>
      <c r="B1375" s="11" t="s">
        <v>8</v>
      </c>
      <c r="C1375" s="11" t="s">
        <v>116</v>
      </c>
      <c r="D1375" s="11" t="s">
        <v>37</v>
      </c>
      <c r="E1375" s="11"/>
      <c r="F1375" s="11" t="s">
        <v>96</v>
      </c>
      <c r="G1375" s="21" t="n">
        <v>72.9</v>
      </c>
      <c r="H1375" s="19" t="n">
        <v>44</v>
      </c>
      <c r="I1375" s="21" t="n">
        <v>40.82</v>
      </c>
      <c r="J1375" s="22" t="s">
        <v>80</v>
      </c>
      <c r="K1375" s="11" t="n">
        <v>25</v>
      </c>
      <c r="L1375" s="23" t="n">
        <v>3</v>
      </c>
      <c r="M1375" s="24" t="b">
        <f aca="false">FALSE()</f>
        <v>0</v>
      </c>
      <c r="N1375" s="11"/>
      <c r="O1375" s="11" t="str">
        <f aca="false">IF(K1375&lt;=StockP33,"Low",IF(K1375&lt;=StockP67,"Moderate","High"))</f>
        <v>Moderate</v>
      </c>
      <c r="P1375" s="11" t="str">
        <f aca="false">IF(H1375=0,"Low",IF(H1375&lt;=MarkdownP75,"Moderate","High"))</f>
        <v>High</v>
      </c>
      <c r="Q1375" s="11" t="str">
        <f aca="false">IF(ISBLANK(L1375),"Unknown",IF(L1375&gt;=4,"Good",IF(L1375&lt;=2,"Poor","Neutral")))</f>
        <v>Neutral</v>
      </c>
      <c r="R1375" s="11" t="str">
        <f aca="false">IF(AND(O1375="Low",P1375="Low",Q1375="Good"),"BUY / PRIORITIZE",IF(AND(O1375="High",P1375="High",OR(Q1375="Poor",M1375=TRUE())),"HOLD / REVIEW","MONITOR"))</f>
        <v>MONITOR</v>
      </c>
      <c r="S1375" s="11" t="n">
        <f aca="false">K1375+(ROW()/10000000)</f>
        <v>25.0001375</v>
      </c>
    </row>
    <row r="1376" customFormat="false" ht="15" hidden="false" customHeight="false" outlineLevel="0" collapsed="false">
      <c r="A1376" s="11" t="s">
        <v>1692</v>
      </c>
      <c r="B1376" s="11" t="s">
        <v>8</v>
      </c>
      <c r="C1376" s="11" t="s">
        <v>116</v>
      </c>
      <c r="D1376" s="11" t="s">
        <v>37</v>
      </c>
      <c r="E1376" s="11"/>
      <c r="F1376" s="11" t="s">
        <v>120</v>
      </c>
      <c r="G1376" s="21" t="n">
        <v>79.48</v>
      </c>
      <c r="H1376" s="19" t="n">
        <v>0</v>
      </c>
      <c r="I1376" s="21" t="n">
        <v>79.48</v>
      </c>
      <c r="J1376" s="22" t="s">
        <v>80</v>
      </c>
      <c r="K1376" s="11" t="n">
        <v>2</v>
      </c>
      <c r="L1376" s="23" t="n">
        <v>3.3</v>
      </c>
      <c r="M1376" s="24" t="b">
        <f aca="false">FALSE()</f>
        <v>0</v>
      </c>
      <c r="N1376" s="11"/>
      <c r="O1376" s="11" t="str">
        <f aca="false">IF(K1376&lt;=StockP33,"Low",IF(K1376&lt;=StockP67,"Moderate","High"))</f>
        <v>Low</v>
      </c>
      <c r="P1376" s="11" t="str">
        <f aca="false">IF(H1376=0,"Low",IF(H1376&lt;=MarkdownP75,"Moderate","High"))</f>
        <v>Low</v>
      </c>
      <c r="Q1376" s="11" t="str">
        <f aca="false">IF(ISBLANK(L1376),"Unknown",IF(L1376&gt;=4,"Good",IF(L1376&lt;=2,"Poor","Neutral")))</f>
        <v>Neutral</v>
      </c>
      <c r="R1376" s="11" t="str">
        <f aca="false">IF(AND(O1376="Low",P1376="Low",Q1376="Good"),"BUY / PRIORITIZE",IF(AND(O1376="High",P1376="High",OR(Q1376="Poor",M1376=TRUE())),"HOLD / REVIEW","MONITOR"))</f>
        <v>MONITOR</v>
      </c>
      <c r="S1376" s="11" t="n">
        <f aca="false">K1376+(ROW()/10000000)</f>
        <v>2.0001376</v>
      </c>
    </row>
    <row r="1377" customFormat="false" ht="15" hidden="false" customHeight="false" outlineLevel="0" collapsed="false">
      <c r="A1377" s="11" t="s">
        <v>1693</v>
      </c>
      <c r="B1377" s="11" t="s">
        <v>29</v>
      </c>
      <c r="C1377" s="11" t="s">
        <v>95</v>
      </c>
      <c r="D1377" s="11" t="s">
        <v>36</v>
      </c>
      <c r="E1377" s="11" t="s">
        <v>113</v>
      </c>
      <c r="F1377" s="11" t="s">
        <v>111</v>
      </c>
      <c r="G1377" s="21" t="n">
        <v>122.77</v>
      </c>
      <c r="H1377" s="19" t="n">
        <v>59.8</v>
      </c>
      <c r="I1377" s="21" t="n">
        <v>49.35</v>
      </c>
      <c r="J1377" s="22" t="s">
        <v>80</v>
      </c>
      <c r="K1377" s="11" t="n">
        <v>33</v>
      </c>
      <c r="L1377" s="23" t="n">
        <v>4</v>
      </c>
      <c r="M1377" s="24" t="b">
        <f aca="false">FALSE()</f>
        <v>0</v>
      </c>
      <c r="N1377" s="11"/>
      <c r="O1377" s="11" t="str">
        <f aca="false">IF(K1377&lt;=StockP33,"Low",IF(K1377&lt;=StockP67,"Moderate","High"))</f>
        <v>Moderate</v>
      </c>
      <c r="P1377" s="11" t="str">
        <f aca="false">IF(H1377=0,"Low",IF(H1377&lt;=MarkdownP75,"Moderate","High"))</f>
        <v>High</v>
      </c>
      <c r="Q1377" s="11" t="str">
        <f aca="false">IF(ISBLANK(L1377),"Unknown",IF(L1377&gt;=4,"Good",IF(L1377&lt;=2,"Poor","Neutral")))</f>
        <v>Good</v>
      </c>
      <c r="R1377" s="11" t="str">
        <f aca="false">IF(AND(O1377="Low",P1377="Low",Q1377="Good"),"BUY / PRIORITIZE",IF(AND(O1377="High",P1377="High",OR(Q1377="Poor",M1377=TRUE())),"HOLD / REVIEW","MONITOR"))</f>
        <v>MONITOR</v>
      </c>
      <c r="S1377" s="11" t="n">
        <f aca="false">K1377+(ROW()/10000000)</f>
        <v>33.0001377</v>
      </c>
    </row>
    <row r="1378" customFormat="false" ht="15" hidden="false" customHeight="false" outlineLevel="0" collapsed="false">
      <c r="A1378" s="11" t="s">
        <v>1694</v>
      </c>
      <c r="B1378" s="11" t="s">
        <v>26</v>
      </c>
      <c r="C1378" s="11" t="s">
        <v>130</v>
      </c>
      <c r="D1378" s="11" t="s">
        <v>35</v>
      </c>
      <c r="E1378" s="11" t="s">
        <v>73</v>
      </c>
      <c r="F1378" s="11" t="s">
        <v>82</v>
      </c>
      <c r="G1378" s="21" t="n">
        <v>79.61</v>
      </c>
      <c r="H1378" s="19" t="n">
        <v>0</v>
      </c>
      <c r="I1378" s="21" t="n">
        <v>79.61</v>
      </c>
      <c r="J1378" s="22" t="s">
        <v>80</v>
      </c>
      <c r="K1378" s="11" t="n">
        <v>29</v>
      </c>
      <c r="L1378" s="23" t="n">
        <v>3.7</v>
      </c>
      <c r="M1378" s="24" t="b">
        <f aca="false">FALSE()</f>
        <v>0</v>
      </c>
      <c r="N1378" s="11"/>
      <c r="O1378" s="11" t="str">
        <f aca="false">IF(K1378&lt;=StockP33,"Low",IF(K1378&lt;=StockP67,"Moderate","High"))</f>
        <v>Moderate</v>
      </c>
      <c r="P1378" s="11" t="str">
        <f aca="false">IF(H1378=0,"Low",IF(H1378&lt;=MarkdownP75,"Moderate","High"))</f>
        <v>Low</v>
      </c>
      <c r="Q1378" s="11" t="str">
        <f aca="false">IF(ISBLANK(L1378),"Unknown",IF(L1378&gt;=4,"Good",IF(L1378&lt;=2,"Poor","Neutral")))</f>
        <v>Neutral</v>
      </c>
      <c r="R1378" s="11" t="str">
        <f aca="false">IF(AND(O1378="Low",P1378="Low",Q1378="Good"),"BUY / PRIORITIZE",IF(AND(O1378="High",P1378="High",OR(Q1378="Poor",M1378=TRUE())),"HOLD / REVIEW","MONITOR"))</f>
        <v>MONITOR</v>
      </c>
      <c r="S1378" s="11" t="n">
        <f aca="false">K1378+(ROW()/10000000)</f>
        <v>29.0001378</v>
      </c>
    </row>
    <row r="1379" customFormat="false" ht="15" hidden="false" customHeight="false" outlineLevel="0" collapsed="false">
      <c r="A1379" s="11" t="s">
        <v>1695</v>
      </c>
      <c r="B1379" s="11" t="s">
        <v>26</v>
      </c>
      <c r="C1379" s="11" t="s">
        <v>77</v>
      </c>
      <c r="D1379" s="11" t="s">
        <v>37</v>
      </c>
      <c r="E1379" s="11" t="s">
        <v>78</v>
      </c>
      <c r="F1379" s="11" t="s">
        <v>88</v>
      </c>
      <c r="G1379" s="21" t="n">
        <v>60.13</v>
      </c>
      <c r="H1379" s="19" t="n">
        <v>0</v>
      </c>
      <c r="I1379" s="21" t="n">
        <v>60.13</v>
      </c>
      <c r="J1379" s="22" t="s">
        <v>80</v>
      </c>
      <c r="K1379" s="11" t="n">
        <v>27</v>
      </c>
      <c r="L1379" s="23"/>
      <c r="M1379" s="24" t="b">
        <f aca="false">FALSE()</f>
        <v>0</v>
      </c>
      <c r="N1379" s="11"/>
      <c r="O1379" s="11" t="str">
        <f aca="false">IF(K1379&lt;=StockP33,"Low",IF(K1379&lt;=StockP67,"Moderate","High"))</f>
        <v>Moderate</v>
      </c>
      <c r="P1379" s="11" t="str">
        <f aca="false">IF(H1379=0,"Low",IF(H1379&lt;=MarkdownP75,"Moderate","High"))</f>
        <v>Low</v>
      </c>
      <c r="Q1379" s="11" t="str">
        <f aca="false">IF(ISBLANK(L1379),"Unknown",IF(L1379&gt;=4,"Good",IF(L1379&lt;=2,"Poor","Neutral")))</f>
        <v>Unknown</v>
      </c>
      <c r="R1379" s="11" t="str">
        <f aca="false">IF(AND(O1379="Low",P1379="Low",Q1379="Good"),"BUY / PRIORITIZE",IF(AND(O1379="High",P1379="High",OR(Q1379="Poor",M1379=TRUE())),"HOLD / REVIEW","MONITOR"))</f>
        <v>MONITOR</v>
      </c>
      <c r="S1379" s="11" t="n">
        <f aca="false">K1379+(ROW()/10000000)</f>
        <v>27.0001379</v>
      </c>
    </row>
    <row r="1380" customFormat="false" ht="15" hidden="false" customHeight="false" outlineLevel="0" collapsed="false">
      <c r="A1380" s="11" t="s">
        <v>1696</v>
      </c>
      <c r="B1380" s="11" t="s">
        <v>8</v>
      </c>
      <c r="C1380" s="11" t="s">
        <v>116</v>
      </c>
      <c r="D1380" s="11" t="s">
        <v>37</v>
      </c>
      <c r="E1380" s="11"/>
      <c r="F1380" s="11" t="s">
        <v>92</v>
      </c>
      <c r="G1380" s="21" t="n">
        <v>72.26</v>
      </c>
      <c r="H1380" s="19" t="n">
        <v>41</v>
      </c>
      <c r="I1380" s="21" t="n">
        <v>42.63</v>
      </c>
      <c r="J1380" s="22" t="s">
        <v>80</v>
      </c>
      <c r="K1380" s="11" t="n">
        <v>43</v>
      </c>
      <c r="L1380" s="23" t="n">
        <v>3.5</v>
      </c>
      <c r="M1380" s="24" t="b">
        <f aca="false">FALSE()</f>
        <v>0</v>
      </c>
      <c r="N1380" s="11"/>
      <c r="O1380" s="11" t="str">
        <f aca="false">IF(K1380&lt;=StockP33,"Low",IF(K1380&lt;=StockP67,"Moderate","High"))</f>
        <v>High</v>
      </c>
      <c r="P1380" s="11" t="str">
        <f aca="false">IF(H1380=0,"Low",IF(H1380&lt;=MarkdownP75,"Moderate","High"))</f>
        <v>High</v>
      </c>
      <c r="Q1380" s="11" t="str">
        <f aca="false">IF(ISBLANK(L1380),"Unknown",IF(L1380&gt;=4,"Good",IF(L1380&lt;=2,"Poor","Neutral")))</f>
        <v>Neutral</v>
      </c>
      <c r="R1380" s="11" t="str">
        <f aca="false">IF(AND(O1380="Low",P1380="Low",Q1380="Good"),"BUY / PRIORITIZE",IF(AND(O1380="High",P1380="High",OR(Q1380="Poor",M1380=TRUE())),"HOLD / REVIEW","MONITOR"))</f>
        <v>MONITOR</v>
      </c>
      <c r="S1380" s="11" t="n">
        <f aca="false">K1380+(ROW()/10000000)</f>
        <v>43.000138</v>
      </c>
    </row>
    <row r="1381" customFormat="false" ht="15" hidden="false" customHeight="false" outlineLevel="0" collapsed="false">
      <c r="A1381" s="11" t="s">
        <v>1697</v>
      </c>
      <c r="B1381" s="11" t="s">
        <v>26</v>
      </c>
      <c r="C1381" s="11" t="s">
        <v>95</v>
      </c>
      <c r="D1381" s="11" t="s">
        <v>35</v>
      </c>
      <c r="E1381" s="11" t="s">
        <v>73</v>
      </c>
      <c r="F1381" s="11" t="s">
        <v>98</v>
      </c>
      <c r="G1381" s="21" t="n">
        <v>66.38</v>
      </c>
      <c r="H1381" s="19" t="n">
        <v>17</v>
      </c>
      <c r="I1381" s="21" t="n">
        <v>55.1</v>
      </c>
      <c r="J1381" s="22" t="s">
        <v>80</v>
      </c>
      <c r="K1381" s="11" t="n">
        <v>24</v>
      </c>
      <c r="L1381" s="23" t="n">
        <v>4.9</v>
      </c>
      <c r="M1381" s="24" t="b">
        <f aca="false">TRUE()</f>
        <v>1</v>
      </c>
      <c r="N1381" s="11" t="s">
        <v>128</v>
      </c>
      <c r="O1381" s="11" t="str">
        <f aca="false">IF(K1381&lt;=StockP33,"Low",IF(K1381&lt;=StockP67,"Moderate","High"))</f>
        <v>Moderate</v>
      </c>
      <c r="P1381" s="11" t="str">
        <f aca="false">IF(H1381=0,"Low",IF(H1381&lt;=MarkdownP75,"Moderate","High"))</f>
        <v>Moderate</v>
      </c>
      <c r="Q1381" s="11" t="str">
        <f aca="false">IF(ISBLANK(L1381),"Unknown",IF(L1381&gt;=4,"Good",IF(L1381&lt;=2,"Poor","Neutral")))</f>
        <v>Good</v>
      </c>
      <c r="R1381" s="11" t="str">
        <f aca="false">IF(AND(O1381="Low",P1381="Low",Q1381="Good"),"BUY / PRIORITIZE",IF(AND(O1381="High",P1381="High",OR(Q1381="Poor",M1381=TRUE())),"HOLD / REVIEW","MONITOR"))</f>
        <v>MONITOR</v>
      </c>
      <c r="S1381" s="11" t="n">
        <f aca="false">K1381+(ROW()/10000000)</f>
        <v>24.0001381</v>
      </c>
    </row>
    <row r="1382" customFormat="false" ht="15" hidden="false" customHeight="false" outlineLevel="0" collapsed="false">
      <c r="A1382" s="11" t="s">
        <v>1698</v>
      </c>
      <c r="B1382" s="11" t="s">
        <v>28</v>
      </c>
      <c r="C1382" s="11" t="s">
        <v>107</v>
      </c>
      <c r="D1382" s="11" t="s">
        <v>34</v>
      </c>
      <c r="E1382" s="11" t="s">
        <v>110</v>
      </c>
      <c r="F1382" s="11" t="s">
        <v>111</v>
      </c>
      <c r="G1382" s="21" t="n">
        <v>100.27</v>
      </c>
      <c r="H1382" s="19" t="n">
        <v>0</v>
      </c>
      <c r="I1382" s="21" t="n">
        <v>100.27</v>
      </c>
      <c r="J1382" s="22" t="s">
        <v>1620</v>
      </c>
      <c r="K1382" s="11" t="n">
        <v>37</v>
      </c>
      <c r="L1382" s="23" t="n">
        <v>3.1</v>
      </c>
      <c r="M1382" s="24" t="b">
        <f aca="false">FALSE()</f>
        <v>0</v>
      </c>
      <c r="N1382" s="11"/>
      <c r="O1382" s="11" t="str">
        <f aca="false">IF(K1382&lt;=StockP33,"Low",IF(K1382&lt;=StockP67,"Moderate","High"))</f>
        <v>High</v>
      </c>
      <c r="P1382" s="11" t="str">
        <f aca="false">IF(H1382=0,"Low",IF(H1382&lt;=MarkdownP75,"Moderate","High"))</f>
        <v>Low</v>
      </c>
      <c r="Q1382" s="11" t="str">
        <f aca="false">IF(ISBLANK(L1382),"Unknown",IF(L1382&gt;=4,"Good",IF(L1382&lt;=2,"Poor","Neutral")))</f>
        <v>Neutral</v>
      </c>
      <c r="R1382" s="11" t="str">
        <f aca="false">IF(AND(O1382="Low",P1382="Low",Q1382="Good"),"BUY / PRIORITIZE",IF(AND(O1382="High",P1382="High",OR(Q1382="Poor",M1382=TRUE())),"HOLD / REVIEW","MONITOR"))</f>
        <v>MONITOR</v>
      </c>
      <c r="S1382" s="11" t="n">
        <f aca="false">K1382+(ROW()/10000000)</f>
        <v>37.0001382</v>
      </c>
    </row>
    <row r="1383" customFormat="false" ht="15" hidden="false" customHeight="false" outlineLevel="0" collapsed="false">
      <c r="A1383" s="11" t="s">
        <v>1699</v>
      </c>
      <c r="B1383" s="11" t="s">
        <v>27</v>
      </c>
      <c r="C1383" s="11" t="s">
        <v>72</v>
      </c>
      <c r="D1383" s="11" t="s">
        <v>35</v>
      </c>
      <c r="E1383" s="11" t="s">
        <v>91</v>
      </c>
      <c r="F1383" s="11" t="s">
        <v>111</v>
      </c>
      <c r="G1383" s="21" t="n">
        <v>116.09</v>
      </c>
      <c r="H1383" s="19" t="n">
        <v>52.8</v>
      </c>
      <c r="I1383" s="21" t="n">
        <v>54.79</v>
      </c>
      <c r="J1383" s="22" t="s">
        <v>80</v>
      </c>
      <c r="K1383" s="11" t="n">
        <v>22</v>
      </c>
      <c r="L1383" s="23"/>
      <c r="M1383" s="24" t="b">
        <f aca="false">FALSE()</f>
        <v>0</v>
      </c>
      <c r="N1383" s="11"/>
      <c r="O1383" s="11" t="str">
        <f aca="false">IF(K1383&lt;=StockP33,"Low",IF(K1383&lt;=StockP67,"Moderate","High"))</f>
        <v>Moderate</v>
      </c>
      <c r="P1383" s="11" t="str">
        <f aca="false">IF(H1383=0,"Low",IF(H1383&lt;=MarkdownP75,"Moderate","High"))</f>
        <v>High</v>
      </c>
      <c r="Q1383" s="11" t="str">
        <f aca="false">IF(ISBLANK(L1383),"Unknown",IF(L1383&gt;=4,"Good",IF(L1383&lt;=2,"Poor","Neutral")))</f>
        <v>Unknown</v>
      </c>
      <c r="R1383" s="11" t="str">
        <f aca="false">IF(AND(O1383="Low",P1383="Low",Q1383="Good"),"BUY / PRIORITIZE",IF(AND(O1383="High",P1383="High",OR(Q1383="Poor",M1383=TRUE())),"HOLD / REVIEW","MONITOR"))</f>
        <v>MONITOR</v>
      </c>
      <c r="S1383" s="11" t="n">
        <f aca="false">K1383+(ROW()/10000000)</f>
        <v>22.0001383</v>
      </c>
    </row>
    <row r="1384" customFormat="false" ht="15" hidden="false" customHeight="false" outlineLevel="0" collapsed="false">
      <c r="A1384" s="11" t="s">
        <v>1700</v>
      </c>
      <c r="B1384" s="11" t="s">
        <v>28</v>
      </c>
      <c r="C1384" s="11" t="s">
        <v>95</v>
      </c>
      <c r="D1384" s="11" t="s">
        <v>36</v>
      </c>
      <c r="E1384" s="11" t="s">
        <v>91</v>
      </c>
      <c r="F1384" s="11" t="s">
        <v>88</v>
      </c>
      <c r="G1384" s="21" t="n">
        <v>80.71</v>
      </c>
      <c r="H1384" s="19" t="n">
        <v>0.9</v>
      </c>
      <c r="I1384" s="21" t="n">
        <v>79.98</v>
      </c>
      <c r="J1384" s="22" t="s">
        <v>80</v>
      </c>
      <c r="K1384" s="11" t="n">
        <v>11</v>
      </c>
      <c r="L1384" s="23" t="n">
        <v>1.1</v>
      </c>
      <c r="M1384" s="24" t="b">
        <f aca="false">FALSE()</f>
        <v>0</v>
      </c>
      <c r="N1384" s="11"/>
      <c r="O1384" s="11" t="str">
        <f aca="false">IF(K1384&lt;=StockP33,"Low",IF(K1384&lt;=StockP67,"Moderate","High"))</f>
        <v>Low</v>
      </c>
      <c r="P1384" s="11" t="str">
        <f aca="false">IF(H1384=0,"Low",IF(H1384&lt;=MarkdownP75,"Moderate","High"))</f>
        <v>Moderate</v>
      </c>
      <c r="Q1384" s="11" t="str">
        <f aca="false">IF(ISBLANK(L1384),"Unknown",IF(L1384&gt;=4,"Good",IF(L1384&lt;=2,"Poor","Neutral")))</f>
        <v>Poor</v>
      </c>
      <c r="R1384" s="11" t="str">
        <f aca="false">IF(AND(O1384="Low",P1384="Low",Q1384="Good"),"BUY / PRIORITIZE",IF(AND(O1384="High",P1384="High",OR(Q1384="Poor",M1384=TRUE())),"HOLD / REVIEW","MONITOR"))</f>
        <v>MONITOR</v>
      </c>
      <c r="S1384" s="11" t="n">
        <f aca="false">K1384+(ROW()/10000000)</f>
        <v>11.0001384</v>
      </c>
    </row>
    <row r="1385" customFormat="false" ht="15" hidden="false" customHeight="false" outlineLevel="0" collapsed="false">
      <c r="A1385" s="11" t="s">
        <v>1701</v>
      </c>
      <c r="B1385" s="11" t="s">
        <v>27</v>
      </c>
      <c r="C1385" s="11" t="s">
        <v>86</v>
      </c>
      <c r="D1385" s="11" t="s">
        <v>35</v>
      </c>
      <c r="E1385" s="11" t="s">
        <v>113</v>
      </c>
      <c r="F1385" s="11" t="s">
        <v>96</v>
      </c>
      <c r="G1385" s="21" t="n">
        <v>175.11</v>
      </c>
      <c r="H1385" s="19" t="n">
        <v>0</v>
      </c>
      <c r="I1385" s="21" t="n">
        <v>175.11</v>
      </c>
      <c r="J1385" s="22" t="s">
        <v>80</v>
      </c>
      <c r="K1385" s="11" t="n">
        <v>39</v>
      </c>
      <c r="L1385" s="23" t="n">
        <v>2.9</v>
      </c>
      <c r="M1385" s="24" t="b">
        <f aca="false">FALSE()</f>
        <v>0</v>
      </c>
      <c r="N1385" s="11"/>
      <c r="O1385" s="11" t="str">
        <f aca="false">IF(K1385&lt;=StockP33,"Low",IF(K1385&lt;=StockP67,"Moderate","High"))</f>
        <v>High</v>
      </c>
      <c r="P1385" s="11" t="str">
        <f aca="false">IF(H1385=0,"Low",IF(H1385&lt;=MarkdownP75,"Moderate","High"))</f>
        <v>Low</v>
      </c>
      <c r="Q1385" s="11" t="str">
        <f aca="false">IF(ISBLANK(L1385),"Unknown",IF(L1385&gt;=4,"Good",IF(L1385&lt;=2,"Poor","Neutral")))</f>
        <v>Neutral</v>
      </c>
      <c r="R1385" s="11" t="str">
        <f aca="false">IF(AND(O1385="Low",P1385="Low",Q1385="Good"),"BUY / PRIORITIZE",IF(AND(O1385="High",P1385="High",OR(Q1385="Poor",M1385=TRUE())),"HOLD / REVIEW","MONITOR"))</f>
        <v>MONITOR</v>
      </c>
      <c r="S1385" s="11" t="n">
        <f aca="false">K1385+(ROW()/10000000)</f>
        <v>39.0001385</v>
      </c>
    </row>
    <row r="1386" customFormat="false" ht="15" hidden="false" customHeight="false" outlineLevel="0" collapsed="false">
      <c r="A1386" s="11" t="s">
        <v>1702</v>
      </c>
      <c r="B1386" s="11" t="s">
        <v>27</v>
      </c>
      <c r="C1386" s="11" t="s">
        <v>95</v>
      </c>
      <c r="D1386" s="11" t="s">
        <v>36</v>
      </c>
      <c r="E1386" s="11" t="s">
        <v>110</v>
      </c>
      <c r="F1386" s="11" t="s">
        <v>124</v>
      </c>
      <c r="G1386" s="21" t="n">
        <v>122.35</v>
      </c>
      <c r="H1386" s="19" t="n">
        <v>37</v>
      </c>
      <c r="I1386" s="21" t="n">
        <v>77.08</v>
      </c>
      <c r="J1386" s="22" t="s">
        <v>80</v>
      </c>
      <c r="K1386" s="11" t="n">
        <v>25</v>
      </c>
      <c r="L1386" s="23"/>
      <c r="M1386" s="24" t="b">
        <f aca="false">FALSE()</f>
        <v>0</v>
      </c>
      <c r="N1386" s="11"/>
      <c r="O1386" s="11" t="str">
        <f aca="false">IF(K1386&lt;=StockP33,"Low",IF(K1386&lt;=StockP67,"Moderate","High"))</f>
        <v>Moderate</v>
      </c>
      <c r="P1386" s="11" t="str">
        <f aca="false">IF(H1386=0,"Low",IF(H1386&lt;=MarkdownP75,"Moderate","High"))</f>
        <v>High</v>
      </c>
      <c r="Q1386" s="11" t="str">
        <f aca="false">IF(ISBLANK(L1386),"Unknown",IF(L1386&gt;=4,"Good",IF(L1386&lt;=2,"Poor","Neutral")))</f>
        <v>Unknown</v>
      </c>
      <c r="R1386" s="11" t="str">
        <f aca="false">IF(AND(O1386="Low",P1386="Low",Q1386="Good"),"BUY / PRIORITIZE",IF(AND(O1386="High",P1386="High",OR(Q1386="Poor",M1386=TRUE())),"HOLD / REVIEW","MONITOR"))</f>
        <v>MONITOR</v>
      </c>
      <c r="S1386" s="11" t="n">
        <f aca="false">K1386+(ROW()/10000000)</f>
        <v>25.0001386</v>
      </c>
    </row>
    <row r="1387" customFormat="false" ht="15" hidden="false" customHeight="false" outlineLevel="0" collapsed="false">
      <c r="A1387" s="11" t="s">
        <v>1703</v>
      </c>
      <c r="B1387" s="11" t="s">
        <v>29</v>
      </c>
      <c r="C1387" s="11" t="s">
        <v>77</v>
      </c>
      <c r="D1387" s="11" t="s">
        <v>37</v>
      </c>
      <c r="E1387" s="11" t="s">
        <v>91</v>
      </c>
      <c r="F1387" s="11" t="s">
        <v>96</v>
      </c>
      <c r="G1387" s="21" t="n">
        <v>127.99</v>
      </c>
      <c r="H1387" s="19" t="n">
        <v>0</v>
      </c>
      <c r="I1387" s="21" t="n">
        <v>127.99</v>
      </c>
      <c r="J1387" s="22" t="s">
        <v>80</v>
      </c>
      <c r="K1387" s="11" t="n">
        <v>14</v>
      </c>
      <c r="L1387" s="23" t="n">
        <v>2.7</v>
      </c>
      <c r="M1387" s="24" t="b">
        <f aca="false">FALSE()</f>
        <v>0</v>
      </c>
      <c r="N1387" s="11"/>
      <c r="O1387" s="11" t="str">
        <f aca="false">IF(K1387&lt;=StockP33,"Low",IF(K1387&lt;=StockP67,"Moderate","High"))</f>
        <v>Low</v>
      </c>
      <c r="P1387" s="11" t="str">
        <f aca="false">IF(H1387=0,"Low",IF(H1387&lt;=MarkdownP75,"Moderate","High"))</f>
        <v>Low</v>
      </c>
      <c r="Q1387" s="11" t="str">
        <f aca="false">IF(ISBLANK(L1387),"Unknown",IF(L1387&gt;=4,"Good",IF(L1387&lt;=2,"Poor","Neutral")))</f>
        <v>Neutral</v>
      </c>
      <c r="R1387" s="11" t="str">
        <f aca="false">IF(AND(O1387="Low",P1387="Low",Q1387="Good"),"BUY / PRIORITIZE",IF(AND(O1387="High",P1387="High",OR(Q1387="Poor",M1387=TRUE())),"HOLD / REVIEW","MONITOR"))</f>
        <v>MONITOR</v>
      </c>
      <c r="S1387" s="11" t="n">
        <f aca="false">K1387+(ROW()/10000000)</f>
        <v>14.0001387</v>
      </c>
    </row>
    <row r="1388" customFormat="false" ht="15" hidden="false" customHeight="false" outlineLevel="0" collapsed="false">
      <c r="A1388" s="11" t="s">
        <v>1704</v>
      </c>
      <c r="B1388" s="11" t="s">
        <v>26</v>
      </c>
      <c r="C1388" s="11" t="s">
        <v>72</v>
      </c>
      <c r="D1388" s="11" t="s">
        <v>35</v>
      </c>
      <c r="E1388" s="11" t="s">
        <v>91</v>
      </c>
      <c r="F1388" s="11" t="s">
        <v>124</v>
      </c>
      <c r="G1388" s="21" t="n">
        <v>101.07</v>
      </c>
      <c r="H1388" s="19" t="n">
        <v>4.6</v>
      </c>
      <c r="I1388" s="21" t="n">
        <v>96.42</v>
      </c>
      <c r="J1388" s="22" t="s">
        <v>80</v>
      </c>
      <c r="K1388" s="11" t="n">
        <v>19</v>
      </c>
      <c r="L1388" s="23" t="n">
        <v>4.7</v>
      </c>
      <c r="M1388" s="24" t="b">
        <f aca="false">FALSE()</f>
        <v>0</v>
      </c>
      <c r="N1388" s="11"/>
      <c r="O1388" s="11" t="str">
        <f aca="false">IF(K1388&lt;=StockP33,"Low",IF(K1388&lt;=StockP67,"Moderate","High"))</f>
        <v>Moderate</v>
      </c>
      <c r="P1388" s="11" t="str">
        <f aca="false">IF(H1388=0,"Low",IF(H1388&lt;=MarkdownP75,"Moderate","High"))</f>
        <v>Moderate</v>
      </c>
      <c r="Q1388" s="11" t="str">
        <f aca="false">IF(ISBLANK(L1388),"Unknown",IF(L1388&gt;=4,"Good",IF(L1388&lt;=2,"Poor","Neutral")))</f>
        <v>Good</v>
      </c>
      <c r="R1388" s="11" t="str">
        <f aca="false">IF(AND(O1388="Low",P1388="Low",Q1388="Good"),"BUY / PRIORITIZE",IF(AND(O1388="High",P1388="High",OR(Q1388="Poor",M1388=TRUE())),"HOLD / REVIEW","MONITOR"))</f>
        <v>MONITOR</v>
      </c>
      <c r="S1388" s="11" t="n">
        <f aca="false">K1388+(ROW()/10000000)</f>
        <v>19.0001388</v>
      </c>
    </row>
    <row r="1389" customFormat="false" ht="15" hidden="false" customHeight="false" outlineLevel="0" collapsed="false">
      <c r="A1389" s="11" t="s">
        <v>1705</v>
      </c>
      <c r="B1389" s="11" t="s">
        <v>26</v>
      </c>
      <c r="C1389" s="11" t="s">
        <v>130</v>
      </c>
      <c r="D1389" s="11" t="s">
        <v>37</v>
      </c>
      <c r="E1389" s="11" t="s">
        <v>78</v>
      </c>
      <c r="F1389" s="11" t="s">
        <v>124</v>
      </c>
      <c r="G1389" s="21" t="n">
        <v>41.83</v>
      </c>
      <c r="H1389" s="19" t="n">
        <v>44.1</v>
      </c>
      <c r="I1389" s="21" t="n">
        <v>23.38</v>
      </c>
      <c r="J1389" s="22" t="s">
        <v>80</v>
      </c>
      <c r="K1389" s="11" t="n">
        <v>6</v>
      </c>
      <c r="L1389" s="23" t="n">
        <v>2.4</v>
      </c>
      <c r="M1389" s="24" t="b">
        <f aca="false">FALSE()</f>
        <v>0</v>
      </c>
      <c r="N1389" s="11"/>
      <c r="O1389" s="11" t="str">
        <f aca="false">IF(K1389&lt;=StockP33,"Low",IF(K1389&lt;=StockP67,"Moderate","High"))</f>
        <v>Low</v>
      </c>
      <c r="P1389" s="11" t="str">
        <f aca="false">IF(H1389=0,"Low",IF(H1389&lt;=MarkdownP75,"Moderate","High"))</f>
        <v>High</v>
      </c>
      <c r="Q1389" s="11" t="str">
        <f aca="false">IF(ISBLANK(L1389),"Unknown",IF(L1389&gt;=4,"Good",IF(L1389&lt;=2,"Poor","Neutral")))</f>
        <v>Neutral</v>
      </c>
      <c r="R1389" s="11" t="str">
        <f aca="false">IF(AND(O1389="Low",P1389="Low",Q1389="Good"),"BUY / PRIORITIZE",IF(AND(O1389="High",P1389="High",OR(Q1389="Poor",M1389=TRUE())),"HOLD / REVIEW","MONITOR"))</f>
        <v>MONITOR</v>
      </c>
      <c r="S1389" s="11" t="n">
        <f aca="false">K1389+(ROW()/10000000)</f>
        <v>6.0001389</v>
      </c>
    </row>
    <row r="1390" customFormat="false" ht="15" hidden="false" customHeight="false" outlineLevel="0" collapsed="false">
      <c r="A1390" s="11" t="s">
        <v>1706</v>
      </c>
      <c r="B1390" s="11" t="s">
        <v>29</v>
      </c>
      <c r="C1390" s="11" t="s">
        <v>101</v>
      </c>
      <c r="D1390" s="11" t="s">
        <v>34</v>
      </c>
      <c r="E1390" s="11" t="s">
        <v>113</v>
      </c>
      <c r="F1390" s="11" t="s">
        <v>98</v>
      </c>
      <c r="G1390" s="21" t="n">
        <v>147.52</v>
      </c>
      <c r="H1390" s="19" t="n">
        <v>0</v>
      </c>
      <c r="I1390" s="21" t="n">
        <v>147.52</v>
      </c>
      <c r="J1390" s="22" t="s">
        <v>1707</v>
      </c>
      <c r="K1390" s="11" t="n">
        <v>41</v>
      </c>
      <c r="L1390" s="23" t="n">
        <v>4</v>
      </c>
      <c r="M1390" s="24" t="b">
        <f aca="false">FALSE()</f>
        <v>0</v>
      </c>
      <c r="N1390" s="11"/>
      <c r="O1390" s="11" t="str">
        <f aca="false">IF(K1390&lt;=StockP33,"Low",IF(K1390&lt;=StockP67,"Moderate","High"))</f>
        <v>High</v>
      </c>
      <c r="P1390" s="11" t="str">
        <f aca="false">IF(H1390=0,"Low",IF(H1390&lt;=MarkdownP75,"Moderate","High"))</f>
        <v>Low</v>
      </c>
      <c r="Q1390" s="11" t="str">
        <f aca="false">IF(ISBLANK(L1390),"Unknown",IF(L1390&gt;=4,"Good",IF(L1390&lt;=2,"Poor","Neutral")))</f>
        <v>Good</v>
      </c>
      <c r="R1390" s="11" t="str">
        <f aca="false">IF(AND(O1390="Low",P1390="Low",Q1390="Good"),"BUY / PRIORITIZE",IF(AND(O1390="High",P1390="High",OR(Q1390="Poor",M1390=TRUE())),"HOLD / REVIEW","MONITOR"))</f>
        <v>MONITOR</v>
      </c>
      <c r="S1390" s="11" t="n">
        <f aca="false">K1390+(ROW()/10000000)</f>
        <v>41.000139</v>
      </c>
    </row>
    <row r="1391" customFormat="false" ht="15" hidden="false" customHeight="false" outlineLevel="0" collapsed="false">
      <c r="A1391" s="11" t="s">
        <v>1708</v>
      </c>
      <c r="B1391" s="11" t="s">
        <v>30</v>
      </c>
      <c r="C1391" s="11" t="s">
        <v>86</v>
      </c>
      <c r="D1391" s="11" t="s">
        <v>36</v>
      </c>
      <c r="E1391" s="11" t="s">
        <v>91</v>
      </c>
      <c r="F1391" s="11" t="s">
        <v>92</v>
      </c>
      <c r="G1391" s="21" t="n">
        <v>85.94</v>
      </c>
      <c r="H1391" s="19" t="n">
        <v>0</v>
      </c>
      <c r="I1391" s="21" t="n">
        <v>85.94</v>
      </c>
      <c r="J1391" s="22" t="s">
        <v>80</v>
      </c>
      <c r="K1391" s="11" t="n">
        <v>49</v>
      </c>
      <c r="L1391" s="23" t="n">
        <v>1.5</v>
      </c>
      <c r="M1391" s="24" t="b">
        <f aca="false">FALSE()</f>
        <v>0</v>
      </c>
      <c r="N1391" s="11"/>
      <c r="O1391" s="11" t="str">
        <f aca="false">IF(K1391&lt;=StockP33,"Low",IF(K1391&lt;=StockP67,"Moderate","High"))</f>
        <v>High</v>
      </c>
      <c r="P1391" s="11" t="str">
        <f aca="false">IF(H1391=0,"Low",IF(H1391&lt;=MarkdownP75,"Moderate","High"))</f>
        <v>Low</v>
      </c>
      <c r="Q1391" s="11" t="str">
        <f aca="false">IF(ISBLANK(L1391),"Unknown",IF(L1391&gt;=4,"Good",IF(L1391&lt;=2,"Poor","Neutral")))</f>
        <v>Poor</v>
      </c>
      <c r="R1391" s="11" t="str">
        <f aca="false">IF(AND(O1391="Low",P1391="Low",Q1391="Good"),"BUY / PRIORITIZE",IF(AND(O1391="High",P1391="High",OR(Q1391="Poor",M1391=TRUE())),"HOLD / REVIEW","MONITOR"))</f>
        <v>MONITOR</v>
      </c>
      <c r="S1391" s="11" t="n">
        <f aca="false">K1391+(ROW()/10000000)</f>
        <v>49.0001391</v>
      </c>
    </row>
    <row r="1392" customFormat="false" ht="15" hidden="false" customHeight="false" outlineLevel="0" collapsed="false">
      <c r="A1392" s="11" t="s">
        <v>1709</v>
      </c>
      <c r="B1392" s="11" t="s">
        <v>27</v>
      </c>
      <c r="C1392" s="11" t="s">
        <v>116</v>
      </c>
      <c r="D1392" s="11" t="s">
        <v>37</v>
      </c>
      <c r="E1392" s="11" t="s">
        <v>102</v>
      </c>
      <c r="F1392" s="11" t="s">
        <v>98</v>
      </c>
      <c r="G1392" s="21" t="n">
        <v>115.61</v>
      </c>
      <c r="H1392" s="19" t="n">
        <v>0</v>
      </c>
      <c r="I1392" s="21" t="n">
        <v>115.61</v>
      </c>
      <c r="J1392" s="22" t="s">
        <v>80</v>
      </c>
      <c r="K1392" s="11" t="n">
        <v>35</v>
      </c>
      <c r="L1392" s="23" t="n">
        <v>1.8</v>
      </c>
      <c r="M1392" s="24" t="b">
        <f aca="false">FALSE()</f>
        <v>0</v>
      </c>
      <c r="N1392" s="11"/>
      <c r="O1392" s="11" t="str">
        <f aca="false">IF(K1392&lt;=StockP33,"Low",IF(K1392&lt;=StockP67,"Moderate","High"))</f>
        <v>High</v>
      </c>
      <c r="P1392" s="11" t="str">
        <f aca="false">IF(H1392=0,"Low",IF(H1392&lt;=MarkdownP75,"Moderate","High"))</f>
        <v>Low</v>
      </c>
      <c r="Q1392" s="11" t="str">
        <f aca="false">IF(ISBLANK(L1392),"Unknown",IF(L1392&gt;=4,"Good",IF(L1392&lt;=2,"Poor","Neutral")))</f>
        <v>Poor</v>
      </c>
      <c r="R1392" s="11" t="str">
        <f aca="false">IF(AND(O1392="Low",P1392="Low",Q1392="Good"),"BUY / PRIORITIZE",IF(AND(O1392="High",P1392="High",OR(Q1392="Poor",M1392=TRUE())),"HOLD / REVIEW","MONITOR"))</f>
        <v>MONITOR</v>
      </c>
      <c r="S1392" s="11" t="n">
        <f aca="false">K1392+(ROW()/10000000)</f>
        <v>35.0001392</v>
      </c>
    </row>
    <row r="1393" customFormat="false" ht="15" hidden="false" customHeight="false" outlineLevel="0" collapsed="false">
      <c r="A1393" s="11" t="s">
        <v>1710</v>
      </c>
      <c r="B1393" s="11" t="s">
        <v>28</v>
      </c>
      <c r="C1393" s="11" t="s">
        <v>107</v>
      </c>
      <c r="D1393" s="11" t="s">
        <v>37</v>
      </c>
      <c r="E1393" s="11" t="s">
        <v>110</v>
      </c>
      <c r="F1393" s="11" t="s">
        <v>79</v>
      </c>
      <c r="G1393" s="21" t="n">
        <v>90.58</v>
      </c>
      <c r="H1393" s="19" t="n">
        <v>0</v>
      </c>
      <c r="I1393" s="21" t="n">
        <v>90.58</v>
      </c>
      <c r="J1393" s="22" t="s">
        <v>80</v>
      </c>
      <c r="K1393" s="11" t="n">
        <v>1</v>
      </c>
      <c r="L1393" s="23" t="n">
        <v>1</v>
      </c>
      <c r="M1393" s="24" t="b">
        <f aca="false">FALSE()</f>
        <v>0</v>
      </c>
      <c r="N1393" s="11"/>
      <c r="O1393" s="11" t="str">
        <f aca="false">IF(K1393&lt;=StockP33,"Low",IF(K1393&lt;=StockP67,"Moderate","High"))</f>
        <v>Low</v>
      </c>
      <c r="P1393" s="11" t="str">
        <f aca="false">IF(H1393=0,"Low",IF(H1393&lt;=MarkdownP75,"Moderate","High"))</f>
        <v>Low</v>
      </c>
      <c r="Q1393" s="11" t="str">
        <f aca="false">IF(ISBLANK(L1393),"Unknown",IF(L1393&gt;=4,"Good",IF(L1393&lt;=2,"Poor","Neutral")))</f>
        <v>Poor</v>
      </c>
      <c r="R1393" s="11" t="str">
        <f aca="false">IF(AND(O1393="Low",P1393="Low",Q1393="Good"),"BUY / PRIORITIZE",IF(AND(O1393="High",P1393="High",OR(Q1393="Poor",M1393=TRUE())),"HOLD / REVIEW","MONITOR"))</f>
        <v>MONITOR</v>
      </c>
      <c r="S1393" s="11" t="n">
        <f aca="false">K1393+(ROW()/10000000)</f>
        <v>1.0001393</v>
      </c>
    </row>
    <row r="1394" customFormat="false" ht="15" hidden="false" customHeight="false" outlineLevel="0" collapsed="false">
      <c r="A1394" s="11" t="s">
        <v>1711</v>
      </c>
      <c r="B1394" s="11" t="s">
        <v>30</v>
      </c>
      <c r="C1394" s="11" t="s">
        <v>116</v>
      </c>
      <c r="D1394" s="11" t="s">
        <v>34</v>
      </c>
      <c r="E1394" s="11" t="s">
        <v>91</v>
      </c>
      <c r="F1394" s="11" t="s">
        <v>74</v>
      </c>
      <c r="G1394" s="21" t="n">
        <v>64.84</v>
      </c>
      <c r="H1394" s="19" t="n">
        <v>0</v>
      </c>
      <c r="I1394" s="21" t="n">
        <v>64.84</v>
      </c>
      <c r="J1394" s="22" t="s">
        <v>905</v>
      </c>
      <c r="K1394" s="11" t="n">
        <v>25</v>
      </c>
      <c r="L1394" s="23" t="n">
        <v>3.9</v>
      </c>
      <c r="M1394" s="24" t="b">
        <f aca="false">FALSE()</f>
        <v>0</v>
      </c>
      <c r="N1394" s="11"/>
      <c r="O1394" s="11" t="str">
        <f aca="false">IF(K1394&lt;=StockP33,"Low",IF(K1394&lt;=StockP67,"Moderate","High"))</f>
        <v>Moderate</v>
      </c>
      <c r="P1394" s="11" t="str">
        <f aca="false">IF(H1394=0,"Low",IF(H1394&lt;=MarkdownP75,"Moderate","High"))</f>
        <v>Low</v>
      </c>
      <c r="Q1394" s="11" t="str">
        <f aca="false">IF(ISBLANK(L1394),"Unknown",IF(L1394&gt;=4,"Good",IF(L1394&lt;=2,"Poor","Neutral")))</f>
        <v>Neutral</v>
      </c>
      <c r="R1394" s="11" t="str">
        <f aca="false">IF(AND(O1394="Low",P1394="Low",Q1394="Good"),"BUY / PRIORITIZE",IF(AND(O1394="High",P1394="High",OR(Q1394="Poor",M1394=TRUE())),"HOLD / REVIEW","MONITOR"))</f>
        <v>MONITOR</v>
      </c>
      <c r="S1394" s="11" t="n">
        <f aca="false">K1394+(ROW()/10000000)</f>
        <v>25.0001394</v>
      </c>
    </row>
    <row r="1395" customFormat="false" ht="15" hidden="false" customHeight="false" outlineLevel="0" collapsed="false">
      <c r="A1395" s="11" t="s">
        <v>1712</v>
      </c>
      <c r="B1395" s="11" t="s">
        <v>26</v>
      </c>
      <c r="C1395" s="11" t="s">
        <v>86</v>
      </c>
      <c r="D1395" s="11" t="s">
        <v>35</v>
      </c>
      <c r="E1395" s="11" t="s">
        <v>110</v>
      </c>
      <c r="F1395" s="11" t="s">
        <v>82</v>
      </c>
      <c r="G1395" s="21" t="n">
        <v>37.27</v>
      </c>
      <c r="H1395" s="19" t="n">
        <v>0</v>
      </c>
      <c r="I1395" s="21" t="n">
        <v>37.27</v>
      </c>
      <c r="J1395" s="22" t="s">
        <v>80</v>
      </c>
      <c r="K1395" s="11" t="n">
        <v>27</v>
      </c>
      <c r="L1395" s="23" t="n">
        <v>2.8</v>
      </c>
      <c r="M1395" s="24" t="b">
        <f aca="false">TRUE()</f>
        <v>1</v>
      </c>
      <c r="N1395" s="11" t="s">
        <v>178</v>
      </c>
      <c r="O1395" s="11" t="str">
        <f aca="false">IF(K1395&lt;=StockP33,"Low",IF(K1395&lt;=StockP67,"Moderate","High"))</f>
        <v>Moderate</v>
      </c>
      <c r="P1395" s="11" t="str">
        <f aca="false">IF(H1395=0,"Low",IF(H1395&lt;=MarkdownP75,"Moderate","High"))</f>
        <v>Low</v>
      </c>
      <c r="Q1395" s="11" t="str">
        <f aca="false">IF(ISBLANK(L1395),"Unknown",IF(L1395&gt;=4,"Good",IF(L1395&lt;=2,"Poor","Neutral")))</f>
        <v>Neutral</v>
      </c>
      <c r="R1395" s="11" t="str">
        <f aca="false">IF(AND(O1395="Low",P1395="Low",Q1395="Good"),"BUY / PRIORITIZE",IF(AND(O1395="High",P1395="High",OR(Q1395="Poor",M1395=TRUE())),"HOLD / REVIEW","MONITOR"))</f>
        <v>MONITOR</v>
      </c>
      <c r="S1395" s="11" t="n">
        <f aca="false">K1395+(ROW()/10000000)</f>
        <v>27.0001395</v>
      </c>
    </row>
    <row r="1396" customFormat="false" ht="15" hidden="false" customHeight="false" outlineLevel="0" collapsed="false">
      <c r="A1396" s="11" t="s">
        <v>1713</v>
      </c>
      <c r="B1396" s="11" t="s">
        <v>30</v>
      </c>
      <c r="C1396" s="11" t="s">
        <v>116</v>
      </c>
      <c r="D1396" s="11" t="s">
        <v>35</v>
      </c>
      <c r="E1396" s="11" t="s">
        <v>73</v>
      </c>
      <c r="F1396" s="11" t="s">
        <v>96</v>
      </c>
      <c r="G1396" s="21" t="n">
        <v>90.48</v>
      </c>
      <c r="H1396" s="19" t="n">
        <v>55.2</v>
      </c>
      <c r="I1396" s="21" t="n">
        <v>40.54</v>
      </c>
      <c r="J1396" s="22" t="s">
        <v>80</v>
      </c>
      <c r="K1396" s="11" t="n">
        <v>26</v>
      </c>
      <c r="L1396" s="23" t="n">
        <v>3</v>
      </c>
      <c r="M1396" s="24" t="b">
        <f aca="false">FALSE()</f>
        <v>0</v>
      </c>
      <c r="N1396" s="11"/>
      <c r="O1396" s="11" t="str">
        <f aca="false">IF(K1396&lt;=StockP33,"Low",IF(K1396&lt;=StockP67,"Moderate","High"))</f>
        <v>Moderate</v>
      </c>
      <c r="P1396" s="11" t="str">
        <f aca="false">IF(H1396=0,"Low",IF(H1396&lt;=MarkdownP75,"Moderate","High"))</f>
        <v>High</v>
      </c>
      <c r="Q1396" s="11" t="str">
        <f aca="false">IF(ISBLANK(L1396),"Unknown",IF(L1396&gt;=4,"Good",IF(L1396&lt;=2,"Poor","Neutral")))</f>
        <v>Neutral</v>
      </c>
      <c r="R1396" s="11" t="str">
        <f aca="false">IF(AND(O1396="Low",P1396="Low",Q1396="Good"),"BUY / PRIORITIZE",IF(AND(O1396="High",P1396="High",OR(Q1396="Poor",M1396=TRUE())),"HOLD / REVIEW","MONITOR"))</f>
        <v>MONITOR</v>
      </c>
      <c r="S1396" s="11" t="n">
        <f aca="false">K1396+(ROW()/10000000)</f>
        <v>26.0001396</v>
      </c>
    </row>
    <row r="1397" customFormat="false" ht="15" hidden="false" customHeight="false" outlineLevel="0" collapsed="false">
      <c r="A1397" s="11" t="s">
        <v>1714</v>
      </c>
      <c r="B1397" s="11" t="s">
        <v>29</v>
      </c>
      <c r="C1397" s="11" t="s">
        <v>116</v>
      </c>
      <c r="D1397" s="11" t="s">
        <v>35</v>
      </c>
      <c r="E1397" s="11" t="s">
        <v>91</v>
      </c>
      <c r="F1397" s="11" t="s">
        <v>98</v>
      </c>
      <c r="G1397" s="21" t="n">
        <v>159.62</v>
      </c>
      <c r="H1397" s="19" t="n">
        <v>58.4</v>
      </c>
      <c r="I1397" s="21" t="n">
        <v>66.4</v>
      </c>
      <c r="J1397" s="22" t="s">
        <v>80</v>
      </c>
      <c r="K1397" s="11" t="n">
        <v>45</v>
      </c>
      <c r="L1397" s="23" t="n">
        <v>1.1</v>
      </c>
      <c r="M1397" s="24" t="b">
        <f aca="false">FALSE()</f>
        <v>0</v>
      </c>
      <c r="N1397" s="11"/>
      <c r="O1397" s="11" t="str">
        <f aca="false">IF(K1397&lt;=StockP33,"Low",IF(K1397&lt;=StockP67,"Moderate","High"))</f>
        <v>High</v>
      </c>
      <c r="P1397" s="11" t="str">
        <f aca="false">IF(H1397=0,"Low",IF(H1397&lt;=MarkdownP75,"Moderate","High"))</f>
        <v>High</v>
      </c>
      <c r="Q1397" s="11" t="str">
        <f aca="false">IF(ISBLANK(L1397),"Unknown",IF(L1397&gt;=4,"Good",IF(L1397&lt;=2,"Poor","Neutral")))</f>
        <v>Poor</v>
      </c>
      <c r="R1397" s="11" t="str">
        <f aca="false">IF(AND(O1397="Low",P1397="Low",Q1397="Good"),"BUY / PRIORITIZE",IF(AND(O1397="High",P1397="High",OR(Q1397="Poor",M1397=TRUE())),"HOLD / REVIEW","MONITOR"))</f>
        <v>HOLD / REVIEW</v>
      </c>
      <c r="S1397" s="11" t="n">
        <f aca="false">K1397+(ROW()/10000000)</f>
        <v>45.0001397</v>
      </c>
    </row>
    <row r="1398" customFormat="false" ht="15" hidden="false" customHeight="false" outlineLevel="0" collapsed="false">
      <c r="A1398" s="11" t="s">
        <v>1715</v>
      </c>
      <c r="B1398" s="11" t="s">
        <v>29</v>
      </c>
      <c r="C1398" s="11" t="s">
        <v>107</v>
      </c>
      <c r="D1398" s="11" t="s">
        <v>35</v>
      </c>
      <c r="E1398" s="11" t="s">
        <v>78</v>
      </c>
      <c r="F1398" s="11" t="s">
        <v>92</v>
      </c>
      <c r="G1398" s="21" t="n">
        <v>81.46</v>
      </c>
      <c r="H1398" s="19" t="n">
        <v>58.8</v>
      </c>
      <c r="I1398" s="21" t="n">
        <v>33.56</v>
      </c>
      <c r="J1398" s="22" t="s">
        <v>80</v>
      </c>
      <c r="K1398" s="11" t="n">
        <v>37</v>
      </c>
      <c r="L1398" s="23" t="n">
        <v>4.6</v>
      </c>
      <c r="M1398" s="24" t="b">
        <f aca="false">FALSE()</f>
        <v>0</v>
      </c>
      <c r="N1398" s="11"/>
      <c r="O1398" s="11" t="str">
        <f aca="false">IF(K1398&lt;=StockP33,"Low",IF(K1398&lt;=StockP67,"Moderate","High"))</f>
        <v>High</v>
      </c>
      <c r="P1398" s="11" t="str">
        <f aca="false">IF(H1398=0,"Low",IF(H1398&lt;=MarkdownP75,"Moderate","High"))</f>
        <v>High</v>
      </c>
      <c r="Q1398" s="11" t="str">
        <f aca="false">IF(ISBLANK(L1398),"Unknown",IF(L1398&gt;=4,"Good",IF(L1398&lt;=2,"Poor","Neutral")))</f>
        <v>Good</v>
      </c>
      <c r="R1398" s="11" t="str">
        <f aca="false">IF(AND(O1398="Low",P1398="Low",Q1398="Good"),"BUY / PRIORITIZE",IF(AND(O1398="High",P1398="High",OR(Q1398="Poor",M1398=TRUE())),"HOLD / REVIEW","MONITOR"))</f>
        <v>MONITOR</v>
      </c>
      <c r="S1398" s="11" t="n">
        <f aca="false">K1398+(ROW()/10000000)</f>
        <v>37.0001398</v>
      </c>
    </row>
    <row r="1399" customFormat="false" ht="15" hidden="false" customHeight="false" outlineLevel="0" collapsed="false">
      <c r="A1399" s="11" t="s">
        <v>1716</v>
      </c>
      <c r="B1399" s="11" t="s">
        <v>29</v>
      </c>
      <c r="C1399" s="11" t="s">
        <v>130</v>
      </c>
      <c r="D1399" s="11" t="s">
        <v>37</v>
      </c>
      <c r="E1399" s="11" t="s">
        <v>110</v>
      </c>
      <c r="F1399" s="11" t="s">
        <v>88</v>
      </c>
      <c r="G1399" s="21" t="n">
        <v>93.63</v>
      </c>
      <c r="H1399" s="19" t="n">
        <v>0</v>
      </c>
      <c r="I1399" s="21" t="n">
        <v>93.63</v>
      </c>
      <c r="J1399" s="22" t="s">
        <v>80</v>
      </c>
      <c r="K1399" s="11" t="n">
        <v>47</v>
      </c>
      <c r="L1399" s="23" t="n">
        <v>4.1</v>
      </c>
      <c r="M1399" s="24" t="b">
        <f aca="false">FALSE()</f>
        <v>0</v>
      </c>
      <c r="N1399" s="11"/>
      <c r="O1399" s="11" t="str">
        <f aca="false">IF(K1399&lt;=StockP33,"Low",IF(K1399&lt;=StockP67,"Moderate","High"))</f>
        <v>High</v>
      </c>
      <c r="P1399" s="11" t="str">
        <f aca="false">IF(H1399=0,"Low",IF(H1399&lt;=MarkdownP75,"Moderate","High"))</f>
        <v>Low</v>
      </c>
      <c r="Q1399" s="11" t="str">
        <f aca="false">IF(ISBLANK(L1399),"Unknown",IF(L1399&gt;=4,"Good",IF(L1399&lt;=2,"Poor","Neutral")))</f>
        <v>Good</v>
      </c>
      <c r="R1399" s="11" t="str">
        <f aca="false">IF(AND(O1399="Low",P1399="Low",Q1399="Good"),"BUY / PRIORITIZE",IF(AND(O1399="High",P1399="High",OR(Q1399="Poor",M1399=TRUE())),"HOLD / REVIEW","MONITOR"))</f>
        <v>MONITOR</v>
      </c>
      <c r="S1399" s="11" t="n">
        <f aca="false">K1399+(ROW()/10000000)</f>
        <v>47.0001399</v>
      </c>
    </row>
    <row r="1400" customFormat="false" ht="15" hidden="false" customHeight="false" outlineLevel="0" collapsed="false">
      <c r="A1400" s="11" t="s">
        <v>1717</v>
      </c>
      <c r="B1400" s="11" t="s">
        <v>30</v>
      </c>
      <c r="C1400" s="11" t="s">
        <v>107</v>
      </c>
      <c r="D1400" s="11" t="s">
        <v>35</v>
      </c>
      <c r="E1400" s="11" t="s">
        <v>113</v>
      </c>
      <c r="F1400" s="11" t="s">
        <v>124</v>
      </c>
      <c r="G1400" s="21" t="n">
        <v>95.55</v>
      </c>
      <c r="H1400" s="19" t="n">
        <v>0</v>
      </c>
      <c r="I1400" s="21" t="n">
        <v>95.55</v>
      </c>
      <c r="J1400" s="22" t="s">
        <v>80</v>
      </c>
      <c r="K1400" s="11" t="n">
        <v>25</v>
      </c>
      <c r="L1400" s="23" t="n">
        <v>4.7</v>
      </c>
      <c r="M1400" s="24" t="b">
        <f aca="false">FALSE()</f>
        <v>0</v>
      </c>
      <c r="N1400" s="11"/>
      <c r="O1400" s="11" t="str">
        <f aca="false">IF(K1400&lt;=StockP33,"Low",IF(K1400&lt;=StockP67,"Moderate","High"))</f>
        <v>Moderate</v>
      </c>
      <c r="P1400" s="11" t="str">
        <f aca="false">IF(H1400=0,"Low",IF(H1400&lt;=MarkdownP75,"Moderate","High"))</f>
        <v>Low</v>
      </c>
      <c r="Q1400" s="11" t="str">
        <f aca="false">IF(ISBLANK(L1400),"Unknown",IF(L1400&gt;=4,"Good",IF(L1400&lt;=2,"Poor","Neutral")))</f>
        <v>Good</v>
      </c>
      <c r="R1400" s="11" t="str">
        <f aca="false">IF(AND(O1400="Low",P1400="Low",Q1400="Good"),"BUY / PRIORITIZE",IF(AND(O1400="High",P1400="High",OR(Q1400="Poor",M1400=TRUE())),"HOLD / REVIEW","MONITOR"))</f>
        <v>MONITOR</v>
      </c>
      <c r="S1400" s="11" t="n">
        <f aca="false">K1400+(ROW()/10000000)</f>
        <v>25.00014</v>
      </c>
    </row>
    <row r="1401" customFormat="false" ht="15" hidden="false" customHeight="false" outlineLevel="0" collapsed="false">
      <c r="A1401" s="11" t="s">
        <v>1718</v>
      </c>
      <c r="B1401" s="11" t="s">
        <v>28</v>
      </c>
      <c r="C1401" s="11" t="s">
        <v>72</v>
      </c>
      <c r="D1401" s="11" t="s">
        <v>37</v>
      </c>
      <c r="E1401" s="11" t="s">
        <v>113</v>
      </c>
      <c r="F1401" s="11" t="s">
        <v>88</v>
      </c>
      <c r="G1401" s="21" t="n">
        <v>146.45</v>
      </c>
      <c r="H1401" s="19" t="n">
        <v>0</v>
      </c>
      <c r="I1401" s="21" t="n">
        <v>146.45</v>
      </c>
      <c r="J1401" s="22" t="s">
        <v>80</v>
      </c>
      <c r="K1401" s="11" t="n">
        <v>45</v>
      </c>
      <c r="L1401" s="23" t="n">
        <v>3.4</v>
      </c>
      <c r="M1401" s="24" t="b">
        <f aca="false">FALSE()</f>
        <v>0</v>
      </c>
      <c r="N1401" s="11"/>
      <c r="O1401" s="11" t="str">
        <f aca="false">IF(K1401&lt;=StockP33,"Low",IF(K1401&lt;=StockP67,"Moderate","High"))</f>
        <v>High</v>
      </c>
      <c r="P1401" s="11" t="str">
        <f aca="false">IF(H1401=0,"Low",IF(H1401&lt;=MarkdownP75,"Moderate","High"))</f>
        <v>Low</v>
      </c>
      <c r="Q1401" s="11" t="str">
        <f aca="false">IF(ISBLANK(L1401),"Unknown",IF(L1401&gt;=4,"Good",IF(L1401&lt;=2,"Poor","Neutral")))</f>
        <v>Neutral</v>
      </c>
      <c r="R1401" s="11" t="str">
        <f aca="false">IF(AND(O1401="Low",P1401="Low",Q1401="Good"),"BUY / PRIORITIZE",IF(AND(O1401="High",P1401="High",OR(Q1401="Poor",M1401=TRUE())),"HOLD / REVIEW","MONITOR"))</f>
        <v>MONITOR</v>
      </c>
      <c r="S1401" s="11" t="n">
        <f aca="false">K1401+(ROW()/10000000)</f>
        <v>45.0001401</v>
      </c>
    </row>
    <row r="1402" customFormat="false" ht="15" hidden="false" customHeight="false" outlineLevel="0" collapsed="false">
      <c r="A1402" s="11" t="s">
        <v>1719</v>
      </c>
      <c r="B1402" s="11" t="s">
        <v>29</v>
      </c>
      <c r="C1402" s="11" t="s">
        <v>86</v>
      </c>
      <c r="D1402" s="11" t="s">
        <v>34</v>
      </c>
      <c r="E1402" s="11" t="s">
        <v>113</v>
      </c>
      <c r="F1402" s="11" t="s">
        <v>96</v>
      </c>
      <c r="G1402" s="21" t="n">
        <v>96.9</v>
      </c>
      <c r="H1402" s="19" t="n">
        <v>0</v>
      </c>
      <c r="I1402" s="21" t="n">
        <v>96.9</v>
      </c>
      <c r="J1402" s="22" t="s">
        <v>948</v>
      </c>
      <c r="K1402" s="11" t="n">
        <v>24</v>
      </c>
      <c r="L1402" s="23" t="n">
        <v>4.3</v>
      </c>
      <c r="M1402" s="24" t="b">
        <f aca="false">FALSE()</f>
        <v>0</v>
      </c>
      <c r="N1402" s="11"/>
      <c r="O1402" s="11" t="str">
        <f aca="false">IF(K1402&lt;=StockP33,"Low",IF(K1402&lt;=StockP67,"Moderate","High"))</f>
        <v>Moderate</v>
      </c>
      <c r="P1402" s="11" t="str">
        <f aca="false">IF(H1402=0,"Low",IF(H1402&lt;=MarkdownP75,"Moderate","High"))</f>
        <v>Low</v>
      </c>
      <c r="Q1402" s="11" t="str">
        <f aca="false">IF(ISBLANK(L1402),"Unknown",IF(L1402&gt;=4,"Good",IF(L1402&lt;=2,"Poor","Neutral")))</f>
        <v>Good</v>
      </c>
      <c r="R1402" s="11" t="str">
        <f aca="false">IF(AND(O1402="Low",P1402="Low",Q1402="Good"),"BUY / PRIORITIZE",IF(AND(O1402="High",P1402="High",OR(Q1402="Poor",M1402=TRUE())),"HOLD / REVIEW","MONITOR"))</f>
        <v>MONITOR</v>
      </c>
      <c r="S1402" s="11" t="n">
        <f aca="false">K1402+(ROW()/10000000)</f>
        <v>24.0001402</v>
      </c>
    </row>
    <row r="1403" customFormat="false" ht="15" hidden="false" customHeight="false" outlineLevel="0" collapsed="false">
      <c r="A1403" s="11" t="s">
        <v>1720</v>
      </c>
      <c r="B1403" s="11" t="s">
        <v>30</v>
      </c>
      <c r="C1403" s="11" t="s">
        <v>86</v>
      </c>
      <c r="D1403" s="11" t="s">
        <v>36</v>
      </c>
      <c r="E1403" s="11" t="s">
        <v>102</v>
      </c>
      <c r="F1403" s="11" t="s">
        <v>124</v>
      </c>
      <c r="G1403" s="21" t="n">
        <v>71.83</v>
      </c>
      <c r="H1403" s="19" t="n">
        <v>0</v>
      </c>
      <c r="I1403" s="21" t="n">
        <v>71.83</v>
      </c>
      <c r="J1403" s="22" t="s">
        <v>80</v>
      </c>
      <c r="K1403" s="11" t="n">
        <v>46</v>
      </c>
      <c r="L1403" s="23" t="n">
        <v>4.5</v>
      </c>
      <c r="M1403" s="24" t="b">
        <f aca="false">FALSE()</f>
        <v>0</v>
      </c>
      <c r="N1403" s="11"/>
      <c r="O1403" s="11" t="str">
        <f aca="false">IF(K1403&lt;=StockP33,"Low",IF(K1403&lt;=StockP67,"Moderate","High"))</f>
        <v>High</v>
      </c>
      <c r="P1403" s="11" t="str">
        <f aca="false">IF(H1403=0,"Low",IF(H1403&lt;=MarkdownP75,"Moderate","High"))</f>
        <v>Low</v>
      </c>
      <c r="Q1403" s="11" t="str">
        <f aca="false">IF(ISBLANK(L1403),"Unknown",IF(L1403&gt;=4,"Good",IF(L1403&lt;=2,"Poor","Neutral")))</f>
        <v>Good</v>
      </c>
      <c r="R1403" s="11" t="str">
        <f aca="false">IF(AND(O1403="Low",P1403="Low",Q1403="Good"),"BUY / PRIORITIZE",IF(AND(O1403="High",P1403="High",OR(Q1403="Poor",M1403=TRUE())),"HOLD / REVIEW","MONITOR"))</f>
        <v>MONITOR</v>
      </c>
      <c r="S1403" s="11" t="n">
        <f aca="false">K1403+(ROW()/10000000)</f>
        <v>46.0001403</v>
      </c>
    </row>
    <row r="1404" customFormat="false" ht="15" hidden="false" customHeight="false" outlineLevel="0" collapsed="false">
      <c r="A1404" s="11" t="s">
        <v>1721</v>
      </c>
      <c r="B1404" s="11" t="s">
        <v>30</v>
      </c>
      <c r="C1404" s="11" t="s">
        <v>101</v>
      </c>
      <c r="D1404" s="11" t="s">
        <v>35</v>
      </c>
      <c r="E1404" s="11" t="s">
        <v>78</v>
      </c>
      <c r="F1404" s="11" t="s">
        <v>118</v>
      </c>
      <c r="G1404" s="21" t="n">
        <v>29.17</v>
      </c>
      <c r="H1404" s="19" t="n">
        <v>0</v>
      </c>
      <c r="I1404" s="21" t="n">
        <v>29.17</v>
      </c>
      <c r="J1404" s="22" t="s">
        <v>80</v>
      </c>
      <c r="K1404" s="11" t="n">
        <v>17</v>
      </c>
      <c r="L1404" s="23" t="n">
        <v>1.6</v>
      </c>
      <c r="M1404" s="24" t="b">
        <f aca="false">FALSE()</f>
        <v>0</v>
      </c>
      <c r="N1404" s="11"/>
      <c r="O1404" s="11" t="str">
        <f aca="false">IF(K1404&lt;=StockP33,"Low",IF(K1404&lt;=StockP67,"Moderate","High"))</f>
        <v>Low</v>
      </c>
      <c r="P1404" s="11" t="str">
        <f aca="false">IF(H1404=0,"Low",IF(H1404&lt;=MarkdownP75,"Moderate","High"))</f>
        <v>Low</v>
      </c>
      <c r="Q1404" s="11" t="str">
        <f aca="false">IF(ISBLANK(L1404),"Unknown",IF(L1404&gt;=4,"Good",IF(L1404&lt;=2,"Poor","Neutral")))</f>
        <v>Poor</v>
      </c>
      <c r="R1404" s="11" t="str">
        <f aca="false">IF(AND(O1404="Low",P1404="Low",Q1404="Good"),"BUY / PRIORITIZE",IF(AND(O1404="High",P1404="High",OR(Q1404="Poor",M1404=TRUE())),"HOLD / REVIEW","MONITOR"))</f>
        <v>MONITOR</v>
      </c>
      <c r="S1404" s="11" t="n">
        <f aca="false">K1404+(ROW()/10000000)</f>
        <v>17.0001404</v>
      </c>
    </row>
    <row r="1405" customFormat="false" ht="15" hidden="false" customHeight="false" outlineLevel="0" collapsed="false">
      <c r="A1405" s="11" t="s">
        <v>1722</v>
      </c>
      <c r="B1405" s="11" t="s">
        <v>30</v>
      </c>
      <c r="C1405" s="11" t="s">
        <v>101</v>
      </c>
      <c r="D1405" s="11" t="s">
        <v>34</v>
      </c>
      <c r="E1405" s="11" t="s">
        <v>91</v>
      </c>
      <c r="F1405" s="11" t="s">
        <v>98</v>
      </c>
      <c r="G1405" s="21" t="n">
        <v>31.3</v>
      </c>
      <c r="H1405" s="19" t="n">
        <v>43.6</v>
      </c>
      <c r="I1405" s="21" t="n">
        <v>17.65</v>
      </c>
      <c r="J1405" s="22" t="s">
        <v>776</v>
      </c>
      <c r="K1405" s="11" t="n">
        <v>21</v>
      </c>
      <c r="L1405" s="23" t="n">
        <v>4.4</v>
      </c>
      <c r="M1405" s="24" t="b">
        <f aca="false">FALSE()</f>
        <v>0</v>
      </c>
      <c r="N1405" s="11"/>
      <c r="O1405" s="11" t="str">
        <f aca="false">IF(K1405&lt;=StockP33,"Low",IF(K1405&lt;=StockP67,"Moderate","High"))</f>
        <v>Moderate</v>
      </c>
      <c r="P1405" s="11" t="str">
        <f aca="false">IF(H1405=0,"Low",IF(H1405&lt;=MarkdownP75,"Moderate","High"))</f>
        <v>High</v>
      </c>
      <c r="Q1405" s="11" t="str">
        <f aca="false">IF(ISBLANK(L1405),"Unknown",IF(L1405&gt;=4,"Good",IF(L1405&lt;=2,"Poor","Neutral")))</f>
        <v>Good</v>
      </c>
      <c r="R1405" s="11" t="str">
        <f aca="false">IF(AND(O1405="Low",P1405="Low",Q1405="Good"),"BUY / PRIORITIZE",IF(AND(O1405="High",P1405="High",OR(Q1405="Poor",M1405=TRUE())),"HOLD / REVIEW","MONITOR"))</f>
        <v>MONITOR</v>
      </c>
      <c r="S1405" s="11" t="n">
        <f aca="false">K1405+(ROW()/10000000)</f>
        <v>21.0001405</v>
      </c>
    </row>
    <row r="1406" customFormat="false" ht="15" hidden="false" customHeight="false" outlineLevel="0" collapsed="false">
      <c r="A1406" s="11" t="s">
        <v>1723</v>
      </c>
      <c r="B1406" s="11" t="s">
        <v>8</v>
      </c>
      <c r="C1406" s="11" t="s">
        <v>72</v>
      </c>
      <c r="D1406" s="11" t="s">
        <v>36</v>
      </c>
      <c r="E1406" s="11"/>
      <c r="F1406" s="11" t="s">
        <v>98</v>
      </c>
      <c r="G1406" s="21" t="n">
        <v>73.57</v>
      </c>
      <c r="H1406" s="19" t="n">
        <v>0</v>
      </c>
      <c r="I1406" s="21" t="n">
        <v>73.57</v>
      </c>
      <c r="J1406" s="22" t="s">
        <v>80</v>
      </c>
      <c r="K1406" s="11" t="n">
        <v>22</v>
      </c>
      <c r="L1406" s="23" t="n">
        <v>1.1</v>
      </c>
      <c r="M1406" s="24" t="b">
        <f aca="false">FALSE()</f>
        <v>0</v>
      </c>
      <c r="N1406" s="11"/>
      <c r="O1406" s="11" t="str">
        <f aca="false">IF(K1406&lt;=StockP33,"Low",IF(K1406&lt;=StockP67,"Moderate","High"))</f>
        <v>Moderate</v>
      </c>
      <c r="P1406" s="11" t="str">
        <f aca="false">IF(H1406=0,"Low",IF(H1406&lt;=MarkdownP75,"Moderate","High"))</f>
        <v>Low</v>
      </c>
      <c r="Q1406" s="11" t="str">
        <f aca="false">IF(ISBLANK(L1406),"Unknown",IF(L1406&gt;=4,"Good",IF(L1406&lt;=2,"Poor","Neutral")))</f>
        <v>Poor</v>
      </c>
      <c r="R1406" s="11" t="str">
        <f aca="false">IF(AND(O1406="Low",P1406="Low",Q1406="Good"),"BUY / PRIORITIZE",IF(AND(O1406="High",P1406="High",OR(Q1406="Poor",M1406=TRUE())),"HOLD / REVIEW","MONITOR"))</f>
        <v>MONITOR</v>
      </c>
      <c r="S1406" s="11" t="n">
        <f aca="false">K1406+(ROW()/10000000)</f>
        <v>22.0001406</v>
      </c>
    </row>
    <row r="1407" customFormat="false" ht="15" hidden="false" customHeight="false" outlineLevel="0" collapsed="false">
      <c r="A1407" s="11" t="s">
        <v>1724</v>
      </c>
      <c r="B1407" s="11" t="s">
        <v>29</v>
      </c>
      <c r="C1407" s="11" t="s">
        <v>95</v>
      </c>
      <c r="D1407" s="11" t="s">
        <v>35</v>
      </c>
      <c r="E1407" s="11"/>
      <c r="F1407" s="11" t="s">
        <v>79</v>
      </c>
      <c r="G1407" s="21" t="n">
        <v>75.95</v>
      </c>
      <c r="H1407" s="19" t="n">
        <v>0</v>
      </c>
      <c r="I1407" s="21" t="n">
        <v>75.95</v>
      </c>
      <c r="J1407" s="22" t="s">
        <v>80</v>
      </c>
      <c r="K1407" s="11" t="n">
        <v>14</v>
      </c>
      <c r="L1407" s="23"/>
      <c r="M1407" s="24" t="b">
        <f aca="false">FALSE()</f>
        <v>0</v>
      </c>
      <c r="N1407" s="11"/>
      <c r="O1407" s="11" t="str">
        <f aca="false">IF(K1407&lt;=StockP33,"Low",IF(K1407&lt;=StockP67,"Moderate","High"))</f>
        <v>Low</v>
      </c>
      <c r="P1407" s="11" t="str">
        <f aca="false">IF(H1407=0,"Low",IF(H1407&lt;=MarkdownP75,"Moderate","High"))</f>
        <v>Low</v>
      </c>
      <c r="Q1407" s="11" t="str">
        <f aca="false">IF(ISBLANK(L1407),"Unknown",IF(L1407&gt;=4,"Good",IF(L1407&lt;=2,"Poor","Neutral")))</f>
        <v>Unknown</v>
      </c>
      <c r="R1407" s="11" t="str">
        <f aca="false">IF(AND(O1407="Low",P1407="Low",Q1407="Good"),"BUY / PRIORITIZE",IF(AND(O1407="High",P1407="High",OR(Q1407="Poor",M1407=TRUE())),"HOLD / REVIEW","MONITOR"))</f>
        <v>MONITOR</v>
      </c>
      <c r="S1407" s="11" t="n">
        <f aca="false">K1407+(ROW()/10000000)</f>
        <v>14.0001407</v>
      </c>
    </row>
    <row r="1408" customFormat="false" ht="15" hidden="false" customHeight="false" outlineLevel="0" collapsed="false">
      <c r="A1408" s="11" t="s">
        <v>1725</v>
      </c>
      <c r="B1408" s="11" t="s">
        <v>8</v>
      </c>
      <c r="C1408" s="11" t="s">
        <v>101</v>
      </c>
      <c r="D1408" s="11" t="s">
        <v>34</v>
      </c>
      <c r="E1408" s="11"/>
      <c r="F1408" s="11" t="s">
        <v>98</v>
      </c>
      <c r="G1408" s="21" t="n">
        <v>79.04</v>
      </c>
      <c r="H1408" s="19" t="n">
        <v>0</v>
      </c>
      <c r="I1408" s="21" t="n">
        <v>79.04</v>
      </c>
      <c r="J1408" s="22" t="s">
        <v>303</v>
      </c>
      <c r="K1408" s="11" t="n">
        <v>28</v>
      </c>
      <c r="L1408" s="23" t="n">
        <v>4.7</v>
      </c>
      <c r="M1408" s="24" t="b">
        <f aca="false">FALSE()</f>
        <v>0</v>
      </c>
      <c r="N1408" s="11"/>
      <c r="O1408" s="11" t="str">
        <f aca="false">IF(K1408&lt;=StockP33,"Low",IF(K1408&lt;=StockP67,"Moderate","High"))</f>
        <v>Moderate</v>
      </c>
      <c r="P1408" s="11" t="str">
        <f aca="false">IF(H1408=0,"Low",IF(H1408&lt;=MarkdownP75,"Moderate","High"))</f>
        <v>Low</v>
      </c>
      <c r="Q1408" s="11" t="str">
        <f aca="false">IF(ISBLANK(L1408),"Unknown",IF(L1408&gt;=4,"Good",IF(L1408&lt;=2,"Poor","Neutral")))</f>
        <v>Good</v>
      </c>
      <c r="R1408" s="11" t="str">
        <f aca="false">IF(AND(O1408="Low",P1408="Low",Q1408="Good"),"BUY / PRIORITIZE",IF(AND(O1408="High",P1408="High",OR(Q1408="Poor",M1408=TRUE())),"HOLD / REVIEW","MONITOR"))</f>
        <v>MONITOR</v>
      </c>
      <c r="S1408" s="11" t="n">
        <f aca="false">K1408+(ROW()/10000000)</f>
        <v>28.0001408</v>
      </c>
    </row>
    <row r="1409" customFormat="false" ht="15" hidden="false" customHeight="false" outlineLevel="0" collapsed="false">
      <c r="A1409" s="11" t="s">
        <v>1726</v>
      </c>
      <c r="B1409" s="11" t="s">
        <v>30</v>
      </c>
      <c r="C1409" s="11" t="s">
        <v>95</v>
      </c>
      <c r="D1409" s="11" t="s">
        <v>36</v>
      </c>
      <c r="E1409" s="11" t="s">
        <v>78</v>
      </c>
      <c r="F1409" s="11" t="s">
        <v>88</v>
      </c>
      <c r="G1409" s="21" t="n">
        <v>26.85</v>
      </c>
      <c r="H1409" s="19" t="n">
        <v>0</v>
      </c>
      <c r="I1409" s="21" t="n">
        <v>26.85</v>
      </c>
      <c r="J1409" s="22" t="s">
        <v>80</v>
      </c>
      <c r="K1409" s="11" t="n">
        <v>26</v>
      </c>
      <c r="L1409" s="23"/>
      <c r="M1409" s="24" t="b">
        <f aca="false">FALSE()</f>
        <v>0</v>
      </c>
      <c r="N1409" s="11"/>
      <c r="O1409" s="11" t="str">
        <f aca="false">IF(K1409&lt;=StockP33,"Low",IF(K1409&lt;=StockP67,"Moderate","High"))</f>
        <v>Moderate</v>
      </c>
      <c r="P1409" s="11" t="str">
        <f aca="false">IF(H1409=0,"Low",IF(H1409&lt;=MarkdownP75,"Moderate","High"))</f>
        <v>Low</v>
      </c>
      <c r="Q1409" s="11" t="str">
        <f aca="false">IF(ISBLANK(L1409),"Unknown",IF(L1409&gt;=4,"Good",IF(L1409&lt;=2,"Poor","Neutral")))</f>
        <v>Unknown</v>
      </c>
      <c r="R1409" s="11" t="str">
        <f aca="false">IF(AND(O1409="Low",P1409="Low",Q1409="Good"),"BUY / PRIORITIZE",IF(AND(O1409="High",P1409="High",OR(Q1409="Poor",M1409=TRUE())),"HOLD / REVIEW","MONITOR"))</f>
        <v>MONITOR</v>
      </c>
      <c r="S1409" s="11" t="n">
        <f aca="false">K1409+(ROW()/10000000)</f>
        <v>26.0001409</v>
      </c>
    </row>
    <row r="1410" customFormat="false" ht="15" hidden="false" customHeight="false" outlineLevel="0" collapsed="false">
      <c r="A1410" s="11" t="s">
        <v>1727</v>
      </c>
      <c r="B1410" s="11" t="s">
        <v>27</v>
      </c>
      <c r="C1410" s="11" t="s">
        <v>107</v>
      </c>
      <c r="D1410" s="11" t="s">
        <v>34</v>
      </c>
      <c r="E1410" s="11" t="s">
        <v>78</v>
      </c>
      <c r="F1410" s="11" t="s">
        <v>92</v>
      </c>
      <c r="G1410" s="21" t="n">
        <v>126.21</v>
      </c>
      <c r="H1410" s="19" t="n">
        <v>29.2</v>
      </c>
      <c r="I1410" s="21" t="n">
        <v>89.36</v>
      </c>
      <c r="J1410" s="22" t="s">
        <v>1728</v>
      </c>
      <c r="K1410" s="11" t="n">
        <v>25</v>
      </c>
      <c r="L1410" s="23" t="n">
        <v>1.1</v>
      </c>
      <c r="M1410" s="24" t="b">
        <f aca="false">FALSE()</f>
        <v>0</v>
      </c>
      <c r="N1410" s="11"/>
      <c r="O1410" s="11" t="str">
        <f aca="false">IF(K1410&lt;=StockP33,"Low",IF(K1410&lt;=StockP67,"Moderate","High"))</f>
        <v>Moderate</v>
      </c>
      <c r="P1410" s="11" t="str">
        <f aca="false">IF(H1410=0,"Low",IF(H1410&lt;=MarkdownP75,"Moderate","High"))</f>
        <v>High</v>
      </c>
      <c r="Q1410" s="11" t="str">
        <f aca="false">IF(ISBLANK(L1410),"Unknown",IF(L1410&gt;=4,"Good",IF(L1410&lt;=2,"Poor","Neutral")))</f>
        <v>Poor</v>
      </c>
      <c r="R1410" s="11" t="str">
        <f aca="false">IF(AND(O1410="Low",P1410="Low",Q1410="Good"),"BUY / PRIORITIZE",IF(AND(O1410="High",P1410="High",OR(Q1410="Poor",M1410=TRUE())),"HOLD / REVIEW","MONITOR"))</f>
        <v>MONITOR</v>
      </c>
      <c r="S1410" s="11" t="n">
        <f aca="false">K1410+(ROW()/10000000)</f>
        <v>25.000141</v>
      </c>
    </row>
    <row r="1411" customFormat="false" ht="15" hidden="false" customHeight="false" outlineLevel="0" collapsed="false">
      <c r="A1411" s="11" t="s">
        <v>1729</v>
      </c>
      <c r="B1411" s="11" t="s">
        <v>29</v>
      </c>
      <c r="C1411" s="11" t="s">
        <v>95</v>
      </c>
      <c r="D1411" s="11" t="s">
        <v>36</v>
      </c>
      <c r="E1411" s="11" t="s">
        <v>91</v>
      </c>
      <c r="F1411" s="11" t="s">
        <v>118</v>
      </c>
      <c r="G1411" s="21" t="n">
        <v>71.46</v>
      </c>
      <c r="H1411" s="19" t="n">
        <v>0</v>
      </c>
      <c r="I1411" s="21" t="n">
        <v>71.46</v>
      </c>
      <c r="J1411" s="22" t="s">
        <v>80</v>
      </c>
      <c r="K1411" s="11" t="n">
        <v>2</v>
      </c>
      <c r="L1411" s="23" t="n">
        <v>3.1</v>
      </c>
      <c r="M1411" s="24" t="b">
        <f aca="false">FALSE()</f>
        <v>0</v>
      </c>
      <c r="N1411" s="11"/>
      <c r="O1411" s="11" t="str">
        <f aca="false">IF(K1411&lt;=StockP33,"Low",IF(K1411&lt;=StockP67,"Moderate","High"))</f>
        <v>Low</v>
      </c>
      <c r="P1411" s="11" t="str">
        <f aca="false">IF(H1411=0,"Low",IF(H1411&lt;=MarkdownP75,"Moderate","High"))</f>
        <v>Low</v>
      </c>
      <c r="Q1411" s="11" t="str">
        <f aca="false">IF(ISBLANK(L1411),"Unknown",IF(L1411&gt;=4,"Good",IF(L1411&lt;=2,"Poor","Neutral")))</f>
        <v>Neutral</v>
      </c>
      <c r="R1411" s="11" t="str">
        <f aca="false">IF(AND(O1411="Low",P1411="Low",Q1411="Good"),"BUY / PRIORITIZE",IF(AND(O1411="High",P1411="High",OR(Q1411="Poor",M1411=TRUE())),"HOLD / REVIEW","MONITOR"))</f>
        <v>MONITOR</v>
      </c>
      <c r="S1411" s="11" t="n">
        <f aca="false">K1411+(ROW()/10000000)</f>
        <v>2.0001411</v>
      </c>
    </row>
    <row r="1412" customFormat="false" ht="15" hidden="false" customHeight="false" outlineLevel="0" collapsed="false">
      <c r="A1412" s="11" t="s">
        <v>1730</v>
      </c>
      <c r="B1412" s="11" t="s">
        <v>27</v>
      </c>
      <c r="C1412" s="11" t="s">
        <v>95</v>
      </c>
      <c r="D1412" s="11" t="s">
        <v>37</v>
      </c>
      <c r="E1412" s="11" t="s">
        <v>113</v>
      </c>
      <c r="F1412" s="11" t="s">
        <v>111</v>
      </c>
      <c r="G1412" s="21" t="n">
        <v>65.07</v>
      </c>
      <c r="H1412" s="19" t="n">
        <v>14.8</v>
      </c>
      <c r="I1412" s="21" t="n">
        <v>55.44</v>
      </c>
      <c r="J1412" s="22" t="s">
        <v>80</v>
      </c>
      <c r="K1412" s="11" t="n">
        <v>21</v>
      </c>
      <c r="L1412" s="23"/>
      <c r="M1412" s="24" t="b">
        <f aca="false">FALSE()</f>
        <v>0</v>
      </c>
      <c r="N1412" s="11"/>
      <c r="O1412" s="11" t="str">
        <f aca="false">IF(K1412&lt;=StockP33,"Low",IF(K1412&lt;=StockP67,"Moderate","High"))</f>
        <v>Moderate</v>
      </c>
      <c r="P1412" s="11" t="str">
        <f aca="false">IF(H1412=0,"Low",IF(H1412&lt;=MarkdownP75,"Moderate","High"))</f>
        <v>Moderate</v>
      </c>
      <c r="Q1412" s="11" t="str">
        <f aca="false">IF(ISBLANK(L1412),"Unknown",IF(L1412&gt;=4,"Good",IF(L1412&lt;=2,"Poor","Neutral")))</f>
        <v>Unknown</v>
      </c>
      <c r="R1412" s="11" t="str">
        <f aca="false">IF(AND(O1412="Low",P1412="Low",Q1412="Good"),"BUY / PRIORITIZE",IF(AND(O1412="High",P1412="High",OR(Q1412="Poor",M1412=TRUE())),"HOLD / REVIEW","MONITOR"))</f>
        <v>MONITOR</v>
      </c>
      <c r="S1412" s="11" t="n">
        <f aca="false">K1412+(ROW()/10000000)</f>
        <v>21.0001412</v>
      </c>
    </row>
    <row r="1413" customFormat="false" ht="15" hidden="false" customHeight="false" outlineLevel="0" collapsed="false">
      <c r="A1413" s="11" t="s">
        <v>1731</v>
      </c>
      <c r="B1413" s="11" t="s">
        <v>26</v>
      </c>
      <c r="C1413" s="11" t="s">
        <v>95</v>
      </c>
      <c r="D1413" s="11" t="s">
        <v>36</v>
      </c>
      <c r="E1413" s="11" t="s">
        <v>73</v>
      </c>
      <c r="F1413" s="11" t="s">
        <v>79</v>
      </c>
      <c r="G1413" s="21" t="n">
        <v>28.11</v>
      </c>
      <c r="H1413" s="19" t="n">
        <v>20.9</v>
      </c>
      <c r="I1413" s="21" t="n">
        <v>22.24</v>
      </c>
      <c r="J1413" s="22" t="s">
        <v>80</v>
      </c>
      <c r="K1413" s="11" t="n">
        <v>6</v>
      </c>
      <c r="L1413" s="23" t="n">
        <v>2.3</v>
      </c>
      <c r="M1413" s="24" t="b">
        <f aca="false">FALSE()</f>
        <v>0</v>
      </c>
      <c r="N1413" s="11"/>
      <c r="O1413" s="11" t="str">
        <f aca="false">IF(K1413&lt;=StockP33,"Low",IF(K1413&lt;=StockP67,"Moderate","High"))</f>
        <v>Low</v>
      </c>
      <c r="P1413" s="11" t="str">
        <f aca="false">IF(H1413=0,"Low",IF(H1413&lt;=MarkdownP75,"Moderate","High"))</f>
        <v>Moderate</v>
      </c>
      <c r="Q1413" s="11" t="str">
        <f aca="false">IF(ISBLANK(L1413),"Unknown",IF(L1413&gt;=4,"Good",IF(L1413&lt;=2,"Poor","Neutral")))</f>
        <v>Neutral</v>
      </c>
      <c r="R1413" s="11" t="str">
        <f aca="false">IF(AND(O1413="Low",P1413="Low",Q1413="Good"),"BUY / PRIORITIZE",IF(AND(O1413="High",P1413="High",OR(Q1413="Poor",M1413=TRUE())),"HOLD / REVIEW","MONITOR"))</f>
        <v>MONITOR</v>
      </c>
      <c r="S1413" s="11" t="n">
        <f aca="false">K1413+(ROW()/10000000)</f>
        <v>6.0001413</v>
      </c>
    </row>
    <row r="1414" customFormat="false" ht="15" hidden="false" customHeight="false" outlineLevel="0" collapsed="false">
      <c r="A1414" s="11" t="s">
        <v>1732</v>
      </c>
      <c r="B1414" s="11" t="s">
        <v>30</v>
      </c>
      <c r="C1414" s="11" t="s">
        <v>101</v>
      </c>
      <c r="D1414" s="11" t="s">
        <v>34</v>
      </c>
      <c r="E1414" s="11" t="s">
        <v>78</v>
      </c>
      <c r="F1414" s="11" t="s">
        <v>98</v>
      </c>
      <c r="G1414" s="21" t="n">
        <v>29.12</v>
      </c>
      <c r="H1414" s="19" t="n">
        <v>0</v>
      </c>
      <c r="I1414" s="21" t="n">
        <v>29.12</v>
      </c>
      <c r="J1414" s="22" t="s">
        <v>782</v>
      </c>
      <c r="K1414" s="11" t="n">
        <v>14</v>
      </c>
      <c r="L1414" s="23" t="n">
        <v>2.7</v>
      </c>
      <c r="M1414" s="24" t="b">
        <f aca="false">FALSE()</f>
        <v>0</v>
      </c>
      <c r="N1414" s="11"/>
      <c r="O1414" s="11" t="str">
        <f aca="false">IF(K1414&lt;=StockP33,"Low",IF(K1414&lt;=StockP67,"Moderate","High"))</f>
        <v>Low</v>
      </c>
      <c r="P1414" s="11" t="str">
        <f aca="false">IF(H1414=0,"Low",IF(H1414&lt;=MarkdownP75,"Moderate","High"))</f>
        <v>Low</v>
      </c>
      <c r="Q1414" s="11" t="str">
        <f aca="false">IF(ISBLANK(L1414),"Unknown",IF(L1414&gt;=4,"Good",IF(L1414&lt;=2,"Poor","Neutral")))</f>
        <v>Neutral</v>
      </c>
      <c r="R1414" s="11" t="str">
        <f aca="false">IF(AND(O1414="Low",P1414="Low",Q1414="Good"),"BUY / PRIORITIZE",IF(AND(O1414="High",P1414="High",OR(Q1414="Poor",M1414=TRUE())),"HOLD / REVIEW","MONITOR"))</f>
        <v>MONITOR</v>
      </c>
      <c r="S1414" s="11" t="n">
        <f aca="false">K1414+(ROW()/10000000)</f>
        <v>14.0001414</v>
      </c>
    </row>
    <row r="1415" customFormat="false" ht="15" hidden="false" customHeight="false" outlineLevel="0" collapsed="false">
      <c r="A1415" s="11" t="s">
        <v>1733</v>
      </c>
      <c r="B1415" s="11" t="s">
        <v>8</v>
      </c>
      <c r="C1415" s="11" t="s">
        <v>130</v>
      </c>
      <c r="D1415" s="11" t="s">
        <v>37</v>
      </c>
      <c r="E1415" s="11"/>
      <c r="F1415" s="11" t="s">
        <v>82</v>
      </c>
      <c r="G1415" s="21" t="n">
        <v>57.1</v>
      </c>
      <c r="H1415" s="19" t="n">
        <v>0</v>
      </c>
      <c r="I1415" s="21" t="n">
        <v>57.1</v>
      </c>
      <c r="J1415" s="22" t="s">
        <v>80</v>
      </c>
      <c r="K1415" s="11" t="n">
        <v>28</v>
      </c>
      <c r="L1415" s="23"/>
      <c r="M1415" s="24" t="b">
        <f aca="false">TRUE()</f>
        <v>1</v>
      </c>
      <c r="N1415" s="11" t="s">
        <v>191</v>
      </c>
      <c r="O1415" s="11" t="str">
        <f aca="false">IF(K1415&lt;=StockP33,"Low",IF(K1415&lt;=StockP67,"Moderate","High"))</f>
        <v>Moderate</v>
      </c>
      <c r="P1415" s="11" t="str">
        <f aca="false">IF(H1415=0,"Low",IF(H1415&lt;=MarkdownP75,"Moderate","High"))</f>
        <v>Low</v>
      </c>
      <c r="Q1415" s="11" t="str">
        <f aca="false">IF(ISBLANK(L1415),"Unknown",IF(L1415&gt;=4,"Good",IF(L1415&lt;=2,"Poor","Neutral")))</f>
        <v>Unknown</v>
      </c>
      <c r="R1415" s="11" t="str">
        <f aca="false">IF(AND(O1415="Low",P1415="Low",Q1415="Good"),"BUY / PRIORITIZE",IF(AND(O1415="High",P1415="High",OR(Q1415="Poor",M1415=TRUE())),"HOLD / REVIEW","MONITOR"))</f>
        <v>MONITOR</v>
      </c>
      <c r="S1415" s="11" t="n">
        <f aca="false">K1415+(ROW()/10000000)</f>
        <v>28.0001415</v>
      </c>
    </row>
    <row r="1416" customFormat="false" ht="15" hidden="false" customHeight="false" outlineLevel="0" collapsed="false">
      <c r="A1416" s="11" t="s">
        <v>1734</v>
      </c>
      <c r="B1416" s="11" t="s">
        <v>28</v>
      </c>
      <c r="C1416" s="11" t="s">
        <v>77</v>
      </c>
      <c r="D1416" s="11" t="s">
        <v>34</v>
      </c>
      <c r="E1416" s="11" t="s">
        <v>113</v>
      </c>
      <c r="F1416" s="11" t="s">
        <v>82</v>
      </c>
      <c r="G1416" s="21" t="n">
        <v>248.05</v>
      </c>
      <c r="H1416" s="19" t="n">
        <v>0</v>
      </c>
      <c r="I1416" s="21" t="n">
        <v>248.05</v>
      </c>
      <c r="J1416" s="22" t="s">
        <v>366</v>
      </c>
      <c r="K1416" s="11" t="n">
        <v>17</v>
      </c>
      <c r="L1416" s="23" t="n">
        <v>4.6</v>
      </c>
      <c r="M1416" s="24" t="b">
        <f aca="false">FALSE()</f>
        <v>0</v>
      </c>
      <c r="N1416" s="11"/>
      <c r="O1416" s="11" t="str">
        <f aca="false">IF(K1416&lt;=StockP33,"Low",IF(K1416&lt;=StockP67,"Moderate","High"))</f>
        <v>Low</v>
      </c>
      <c r="P1416" s="11" t="str">
        <f aca="false">IF(H1416=0,"Low",IF(H1416&lt;=MarkdownP75,"Moderate","High"))</f>
        <v>Low</v>
      </c>
      <c r="Q1416" s="11" t="str">
        <f aca="false">IF(ISBLANK(L1416),"Unknown",IF(L1416&gt;=4,"Good",IF(L1416&lt;=2,"Poor","Neutral")))</f>
        <v>Good</v>
      </c>
      <c r="R1416" s="11" t="str">
        <f aca="false">IF(AND(O1416="Low",P1416="Low",Q1416="Good"),"BUY / PRIORITIZE",IF(AND(O1416="High",P1416="High",OR(Q1416="Poor",M1416=TRUE())),"HOLD / REVIEW","MONITOR"))</f>
        <v>BUY / PRIORITIZE</v>
      </c>
      <c r="S1416" s="11" t="n">
        <f aca="false">K1416+(ROW()/10000000)</f>
        <v>17.0001416</v>
      </c>
    </row>
    <row r="1417" customFormat="false" ht="15" hidden="false" customHeight="false" outlineLevel="0" collapsed="false">
      <c r="A1417" s="11" t="s">
        <v>1735</v>
      </c>
      <c r="B1417" s="11" t="s">
        <v>26</v>
      </c>
      <c r="C1417" s="11" t="s">
        <v>72</v>
      </c>
      <c r="D1417" s="11" t="s">
        <v>36</v>
      </c>
      <c r="E1417" s="11" t="s">
        <v>91</v>
      </c>
      <c r="F1417" s="11" t="s">
        <v>92</v>
      </c>
      <c r="G1417" s="21" t="n">
        <v>108.59</v>
      </c>
      <c r="H1417" s="19" t="n">
        <v>40.6</v>
      </c>
      <c r="I1417" s="21" t="n">
        <v>64.5</v>
      </c>
      <c r="J1417" s="22" t="s">
        <v>80</v>
      </c>
      <c r="K1417" s="11" t="n">
        <v>9</v>
      </c>
      <c r="L1417" s="23" t="n">
        <v>1.3</v>
      </c>
      <c r="M1417" s="24" t="b">
        <f aca="false">FALSE()</f>
        <v>0</v>
      </c>
      <c r="N1417" s="11"/>
      <c r="O1417" s="11" t="str">
        <f aca="false">IF(K1417&lt;=StockP33,"Low",IF(K1417&lt;=StockP67,"Moderate","High"))</f>
        <v>Low</v>
      </c>
      <c r="P1417" s="11" t="str">
        <f aca="false">IF(H1417=0,"Low",IF(H1417&lt;=MarkdownP75,"Moderate","High"))</f>
        <v>High</v>
      </c>
      <c r="Q1417" s="11" t="str">
        <f aca="false">IF(ISBLANK(L1417),"Unknown",IF(L1417&gt;=4,"Good",IF(L1417&lt;=2,"Poor","Neutral")))</f>
        <v>Poor</v>
      </c>
      <c r="R1417" s="11" t="str">
        <f aca="false">IF(AND(O1417="Low",P1417="Low",Q1417="Good"),"BUY / PRIORITIZE",IF(AND(O1417="High",P1417="High",OR(Q1417="Poor",M1417=TRUE())),"HOLD / REVIEW","MONITOR"))</f>
        <v>MONITOR</v>
      </c>
      <c r="S1417" s="11" t="n">
        <f aca="false">K1417+(ROW()/10000000)</f>
        <v>9.0001417</v>
      </c>
    </row>
    <row r="1418" customFormat="false" ht="15" hidden="false" customHeight="false" outlineLevel="0" collapsed="false">
      <c r="A1418" s="11" t="s">
        <v>1736</v>
      </c>
      <c r="B1418" s="11" t="s">
        <v>28</v>
      </c>
      <c r="C1418" s="11" t="s">
        <v>130</v>
      </c>
      <c r="D1418" s="11" t="s">
        <v>35</v>
      </c>
      <c r="E1418" s="11" t="s">
        <v>73</v>
      </c>
      <c r="F1418" s="11" t="s">
        <v>111</v>
      </c>
      <c r="G1418" s="21" t="n">
        <v>124.13</v>
      </c>
      <c r="H1418" s="19" t="n">
        <v>0</v>
      </c>
      <c r="I1418" s="21" t="n">
        <v>124.13</v>
      </c>
      <c r="J1418" s="22" t="s">
        <v>80</v>
      </c>
      <c r="K1418" s="11" t="n">
        <v>33</v>
      </c>
      <c r="L1418" s="23" t="n">
        <v>5</v>
      </c>
      <c r="M1418" s="24" t="b">
        <f aca="false">FALSE()</f>
        <v>0</v>
      </c>
      <c r="N1418" s="11"/>
      <c r="O1418" s="11" t="str">
        <f aca="false">IF(K1418&lt;=StockP33,"Low",IF(K1418&lt;=StockP67,"Moderate","High"))</f>
        <v>Moderate</v>
      </c>
      <c r="P1418" s="11" t="str">
        <f aca="false">IF(H1418=0,"Low",IF(H1418&lt;=MarkdownP75,"Moderate","High"))</f>
        <v>Low</v>
      </c>
      <c r="Q1418" s="11" t="str">
        <f aca="false">IF(ISBLANK(L1418),"Unknown",IF(L1418&gt;=4,"Good",IF(L1418&lt;=2,"Poor","Neutral")))</f>
        <v>Good</v>
      </c>
      <c r="R1418" s="11" t="str">
        <f aca="false">IF(AND(O1418="Low",P1418="Low",Q1418="Good"),"BUY / PRIORITIZE",IF(AND(O1418="High",P1418="High",OR(Q1418="Poor",M1418=TRUE())),"HOLD / REVIEW","MONITOR"))</f>
        <v>MONITOR</v>
      </c>
      <c r="S1418" s="11" t="n">
        <f aca="false">K1418+(ROW()/10000000)</f>
        <v>33.0001418</v>
      </c>
    </row>
    <row r="1419" customFormat="false" ht="15" hidden="false" customHeight="false" outlineLevel="0" collapsed="false">
      <c r="A1419" s="11" t="s">
        <v>1737</v>
      </c>
      <c r="B1419" s="11" t="s">
        <v>8</v>
      </c>
      <c r="C1419" s="11" t="s">
        <v>72</v>
      </c>
      <c r="D1419" s="11" t="s">
        <v>34</v>
      </c>
      <c r="E1419" s="11"/>
      <c r="F1419" s="11" t="s">
        <v>124</v>
      </c>
      <c r="G1419" s="21" t="n">
        <v>62.21</v>
      </c>
      <c r="H1419" s="19" t="n">
        <v>1.8</v>
      </c>
      <c r="I1419" s="21" t="n">
        <v>61.09</v>
      </c>
      <c r="J1419" s="22" t="s">
        <v>283</v>
      </c>
      <c r="K1419" s="11" t="n">
        <v>4</v>
      </c>
      <c r="L1419" s="23" t="n">
        <v>2.3</v>
      </c>
      <c r="M1419" s="24" t="b">
        <f aca="false">FALSE()</f>
        <v>0</v>
      </c>
      <c r="N1419" s="11"/>
      <c r="O1419" s="11" t="str">
        <f aca="false">IF(K1419&lt;=StockP33,"Low",IF(K1419&lt;=StockP67,"Moderate","High"))</f>
        <v>Low</v>
      </c>
      <c r="P1419" s="11" t="str">
        <f aca="false">IF(H1419=0,"Low",IF(H1419&lt;=MarkdownP75,"Moderate","High"))</f>
        <v>Moderate</v>
      </c>
      <c r="Q1419" s="11" t="str">
        <f aca="false">IF(ISBLANK(L1419),"Unknown",IF(L1419&gt;=4,"Good",IF(L1419&lt;=2,"Poor","Neutral")))</f>
        <v>Neutral</v>
      </c>
      <c r="R1419" s="11" t="str">
        <f aca="false">IF(AND(O1419="Low",P1419="Low",Q1419="Good"),"BUY / PRIORITIZE",IF(AND(O1419="High",P1419="High",OR(Q1419="Poor",M1419=TRUE())),"HOLD / REVIEW","MONITOR"))</f>
        <v>MONITOR</v>
      </c>
      <c r="S1419" s="11" t="n">
        <f aca="false">K1419+(ROW()/10000000)</f>
        <v>4.0001419</v>
      </c>
    </row>
    <row r="1420" customFormat="false" ht="15" hidden="false" customHeight="false" outlineLevel="0" collapsed="false">
      <c r="A1420" s="11" t="s">
        <v>1738</v>
      </c>
      <c r="B1420" s="11" t="s">
        <v>26</v>
      </c>
      <c r="C1420" s="11" t="s">
        <v>77</v>
      </c>
      <c r="D1420" s="11" t="s">
        <v>36</v>
      </c>
      <c r="E1420" s="11" t="s">
        <v>113</v>
      </c>
      <c r="F1420" s="11" t="s">
        <v>92</v>
      </c>
      <c r="G1420" s="21" t="n">
        <v>48.27</v>
      </c>
      <c r="H1420" s="19" t="n">
        <v>0</v>
      </c>
      <c r="I1420" s="21" t="n">
        <v>48.27</v>
      </c>
      <c r="J1420" s="22" t="s">
        <v>80</v>
      </c>
      <c r="K1420" s="11" t="n">
        <v>33</v>
      </c>
      <c r="L1420" s="23"/>
      <c r="M1420" s="24" t="b">
        <f aca="false">FALSE()</f>
        <v>0</v>
      </c>
      <c r="N1420" s="11"/>
      <c r="O1420" s="11" t="str">
        <f aca="false">IF(K1420&lt;=StockP33,"Low",IF(K1420&lt;=StockP67,"Moderate","High"))</f>
        <v>Moderate</v>
      </c>
      <c r="P1420" s="11" t="str">
        <f aca="false">IF(H1420=0,"Low",IF(H1420&lt;=MarkdownP75,"Moderate","High"))</f>
        <v>Low</v>
      </c>
      <c r="Q1420" s="11" t="str">
        <f aca="false">IF(ISBLANK(L1420),"Unknown",IF(L1420&gt;=4,"Good",IF(L1420&lt;=2,"Poor","Neutral")))</f>
        <v>Unknown</v>
      </c>
      <c r="R1420" s="11" t="str">
        <f aca="false">IF(AND(O1420="Low",P1420="Low",Q1420="Good"),"BUY / PRIORITIZE",IF(AND(O1420="High",P1420="High",OR(Q1420="Poor",M1420=TRUE())),"HOLD / REVIEW","MONITOR"))</f>
        <v>MONITOR</v>
      </c>
      <c r="S1420" s="11" t="n">
        <f aca="false">K1420+(ROW()/10000000)</f>
        <v>33.000142</v>
      </c>
    </row>
    <row r="1421" customFormat="false" ht="15" hidden="false" customHeight="false" outlineLevel="0" collapsed="false">
      <c r="A1421" s="11" t="s">
        <v>1739</v>
      </c>
      <c r="B1421" s="11" t="s">
        <v>30</v>
      </c>
      <c r="C1421" s="11" t="s">
        <v>72</v>
      </c>
      <c r="D1421" s="11" t="s">
        <v>34</v>
      </c>
      <c r="E1421" s="11" t="s">
        <v>73</v>
      </c>
      <c r="F1421" s="11" t="s">
        <v>96</v>
      </c>
      <c r="G1421" s="21" t="n">
        <v>88.77</v>
      </c>
      <c r="H1421" s="19" t="n">
        <v>0</v>
      </c>
      <c r="I1421" s="21" t="n">
        <v>88.77</v>
      </c>
      <c r="J1421" s="22" t="s">
        <v>923</v>
      </c>
      <c r="K1421" s="11" t="n">
        <v>40</v>
      </c>
      <c r="L1421" s="23" t="n">
        <v>4.8</v>
      </c>
      <c r="M1421" s="24" t="b">
        <f aca="false">FALSE()</f>
        <v>0</v>
      </c>
      <c r="N1421" s="11"/>
      <c r="O1421" s="11" t="str">
        <f aca="false">IF(K1421&lt;=StockP33,"Low",IF(K1421&lt;=StockP67,"Moderate","High"))</f>
        <v>High</v>
      </c>
      <c r="P1421" s="11" t="str">
        <f aca="false">IF(H1421=0,"Low",IF(H1421&lt;=MarkdownP75,"Moderate","High"))</f>
        <v>Low</v>
      </c>
      <c r="Q1421" s="11" t="str">
        <f aca="false">IF(ISBLANK(L1421),"Unknown",IF(L1421&gt;=4,"Good",IF(L1421&lt;=2,"Poor","Neutral")))</f>
        <v>Good</v>
      </c>
      <c r="R1421" s="11" t="str">
        <f aca="false">IF(AND(O1421="Low",P1421="Low",Q1421="Good"),"BUY / PRIORITIZE",IF(AND(O1421="High",P1421="High",OR(Q1421="Poor",M1421=TRUE())),"HOLD / REVIEW","MONITOR"))</f>
        <v>MONITOR</v>
      </c>
      <c r="S1421" s="11" t="n">
        <f aca="false">K1421+(ROW()/10000000)</f>
        <v>40.0001421</v>
      </c>
    </row>
    <row r="1422" customFormat="false" ht="15" hidden="false" customHeight="false" outlineLevel="0" collapsed="false">
      <c r="A1422" s="11" t="s">
        <v>1740</v>
      </c>
      <c r="B1422" s="11" t="s">
        <v>27</v>
      </c>
      <c r="C1422" s="11" t="s">
        <v>116</v>
      </c>
      <c r="D1422" s="11" t="s">
        <v>36</v>
      </c>
      <c r="E1422" s="11" t="s">
        <v>113</v>
      </c>
      <c r="F1422" s="11" t="s">
        <v>118</v>
      </c>
      <c r="G1422" s="21" t="n">
        <v>94.17</v>
      </c>
      <c r="H1422" s="19" t="n">
        <v>0</v>
      </c>
      <c r="I1422" s="21" t="n">
        <v>94.17</v>
      </c>
      <c r="J1422" s="22" t="s">
        <v>80</v>
      </c>
      <c r="K1422" s="11" t="n">
        <v>2</v>
      </c>
      <c r="L1422" s="23"/>
      <c r="M1422" s="24" t="b">
        <f aca="false">FALSE()</f>
        <v>0</v>
      </c>
      <c r="N1422" s="11"/>
      <c r="O1422" s="11" t="str">
        <f aca="false">IF(K1422&lt;=StockP33,"Low",IF(K1422&lt;=StockP67,"Moderate","High"))</f>
        <v>Low</v>
      </c>
      <c r="P1422" s="11" t="str">
        <f aca="false">IF(H1422=0,"Low",IF(H1422&lt;=MarkdownP75,"Moderate","High"))</f>
        <v>Low</v>
      </c>
      <c r="Q1422" s="11" t="str">
        <f aca="false">IF(ISBLANK(L1422),"Unknown",IF(L1422&gt;=4,"Good",IF(L1422&lt;=2,"Poor","Neutral")))</f>
        <v>Unknown</v>
      </c>
      <c r="R1422" s="11" t="str">
        <f aca="false">IF(AND(O1422="Low",P1422="Low",Q1422="Good"),"BUY / PRIORITIZE",IF(AND(O1422="High",P1422="High",OR(Q1422="Poor",M1422=TRUE())),"HOLD / REVIEW","MONITOR"))</f>
        <v>MONITOR</v>
      </c>
      <c r="S1422" s="11" t="n">
        <f aca="false">K1422+(ROW()/10000000)</f>
        <v>2.0001422</v>
      </c>
    </row>
    <row r="1423" customFormat="false" ht="15" hidden="false" customHeight="false" outlineLevel="0" collapsed="false">
      <c r="A1423" s="11" t="s">
        <v>1741</v>
      </c>
      <c r="B1423" s="11" t="s">
        <v>8</v>
      </c>
      <c r="C1423" s="11" t="s">
        <v>130</v>
      </c>
      <c r="D1423" s="11" t="s">
        <v>36</v>
      </c>
      <c r="E1423" s="11"/>
      <c r="F1423" s="11" t="s">
        <v>82</v>
      </c>
      <c r="G1423" s="21" t="n">
        <v>30.44</v>
      </c>
      <c r="H1423" s="19" t="n">
        <v>0</v>
      </c>
      <c r="I1423" s="21" t="n">
        <v>30.44</v>
      </c>
      <c r="J1423" s="22" t="s">
        <v>80</v>
      </c>
      <c r="K1423" s="11" t="n">
        <v>42</v>
      </c>
      <c r="L1423" s="23"/>
      <c r="M1423" s="24" t="b">
        <f aca="false">FALSE()</f>
        <v>0</v>
      </c>
      <c r="N1423" s="11"/>
      <c r="O1423" s="11" t="str">
        <f aca="false">IF(K1423&lt;=StockP33,"Low",IF(K1423&lt;=StockP67,"Moderate","High"))</f>
        <v>High</v>
      </c>
      <c r="P1423" s="11" t="str">
        <f aca="false">IF(H1423=0,"Low",IF(H1423&lt;=MarkdownP75,"Moderate","High"))</f>
        <v>Low</v>
      </c>
      <c r="Q1423" s="11" t="str">
        <f aca="false">IF(ISBLANK(L1423),"Unknown",IF(L1423&gt;=4,"Good",IF(L1423&lt;=2,"Poor","Neutral")))</f>
        <v>Unknown</v>
      </c>
      <c r="R1423" s="11" t="str">
        <f aca="false">IF(AND(O1423="Low",P1423="Low",Q1423="Good"),"BUY / PRIORITIZE",IF(AND(O1423="High",P1423="High",OR(Q1423="Poor",M1423=TRUE())),"HOLD / REVIEW","MONITOR"))</f>
        <v>MONITOR</v>
      </c>
      <c r="S1423" s="11" t="n">
        <f aca="false">K1423+(ROW()/10000000)</f>
        <v>42.0001423</v>
      </c>
    </row>
    <row r="1424" customFormat="false" ht="15" hidden="false" customHeight="false" outlineLevel="0" collapsed="false">
      <c r="A1424" s="11" t="s">
        <v>1742</v>
      </c>
      <c r="B1424" s="11" t="s">
        <v>26</v>
      </c>
      <c r="C1424" s="11" t="s">
        <v>77</v>
      </c>
      <c r="D1424" s="11" t="s">
        <v>36</v>
      </c>
      <c r="E1424" s="11" t="s">
        <v>110</v>
      </c>
      <c r="F1424" s="11" t="s">
        <v>120</v>
      </c>
      <c r="G1424" s="21" t="n">
        <v>114.29</v>
      </c>
      <c r="H1424" s="19" t="n">
        <v>0</v>
      </c>
      <c r="I1424" s="21" t="n">
        <v>114.29</v>
      </c>
      <c r="J1424" s="22" t="s">
        <v>80</v>
      </c>
      <c r="K1424" s="11" t="n">
        <v>9</v>
      </c>
      <c r="L1424" s="23" t="n">
        <v>3.2</v>
      </c>
      <c r="M1424" s="24" t="b">
        <f aca="false">FALSE()</f>
        <v>0</v>
      </c>
      <c r="N1424" s="11"/>
      <c r="O1424" s="11" t="str">
        <f aca="false">IF(K1424&lt;=StockP33,"Low",IF(K1424&lt;=StockP67,"Moderate","High"))</f>
        <v>Low</v>
      </c>
      <c r="P1424" s="11" t="str">
        <f aca="false">IF(H1424=0,"Low",IF(H1424&lt;=MarkdownP75,"Moderate","High"))</f>
        <v>Low</v>
      </c>
      <c r="Q1424" s="11" t="str">
        <f aca="false">IF(ISBLANK(L1424),"Unknown",IF(L1424&gt;=4,"Good",IF(L1424&lt;=2,"Poor","Neutral")))</f>
        <v>Neutral</v>
      </c>
      <c r="R1424" s="11" t="str">
        <f aca="false">IF(AND(O1424="Low",P1424="Low",Q1424="Good"),"BUY / PRIORITIZE",IF(AND(O1424="High",P1424="High",OR(Q1424="Poor",M1424=TRUE())),"HOLD / REVIEW","MONITOR"))</f>
        <v>MONITOR</v>
      </c>
      <c r="S1424" s="11" t="n">
        <f aca="false">K1424+(ROW()/10000000)</f>
        <v>9.0001424</v>
      </c>
    </row>
    <row r="1425" customFormat="false" ht="15" hidden="false" customHeight="false" outlineLevel="0" collapsed="false">
      <c r="A1425" s="11" t="s">
        <v>1743</v>
      </c>
      <c r="B1425" s="11" t="s">
        <v>29</v>
      </c>
      <c r="C1425" s="11" t="s">
        <v>77</v>
      </c>
      <c r="D1425" s="11" t="s">
        <v>36</v>
      </c>
      <c r="E1425" s="11" t="s">
        <v>73</v>
      </c>
      <c r="F1425" s="11" t="s">
        <v>92</v>
      </c>
      <c r="G1425" s="21" t="n">
        <v>105.01</v>
      </c>
      <c r="H1425" s="19" t="n">
        <v>25.8</v>
      </c>
      <c r="I1425" s="21" t="n">
        <v>77.92</v>
      </c>
      <c r="J1425" s="22" t="s">
        <v>80</v>
      </c>
      <c r="K1425" s="11" t="n">
        <v>17</v>
      </c>
      <c r="L1425" s="23" t="n">
        <v>3.2</v>
      </c>
      <c r="M1425" s="24" t="b">
        <f aca="false">FALSE()</f>
        <v>0</v>
      </c>
      <c r="N1425" s="11"/>
      <c r="O1425" s="11" t="str">
        <f aca="false">IF(K1425&lt;=StockP33,"Low",IF(K1425&lt;=StockP67,"Moderate","High"))</f>
        <v>Low</v>
      </c>
      <c r="P1425" s="11" t="str">
        <f aca="false">IF(H1425=0,"Low",IF(H1425&lt;=MarkdownP75,"Moderate","High"))</f>
        <v>High</v>
      </c>
      <c r="Q1425" s="11" t="str">
        <f aca="false">IF(ISBLANK(L1425),"Unknown",IF(L1425&gt;=4,"Good",IF(L1425&lt;=2,"Poor","Neutral")))</f>
        <v>Neutral</v>
      </c>
      <c r="R1425" s="11" t="str">
        <f aca="false">IF(AND(O1425="Low",P1425="Low",Q1425="Good"),"BUY / PRIORITIZE",IF(AND(O1425="High",P1425="High",OR(Q1425="Poor",M1425=TRUE())),"HOLD / REVIEW","MONITOR"))</f>
        <v>MONITOR</v>
      </c>
      <c r="S1425" s="11" t="n">
        <f aca="false">K1425+(ROW()/10000000)</f>
        <v>17.0001425</v>
      </c>
    </row>
    <row r="1426" customFormat="false" ht="15" hidden="false" customHeight="false" outlineLevel="0" collapsed="false">
      <c r="A1426" s="11" t="s">
        <v>1744</v>
      </c>
      <c r="B1426" s="11" t="s">
        <v>30</v>
      </c>
      <c r="C1426" s="11" t="s">
        <v>107</v>
      </c>
      <c r="D1426" s="11" t="s">
        <v>34</v>
      </c>
      <c r="E1426" s="11" t="s">
        <v>73</v>
      </c>
      <c r="F1426" s="11" t="s">
        <v>96</v>
      </c>
      <c r="G1426" s="21" t="n">
        <v>38.56</v>
      </c>
      <c r="H1426" s="19" t="n">
        <v>0</v>
      </c>
      <c r="I1426" s="21" t="n">
        <v>38.56</v>
      </c>
      <c r="J1426" s="22" t="s">
        <v>1566</v>
      </c>
      <c r="K1426" s="11" t="n">
        <v>39</v>
      </c>
      <c r="L1426" s="23" t="n">
        <v>1.5</v>
      </c>
      <c r="M1426" s="24" t="b">
        <f aca="false">FALSE()</f>
        <v>0</v>
      </c>
      <c r="N1426" s="11"/>
      <c r="O1426" s="11" t="str">
        <f aca="false">IF(K1426&lt;=StockP33,"Low",IF(K1426&lt;=StockP67,"Moderate","High"))</f>
        <v>High</v>
      </c>
      <c r="P1426" s="11" t="str">
        <f aca="false">IF(H1426=0,"Low",IF(H1426&lt;=MarkdownP75,"Moderate","High"))</f>
        <v>Low</v>
      </c>
      <c r="Q1426" s="11" t="str">
        <f aca="false">IF(ISBLANK(L1426),"Unknown",IF(L1426&gt;=4,"Good",IF(L1426&lt;=2,"Poor","Neutral")))</f>
        <v>Poor</v>
      </c>
      <c r="R1426" s="11" t="str">
        <f aca="false">IF(AND(O1426="Low",P1426="Low",Q1426="Good"),"BUY / PRIORITIZE",IF(AND(O1426="High",P1426="High",OR(Q1426="Poor",M1426=TRUE())),"HOLD / REVIEW","MONITOR"))</f>
        <v>MONITOR</v>
      </c>
      <c r="S1426" s="11" t="n">
        <f aca="false">K1426+(ROW()/10000000)</f>
        <v>39.0001426</v>
      </c>
    </row>
    <row r="1427" customFormat="false" ht="15" hidden="false" customHeight="false" outlineLevel="0" collapsed="false">
      <c r="A1427" s="11" t="s">
        <v>1745</v>
      </c>
      <c r="B1427" s="11" t="s">
        <v>29</v>
      </c>
      <c r="C1427" s="11" t="s">
        <v>95</v>
      </c>
      <c r="D1427" s="11" t="s">
        <v>37</v>
      </c>
      <c r="E1427" s="11" t="s">
        <v>78</v>
      </c>
      <c r="F1427" s="11" t="s">
        <v>120</v>
      </c>
      <c r="G1427" s="21" t="n">
        <v>64.94</v>
      </c>
      <c r="H1427" s="19" t="n">
        <v>0</v>
      </c>
      <c r="I1427" s="21" t="n">
        <v>64.94</v>
      </c>
      <c r="J1427" s="22" t="s">
        <v>80</v>
      </c>
      <c r="K1427" s="11" t="n">
        <v>32</v>
      </c>
      <c r="L1427" s="23" t="n">
        <v>4.5</v>
      </c>
      <c r="M1427" s="24" t="b">
        <f aca="false">FALSE()</f>
        <v>0</v>
      </c>
      <c r="N1427" s="11"/>
      <c r="O1427" s="11" t="str">
        <f aca="false">IF(K1427&lt;=StockP33,"Low",IF(K1427&lt;=StockP67,"Moderate","High"))</f>
        <v>Moderate</v>
      </c>
      <c r="P1427" s="11" t="str">
        <f aca="false">IF(H1427=0,"Low",IF(H1427&lt;=MarkdownP75,"Moderate","High"))</f>
        <v>Low</v>
      </c>
      <c r="Q1427" s="11" t="str">
        <f aca="false">IF(ISBLANK(L1427),"Unknown",IF(L1427&gt;=4,"Good",IF(L1427&lt;=2,"Poor","Neutral")))</f>
        <v>Good</v>
      </c>
      <c r="R1427" s="11" t="str">
        <f aca="false">IF(AND(O1427="Low",P1427="Low",Q1427="Good"),"BUY / PRIORITIZE",IF(AND(O1427="High",P1427="High",OR(Q1427="Poor",M1427=TRUE())),"HOLD / REVIEW","MONITOR"))</f>
        <v>MONITOR</v>
      </c>
      <c r="S1427" s="11" t="n">
        <f aca="false">K1427+(ROW()/10000000)</f>
        <v>32.0001427</v>
      </c>
    </row>
    <row r="1428" customFormat="false" ht="15" hidden="false" customHeight="false" outlineLevel="0" collapsed="false">
      <c r="A1428" s="11" t="s">
        <v>1746</v>
      </c>
      <c r="B1428" s="11" t="s">
        <v>26</v>
      </c>
      <c r="C1428" s="11" t="s">
        <v>95</v>
      </c>
      <c r="D1428" s="11" t="s">
        <v>37</v>
      </c>
      <c r="E1428" s="11" t="s">
        <v>91</v>
      </c>
      <c r="F1428" s="11" t="s">
        <v>98</v>
      </c>
      <c r="G1428" s="21" t="n">
        <v>63.74</v>
      </c>
      <c r="H1428" s="19" t="n">
        <v>56.8</v>
      </c>
      <c r="I1428" s="21" t="n">
        <v>27.54</v>
      </c>
      <c r="J1428" s="22" t="s">
        <v>80</v>
      </c>
      <c r="K1428" s="11" t="n">
        <v>15</v>
      </c>
      <c r="L1428" s="23" t="n">
        <v>4</v>
      </c>
      <c r="M1428" s="24" t="b">
        <f aca="false">FALSE()</f>
        <v>0</v>
      </c>
      <c r="N1428" s="11"/>
      <c r="O1428" s="11" t="str">
        <f aca="false">IF(K1428&lt;=StockP33,"Low",IF(K1428&lt;=StockP67,"Moderate","High"))</f>
        <v>Low</v>
      </c>
      <c r="P1428" s="11" t="str">
        <f aca="false">IF(H1428=0,"Low",IF(H1428&lt;=MarkdownP75,"Moderate","High"))</f>
        <v>High</v>
      </c>
      <c r="Q1428" s="11" t="str">
        <f aca="false">IF(ISBLANK(L1428),"Unknown",IF(L1428&gt;=4,"Good",IF(L1428&lt;=2,"Poor","Neutral")))</f>
        <v>Good</v>
      </c>
      <c r="R1428" s="11" t="str">
        <f aca="false">IF(AND(O1428="Low",P1428="Low",Q1428="Good"),"BUY / PRIORITIZE",IF(AND(O1428="High",P1428="High",OR(Q1428="Poor",M1428=TRUE())),"HOLD / REVIEW","MONITOR"))</f>
        <v>MONITOR</v>
      </c>
      <c r="S1428" s="11" t="n">
        <f aca="false">K1428+(ROW()/10000000)</f>
        <v>15.0001428</v>
      </c>
    </row>
    <row r="1429" customFormat="false" ht="15" hidden="false" customHeight="false" outlineLevel="0" collapsed="false">
      <c r="A1429" s="11" t="s">
        <v>1747</v>
      </c>
      <c r="B1429" s="11" t="s">
        <v>30</v>
      </c>
      <c r="C1429" s="11" t="s">
        <v>72</v>
      </c>
      <c r="D1429" s="11" t="s">
        <v>35</v>
      </c>
      <c r="E1429" s="11" t="s">
        <v>73</v>
      </c>
      <c r="F1429" s="11" t="s">
        <v>79</v>
      </c>
      <c r="G1429" s="21" t="n">
        <v>67.23</v>
      </c>
      <c r="H1429" s="19" t="n">
        <v>11.1</v>
      </c>
      <c r="I1429" s="21" t="n">
        <v>59.77</v>
      </c>
      <c r="J1429" s="22" t="s">
        <v>80</v>
      </c>
      <c r="K1429" s="11" t="n">
        <v>39</v>
      </c>
      <c r="L1429" s="23" t="n">
        <v>1.1</v>
      </c>
      <c r="M1429" s="24" t="b">
        <f aca="false">TRUE()</f>
        <v>1</v>
      </c>
      <c r="N1429" s="11" t="s">
        <v>191</v>
      </c>
      <c r="O1429" s="11" t="str">
        <f aca="false">IF(K1429&lt;=StockP33,"Low",IF(K1429&lt;=StockP67,"Moderate","High"))</f>
        <v>High</v>
      </c>
      <c r="P1429" s="11" t="str">
        <f aca="false">IF(H1429=0,"Low",IF(H1429&lt;=MarkdownP75,"Moderate","High"))</f>
        <v>Moderate</v>
      </c>
      <c r="Q1429" s="11" t="str">
        <f aca="false">IF(ISBLANK(L1429),"Unknown",IF(L1429&gt;=4,"Good",IF(L1429&lt;=2,"Poor","Neutral")))</f>
        <v>Poor</v>
      </c>
      <c r="R1429" s="11" t="str">
        <f aca="false">IF(AND(O1429="Low",P1429="Low",Q1429="Good"),"BUY / PRIORITIZE",IF(AND(O1429="High",P1429="High",OR(Q1429="Poor",M1429=TRUE())),"HOLD / REVIEW","MONITOR"))</f>
        <v>MONITOR</v>
      </c>
      <c r="S1429" s="11" t="n">
        <f aca="false">K1429+(ROW()/10000000)</f>
        <v>39.0001429</v>
      </c>
    </row>
    <row r="1430" customFormat="false" ht="15" hidden="false" customHeight="false" outlineLevel="0" collapsed="false">
      <c r="A1430" s="11" t="s">
        <v>1748</v>
      </c>
      <c r="B1430" s="11" t="s">
        <v>8</v>
      </c>
      <c r="C1430" s="11" t="s">
        <v>101</v>
      </c>
      <c r="D1430" s="11" t="s">
        <v>34</v>
      </c>
      <c r="E1430" s="11"/>
      <c r="F1430" s="11" t="s">
        <v>96</v>
      </c>
      <c r="G1430" s="21" t="n">
        <v>27.2</v>
      </c>
      <c r="H1430" s="19" t="n">
        <v>40.4</v>
      </c>
      <c r="I1430" s="21" t="n">
        <v>16.21</v>
      </c>
      <c r="J1430" s="22" t="s">
        <v>1749</v>
      </c>
      <c r="K1430" s="11" t="n">
        <v>20</v>
      </c>
      <c r="L1430" s="23" t="n">
        <v>4.3</v>
      </c>
      <c r="M1430" s="24" t="b">
        <f aca="false">FALSE()</f>
        <v>0</v>
      </c>
      <c r="N1430" s="11"/>
      <c r="O1430" s="11" t="str">
        <f aca="false">IF(K1430&lt;=StockP33,"Low",IF(K1430&lt;=StockP67,"Moderate","High"))</f>
        <v>Moderate</v>
      </c>
      <c r="P1430" s="11" t="str">
        <f aca="false">IF(H1430=0,"Low",IF(H1430&lt;=MarkdownP75,"Moderate","High"))</f>
        <v>High</v>
      </c>
      <c r="Q1430" s="11" t="str">
        <f aca="false">IF(ISBLANK(L1430),"Unknown",IF(L1430&gt;=4,"Good",IF(L1430&lt;=2,"Poor","Neutral")))</f>
        <v>Good</v>
      </c>
      <c r="R1430" s="11" t="str">
        <f aca="false">IF(AND(O1430="Low",P1430="Low",Q1430="Good"),"BUY / PRIORITIZE",IF(AND(O1430="High",P1430="High",OR(Q1430="Poor",M1430=TRUE())),"HOLD / REVIEW","MONITOR"))</f>
        <v>MONITOR</v>
      </c>
      <c r="S1430" s="11" t="n">
        <f aca="false">K1430+(ROW()/10000000)</f>
        <v>20.000143</v>
      </c>
    </row>
    <row r="1431" customFormat="false" ht="15" hidden="false" customHeight="false" outlineLevel="0" collapsed="false">
      <c r="A1431" s="11" t="s">
        <v>1750</v>
      </c>
      <c r="B1431" s="11" t="s">
        <v>30</v>
      </c>
      <c r="C1431" s="11" t="s">
        <v>95</v>
      </c>
      <c r="D1431" s="11" t="s">
        <v>34</v>
      </c>
      <c r="E1431" s="11" t="s">
        <v>73</v>
      </c>
      <c r="F1431" s="11" t="s">
        <v>124</v>
      </c>
      <c r="G1431" s="21" t="n">
        <v>75.84</v>
      </c>
      <c r="H1431" s="19" t="n">
        <v>0</v>
      </c>
      <c r="I1431" s="21" t="n">
        <v>75.84</v>
      </c>
      <c r="J1431" s="22" t="s">
        <v>1751</v>
      </c>
      <c r="K1431" s="11" t="n">
        <v>8</v>
      </c>
      <c r="L1431" s="23" t="n">
        <v>4.1</v>
      </c>
      <c r="M1431" s="24" t="b">
        <f aca="false">FALSE()</f>
        <v>0</v>
      </c>
      <c r="N1431" s="11"/>
      <c r="O1431" s="11" t="str">
        <f aca="false">IF(K1431&lt;=StockP33,"Low",IF(K1431&lt;=StockP67,"Moderate","High"))</f>
        <v>Low</v>
      </c>
      <c r="P1431" s="11" t="str">
        <f aca="false">IF(H1431=0,"Low",IF(H1431&lt;=MarkdownP75,"Moderate","High"))</f>
        <v>Low</v>
      </c>
      <c r="Q1431" s="11" t="str">
        <f aca="false">IF(ISBLANK(L1431),"Unknown",IF(L1431&gt;=4,"Good",IF(L1431&lt;=2,"Poor","Neutral")))</f>
        <v>Good</v>
      </c>
      <c r="R1431" s="11" t="str">
        <f aca="false">IF(AND(O1431="Low",P1431="Low",Q1431="Good"),"BUY / PRIORITIZE",IF(AND(O1431="High",P1431="High",OR(Q1431="Poor",M1431=TRUE())),"HOLD / REVIEW","MONITOR"))</f>
        <v>BUY / PRIORITIZE</v>
      </c>
      <c r="S1431" s="11" t="n">
        <f aca="false">K1431+(ROW()/10000000)</f>
        <v>8.0001431</v>
      </c>
    </row>
    <row r="1432" customFormat="false" ht="15" hidden="false" customHeight="false" outlineLevel="0" collapsed="false">
      <c r="A1432" s="11" t="s">
        <v>1752</v>
      </c>
      <c r="B1432" s="11" t="s">
        <v>27</v>
      </c>
      <c r="C1432" s="11" t="s">
        <v>95</v>
      </c>
      <c r="D1432" s="11" t="s">
        <v>37</v>
      </c>
      <c r="E1432" s="11" t="s">
        <v>113</v>
      </c>
      <c r="F1432" s="11" t="s">
        <v>118</v>
      </c>
      <c r="G1432" s="21" t="n">
        <v>68.51</v>
      </c>
      <c r="H1432" s="19" t="n">
        <v>0</v>
      </c>
      <c r="I1432" s="21" t="n">
        <v>68.51</v>
      </c>
      <c r="J1432" s="22" t="s">
        <v>80</v>
      </c>
      <c r="K1432" s="11" t="n">
        <v>1</v>
      </c>
      <c r="L1432" s="23" t="n">
        <v>2.6</v>
      </c>
      <c r="M1432" s="24" t="b">
        <f aca="false">FALSE()</f>
        <v>0</v>
      </c>
      <c r="N1432" s="11"/>
      <c r="O1432" s="11" t="str">
        <f aca="false">IF(K1432&lt;=StockP33,"Low",IF(K1432&lt;=StockP67,"Moderate","High"))</f>
        <v>Low</v>
      </c>
      <c r="P1432" s="11" t="str">
        <f aca="false">IF(H1432=0,"Low",IF(H1432&lt;=MarkdownP75,"Moderate","High"))</f>
        <v>Low</v>
      </c>
      <c r="Q1432" s="11" t="str">
        <f aca="false">IF(ISBLANK(L1432),"Unknown",IF(L1432&gt;=4,"Good",IF(L1432&lt;=2,"Poor","Neutral")))</f>
        <v>Neutral</v>
      </c>
      <c r="R1432" s="11" t="str">
        <f aca="false">IF(AND(O1432="Low",P1432="Low",Q1432="Good"),"BUY / PRIORITIZE",IF(AND(O1432="High",P1432="High",OR(Q1432="Poor",M1432=TRUE())),"HOLD / REVIEW","MONITOR"))</f>
        <v>MONITOR</v>
      </c>
      <c r="S1432" s="11" t="n">
        <f aca="false">K1432+(ROW()/10000000)</f>
        <v>1.0001432</v>
      </c>
    </row>
    <row r="1433" customFormat="false" ht="15" hidden="false" customHeight="false" outlineLevel="0" collapsed="false">
      <c r="A1433" s="11" t="s">
        <v>1753</v>
      </c>
      <c r="B1433" s="11" t="s">
        <v>8</v>
      </c>
      <c r="C1433" s="11" t="s">
        <v>95</v>
      </c>
      <c r="D1433" s="11" t="s">
        <v>35</v>
      </c>
      <c r="E1433" s="11"/>
      <c r="F1433" s="11" t="s">
        <v>120</v>
      </c>
      <c r="G1433" s="21" t="n">
        <v>25.49</v>
      </c>
      <c r="H1433" s="19" t="n">
        <v>0</v>
      </c>
      <c r="I1433" s="21" t="n">
        <v>25.49</v>
      </c>
      <c r="J1433" s="22" t="s">
        <v>80</v>
      </c>
      <c r="K1433" s="11" t="n">
        <v>35</v>
      </c>
      <c r="L1433" s="23" t="n">
        <v>2.2</v>
      </c>
      <c r="M1433" s="24" t="b">
        <f aca="false">TRUE()</f>
        <v>1</v>
      </c>
      <c r="N1433" s="11" t="s">
        <v>128</v>
      </c>
      <c r="O1433" s="11" t="str">
        <f aca="false">IF(K1433&lt;=StockP33,"Low",IF(K1433&lt;=StockP67,"Moderate","High"))</f>
        <v>High</v>
      </c>
      <c r="P1433" s="11" t="str">
        <f aca="false">IF(H1433=0,"Low",IF(H1433&lt;=MarkdownP75,"Moderate","High"))</f>
        <v>Low</v>
      </c>
      <c r="Q1433" s="11" t="str">
        <f aca="false">IF(ISBLANK(L1433),"Unknown",IF(L1433&gt;=4,"Good",IF(L1433&lt;=2,"Poor","Neutral")))</f>
        <v>Neutral</v>
      </c>
      <c r="R1433" s="11" t="str">
        <f aca="false">IF(AND(O1433="Low",P1433="Low",Q1433="Good"),"BUY / PRIORITIZE",IF(AND(O1433="High",P1433="High",OR(Q1433="Poor",M1433=TRUE())),"HOLD / REVIEW","MONITOR"))</f>
        <v>MONITOR</v>
      </c>
      <c r="S1433" s="11" t="n">
        <f aca="false">K1433+(ROW()/10000000)</f>
        <v>35.0001433</v>
      </c>
    </row>
    <row r="1434" customFormat="false" ht="15" hidden="false" customHeight="false" outlineLevel="0" collapsed="false">
      <c r="A1434" s="11" t="s">
        <v>1754</v>
      </c>
      <c r="B1434" s="11" t="s">
        <v>30</v>
      </c>
      <c r="C1434" s="11" t="s">
        <v>107</v>
      </c>
      <c r="D1434" s="11" t="s">
        <v>36</v>
      </c>
      <c r="E1434" s="11" t="s">
        <v>110</v>
      </c>
      <c r="F1434" s="11" t="s">
        <v>74</v>
      </c>
      <c r="G1434" s="21" t="n">
        <v>70.88</v>
      </c>
      <c r="H1434" s="19" t="n">
        <v>0</v>
      </c>
      <c r="I1434" s="21" t="n">
        <v>70.88</v>
      </c>
      <c r="J1434" s="22" t="s">
        <v>80</v>
      </c>
      <c r="K1434" s="11" t="n">
        <v>5</v>
      </c>
      <c r="L1434" s="23" t="n">
        <v>2.3</v>
      </c>
      <c r="M1434" s="24" t="b">
        <f aca="false">FALSE()</f>
        <v>0</v>
      </c>
      <c r="N1434" s="11"/>
      <c r="O1434" s="11" t="str">
        <f aca="false">IF(K1434&lt;=StockP33,"Low",IF(K1434&lt;=StockP67,"Moderate","High"))</f>
        <v>Low</v>
      </c>
      <c r="P1434" s="11" t="str">
        <f aca="false">IF(H1434=0,"Low",IF(H1434&lt;=MarkdownP75,"Moderate","High"))</f>
        <v>Low</v>
      </c>
      <c r="Q1434" s="11" t="str">
        <f aca="false">IF(ISBLANK(L1434),"Unknown",IF(L1434&gt;=4,"Good",IF(L1434&lt;=2,"Poor","Neutral")))</f>
        <v>Neutral</v>
      </c>
      <c r="R1434" s="11" t="str">
        <f aca="false">IF(AND(O1434="Low",P1434="Low",Q1434="Good"),"BUY / PRIORITIZE",IF(AND(O1434="High",P1434="High",OR(Q1434="Poor",M1434=TRUE())),"HOLD / REVIEW","MONITOR"))</f>
        <v>MONITOR</v>
      </c>
      <c r="S1434" s="11" t="n">
        <f aca="false">K1434+(ROW()/10000000)</f>
        <v>5.0001434</v>
      </c>
    </row>
    <row r="1435" customFormat="false" ht="15" hidden="false" customHeight="false" outlineLevel="0" collapsed="false">
      <c r="A1435" s="11" t="s">
        <v>1755</v>
      </c>
      <c r="B1435" s="11" t="s">
        <v>29</v>
      </c>
      <c r="C1435" s="11" t="s">
        <v>101</v>
      </c>
      <c r="D1435" s="11" t="s">
        <v>35</v>
      </c>
      <c r="E1435" s="11" t="s">
        <v>110</v>
      </c>
      <c r="F1435" s="11" t="s">
        <v>88</v>
      </c>
      <c r="G1435" s="21" t="n">
        <v>176.64</v>
      </c>
      <c r="H1435" s="19" t="n">
        <v>8.8</v>
      </c>
      <c r="I1435" s="21" t="n">
        <v>161.1</v>
      </c>
      <c r="J1435" s="22" t="s">
        <v>80</v>
      </c>
      <c r="K1435" s="11" t="n">
        <v>1</v>
      </c>
      <c r="L1435" s="23" t="n">
        <v>1.7</v>
      </c>
      <c r="M1435" s="24" t="b">
        <f aca="false">FALSE()</f>
        <v>0</v>
      </c>
      <c r="N1435" s="11"/>
      <c r="O1435" s="11" t="str">
        <f aca="false">IF(K1435&lt;=StockP33,"Low",IF(K1435&lt;=StockP67,"Moderate","High"))</f>
        <v>Low</v>
      </c>
      <c r="P1435" s="11" t="str">
        <f aca="false">IF(H1435=0,"Low",IF(H1435&lt;=MarkdownP75,"Moderate","High"))</f>
        <v>Moderate</v>
      </c>
      <c r="Q1435" s="11" t="str">
        <f aca="false">IF(ISBLANK(L1435),"Unknown",IF(L1435&gt;=4,"Good",IF(L1435&lt;=2,"Poor","Neutral")))</f>
        <v>Poor</v>
      </c>
      <c r="R1435" s="11" t="str">
        <f aca="false">IF(AND(O1435="Low",P1435="Low",Q1435="Good"),"BUY / PRIORITIZE",IF(AND(O1435="High",P1435="High",OR(Q1435="Poor",M1435=TRUE())),"HOLD / REVIEW","MONITOR"))</f>
        <v>MONITOR</v>
      </c>
      <c r="S1435" s="11" t="n">
        <f aca="false">K1435+(ROW()/10000000)</f>
        <v>1.0001435</v>
      </c>
    </row>
    <row r="1436" customFormat="false" ht="15" hidden="false" customHeight="false" outlineLevel="0" collapsed="false">
      <c r="A1436" s="11" t="s">
        <v>1756</v>
      </c>
      <c r="B1436" s="11" t="s">
        <v>27</v>
      </c>
      <c r="C1436" s="11" t="s">
        <v>107</v>
      </c>
      <c r="D1436" s="11" t="s">
        <v>37</v>
      </c>
      <c r="E1436" s="11" t="s">
        <v>78</v>
      </c>
      <c r="F1436" s="11" t="s">
        <v>74</v>
      </c>
      <c r="G1436" s="21" t="n">
        <v>50.76</v>
      </c>
      <c r="H1436" s="19" t="n">
        <v>0</v>
      </c>
      <c r="I1436" s="21" t="n">
        <v>50.76</v>
      </c>
      <c r="J1436" s="22" t="s">
        <v>80</v>
      </c>
      <c r="K1436" s="11" t="n">
        <v>45</v>
      </c>
      <c r="L1436" s="23" t="n">
        <v>4.3</v>
      </c>
      <c r="M1436" s="24" t="b">
        <f aca="false">FALSE()</f>
        <v>0</v>
      </c>
      <c r="N1436" s="11"/>
      <c r="O1436" s="11" t="str">
        <f aca="false">IF(K1436&lt;=StockP33,"Low",IF(K1436&lt;=StockP67,"Moderate","High"))</f>
        <v>High</v>
      </c>
      <c r="P1436" s="11" t="str">
        <f aca="false">IF(H1436=0,"Low",IF(H1436&lt;=MarkdownP75,"Moderate","High"))</f>
        <v>Low</v>
      </c>
      <c r="Q1436" s="11" t="str">
        <f aca="false">IF(ISBLANK(L1436),"Unknown",IF(L1436&gt;=4,"Good",IF(L1436&lt;=2,"Poor","Neutral")))</f>
        <v>Good</v>
      </c>
      <c r="R1436" s="11" t="str">
        <f aca="false">IF(AND(O1436="Low",P1436="Low",Q1436="Good"),"BUY / PRIORITIZE",IF(AND(O1436="High",P1436="High",OR(Q1436="Poor",M1436=TRUE())),"HOLD / REVIEW","MONITOR"))</f>
        <v>MONITOR</v>
      </c>
      <c r="S1436" s="11" t="n">
        <f aca="false">K1436+(ROW()/10000000)</f>
        <v>45.0001436</v>
      </c>
    </row>
    <row r="1437" customFormat="false" ht="15" hidden="false" customHeight="false" outlineLevel="0" collapsed="false">
      <c r="A1437" s="11" t="s">
        <v>1757</v>
      </c>
      <c r="B1437" s="11" t="s">
        <v>29</v>
      </c>
      <c r="C1437" s="11" t="s">
        <v>95</v>
      </c>
      <c r="D1437" s="11" t="s">
        <v>36</v>
      </c>
      <c r="E1437" s="11" t="s">
        <v>73</v>
      </c>
      <c r="F1437" s="11" t="s">
        <v>79</v>
      </c>
      <c r="G1437" s="21" t="n">
        <v>155.85</v>
      </c>
      <c r="H1437" s="19" t="n">
        <v>0</v>
      </c>
      <c r="I1437" s="21" t="n">
        <v>155.85</v>
      </c>
      <c r="J1437" s="22" t="s">
        <v>80</v>
      </c>
      <c r="K1437" s="11" t="n">
        <v>1</v>
      </c>
      <c r="L1437" s="23" t="n">
        <v>3.5</v>
      </c>
      <c r="M1437" s="24" t="b">
        <f aca="false">FALSE()</f>
        <v>0</v>
      </c>
      <c r="N1437" s="11"/>
      <c r="O1437" s="11" t="str">
        <f aca="false">IF(K1437&lt;=StockP33,"Low",IF(K1437&lt;=StockP67,"Moderate","High"))</f>
        <v>Low</v>
      </c>
      <c r="P1437" s="11" t="str">
        <f aca="false">IF(H1437=0,"Low",IF(H1437&lt;=MarkdownP75,"Moderate","High"))</f>
        <v>Low</v>
      </c>
      <c r="Q1437" s="11" t="str">
        <f aca="false">IF(ISBLANK(L1437),"Unknown",IF(L1437&gt;=4,"Good",IF(L1437&lt;=2,"Poor","Neutral")))</f>
        <v>Neutral</v>
      </c>
      <c r="R1437" s="11" t="str">
        <f aca="false">IF(AND(O1437="Low",P1437="Low",Q1437="Good"),"BUY / PRIORITIZE",IF(AND(O1437="High",P1437="High",OR(Q1437="Poor",M1437=TRUE())),"HOLD / REVIEW","MONITOR"))</f>
        <v>MONITOR</v>
      </c>
      <c r="S1437" s="11" t="n">
        <f aca="false">K1437+(ROW()/10000000)</f>
        <v>1.0001437</v>
      </c>
    </row>
    <row r="1438" customFormat="false" ht="15" hidden="false" customHeight="false" outlineLevel="0" collapsed="false">
      <c r="A1438" s="11" t="s">
        <v>1758</v>
      </c>
      <c r="B1438" s="11" t="s">
        <v>27</v>
      </c>
      <c r="C1438" s="11" t="s">
        <v>86</v>
      </c>
      <c r="D1438" s="11" t="s">
        <v>34</v>
      </c>
      <c r="E1438" s="11" t="s">
        <v>73</v>
      </c>
      <c r="F1438" s="11" t="s">
        <v>96</v>
      </c>
      <c r="G1438" s="21" t="n">
        <v>48.04</v>
      </c>
      <c r="H1438" s="19" t="n">
        <v>0</v>
      </c>
      <c r="I1438" s="21" t="n">
        <v>48.04</v>
      </c>
      <c r="J1438" s="22" t="s">
        <v>1667</v>
      </c>
      <c r="K1438" s="11" t="n">
        <v>20</v>
      </c>
      <c r="L1438" s="23" t="n">
        <v>3.2</v>
      </c>
      <c r="M1438" s="24" t="b">
        <f aca="false">FALSE()</f>
        <v>0</v>
      </c>
      <c r="N1438" s="11"/>
      <c r="O1438" s="11" t="str">
        <f aca="false">IF(K1438&lt;=StockP33,"Low",IF(K1438&lt;=StockP67,"Moderate","High"))</f>
        <v>Moderate</v>
      </c>
      <c r="P1438" s="11" t="str">
        <f aca="false">IF(H1438=0,"Low",IF(H1438&lt;=MarkdownP75,"Moderate","High"))</f>
        <v>Low</v>
      </c>
      <c r="Q1438" s="11" t="str">
        <f aca="false">IF(ISBLANK(L1438),"Unknown",IF(L1438&gt;=4,"Good",IF(L1438&lt;=2,"Poor","Neutral")))</f>
        <v>Neutral</v>
      </c>
      <c r="R1438" s="11" t="str">
        <f aca="false">IF(AND(O1438="Low",P1438="Low",Q1438="Good"),"BUY / PRIORITIZE",IF(AND(O1438="High",P1438="High",OR(Q1438="Poor",M1438=TRUE())),"HOLD / REVIEW","MONITOR"))</f>
        <v>MONITOR</v>
      </c>
      <c r="S1438" s="11" t="n">
        <f aca="false">K1438+(ROW()/10000000)</f>
        <v>20.0001438</v>
      </c>
    </row>
    <row r="1439" customFormat="false" ht="15" hidden="false" customHeight="false" outlineLevel="0" collapsed="false">
      <c r="A1439" s="11" t="s">
        <v>1759</v>
      </c>
      <c r="B1439" s="11" t="s">
        <v>30</v>
      </c>
      <c r="C1439" s="11" t="s">
        <v>130</v>
      </c>
      <c r="D1439" s="11" t="s">
        <v>34</v>
      </c>
      <c r="E1439" s="11" t="s">
        <v>110</v>
      </c>
      <c r="F1439" s="11" t="s">
        <v>118</v>
      </c>
      <c r="G1439" s="21" t="n">
        <v>44.79</v>
      </c>
      <c r="H1439" s="19" t="n">
        <v>0</v>
      </c>
      <c r="I1439" s="21" t="n">
        <v>44.79</v>
      </c>
      <c r="J1439" s="22" t="s">
        <v>961</v>
      </c>
      <c r="K1439" s="11" t="n">
        <v>7</v>
      </c>
      <c r="L1439" s="23" t="n">
        <v>3.6</v>
      </c>
      <c r="M1439" s="24" t="b">
        <f aca="false">FALSE()</f>
        <v>0</v>
      </c>
      <c r="N1439" s="11"/>
      <c r="O1439" s="11" t="str">
        <f aca="false">IF(K1439&lt;=StockP33,"Low",IF(K1439&lt;=StockP67,"Moderate","High"))</f>
        <v>Low</v>
      </c>
      <c r="P1439" s="11" t="str">
        <f aca="false">IF(H1439=0,"Low",IF(H1439&lt;=MarkdownP75,"Moderate","High"))</f>
        <v>Low</v>
      </c>
      <c r="Q1439" s="11" t="str">
        <f aca="false">IF(ISBLANK(L1439),"Unknown",IF(L1439&gt;=4,"Good",IF(L1439&lt;=2,"Poor","Neutral")))</f>
        <v>Neutral</v>
      </c>
      <c r="R1439" s="11" t="str">
        <f aca="false">IF(AND(O1439="Low",P1439="Low",Q1439="Good"),"BUY / PRIORITIZE",IF(AND(O1439="High",P1439="High",OR(Q1439="Poor",M1439=TRUE())),"HOLD / REVIEW","MONITOR"))</f>
        <v>MONITOR</v>
      </c>
      <c r="S1439" s="11" t="n">
        <f aca="false">K1439+(ROW()/10000000)</f>
        <v>7.0001439</v>
      </c>
    </row>
    <row r="1440" customFormat="false" ht="15" hidden="false" customHeight="false" outlineLevel="0" collapsed="false">
      <c r="A1440" s="11" t="s">
        <v>1760</v>
      </c>
      <c r="B1440" s="11" t="s">
        <v>30</v>
      </c>
      <c r="C1440" s="11" t="s">
        <v>77</v>
      </c>
      <c r="D1440" s="11" t="s">
        <v>34</v>
      </c>
      <c r="E1440" s="11" t="s">
        <v>110</v>
      </c>
      <c r="F1440" s="11" t="s">
        <v>96</v>
      </c>
      <c r="G1440" s="21" t="n">
        <v>76.95</v>
      </c>
      <c r="H1440" s="19" t="n">
        <v>0</v>
      </c>
      <c r="I1440" s="21" t="n">
        <v>76.95</v>
      </c>
      <c r="J1440" s="22" t="s">
        <v>1487</v>
      </c>
      <c r="K1440" s="11" t="n">
        <v>9</v>
      </c>
      <c r="L1440" s="23" t="n">
        <v>2.5</v>
      </c>
      <c r="M1440" s="24" t="b">
        <f aca="false">FALSE()</f>
        <v>0</v>
      </c>
      <c r="N1440" s="11"/>
      <c r="O1440" s="11" t="str">
        <f aca="false">IF(K1440&lt;=StockP33,"Low",IF(K1440&lt;=StockP67,"Moderate","High"))</f>
        <v>Low</v>
      </c>
      <c r="P1440" s="11" t="str">
        <f aca="false">IF(H1440=0,"Low",IF(H1440&lt;=MarkdownP75,"Moderate","High"))</f>
        <v>Low</v>
      </c>
      <c r="Q1440" s="11" t="str">
        <f aca="false">IF(ISBLANK(L1440),"Unknown",IF(L1440&gt;=4,"Good",IF(L1440&lt;=2,"Poor","Neutral")))</f>
        <v>Neutral</v>
      </c>
      <c r="R1440" s="11" t="str">
        <f aca="false">IF(AND(O1440="Low",P1440="Low",Q1440="Good"),"BUY / PRIORITIZE",IF(AND(O1440="High",P1440="High",OR(Q1440="Poor",M1440=TRUE())),"HOLD / REVIEW","MONITOR"))</f>
        <v>MONITOR</v>
      </c>
      <c r="S1440" s="11" t="n">
        <f aca="false">K1440+(ROW()/10000000)</f>
        <v>9.000144</v>
      </c>
    </row>
    <row r="1441" customFormat="false" ht="15" hidden="false" customHeight="false" outlineLevel="0" collapsed="false">
      <c r="A1441" s="11" t="s">
        <v>1761</v>
      </c>
      <c r="B1441" s="11" t="s">
        <v>8</v>
      </c>
      <c r="C1441" s="11" t="s">
        <v>116</v>
      </c>
      <c r="D1441" s="11" t="s">
        <v>35</v>
      </c>
      <c r="E1441" s="11"/>
      <c r="F1441" s="11" t="s">
        <v>92</v>
      </c>
      <c r="G1441" s="21" t="n">
        <v>35.93</v>
      </c>
      <c r="H1441" s="19" t="n">
        <v>49.9</v>
      </c>
      <c r="I1441" s="21" t="n">
        <v>18</v>
      </c>
      <c r="J1441" s="22" t="s">
        <v>80</v>
      </c>
      <c r="K1441" s="11" t="n">
        <v>26</v>
      </c>
      <c r="L1441" s="23" t="n">
        <v>4</v>
      </c>
      <c r="M1441" s="24" t="b">
        <f aca="false">FALSE()</f>
        <v>0</v>
      </c>
      <c r="N1441" s="11"/>
      <c r="O1441" s="11" t="str">
        <f aca="false">IF(K1441&lt;=StockP33,"Low",IF(K1441&lt;=StockP67,"Moderate","High"))</f>
        <v>Moderate</v>
      </c>
      <c r="P1441" s="11" t="str">
        <f aca="false">IF(H1441=0,"Low",IF(H1441&lt;=MarkdownP75,"Moderate","High"))</f>
        <v>High</v>
      </c>
      <c r="Q1441" s="11" t="str">
        <f aca="false">IF(ISBLANK(L1441),"Unknown",IF(L1441&gt;=4,"Good",IF(L1441&lt;=2,"Poor","Neutral")))</f>
        <v>Good</v>
      </c>
      <c r="R1441" s="11" t="str">
        <f aca="false">IF(AND(O1441="Low",P1441="Low",Q1441="Good"),"BUY / PRIORITIZE",IF(AND(O1441="High",P1441="High",OR(Q1441="Poor",M1441=TRUE())),"HOLD / REVIEW","MONITOR"))</f>
        <v>MONITOR</v>
      </c>
      <c r="S1441" s="11" t="n">
        <f aca="false">K1441+(ROW()/10000000)</f>
        <v>26.0001441</v>
      </c>
    </row>
    <row r="1442" customFormat="false" ht="15" hidden="false" customHeight="false" outlineLevel="0" collapsed="false">
      <c r="A1442" s="11" t="s">
        <v>1762</v>
      </c>
      <c r="B1442" s="11" t="s">
        <v>26</v>
      </c>
      <c r="C1442" s="11" t="s">
        <v>86</v>
      </c>
      <c r="D1442" s="11" t="s">
        <v>36</v>
      </c>
      <c r="E1442" s="11" t="s">
        <v>73</v>
      </c>
      <c r="F1442" s="11" t="s">
        <v>74</v>
      </c>
      <c r="G1442" s="21" t="n">
        <v>49.97</v>
      </c>
      <c r="H1442" s="19" t="n">
        <v>0</v>
      </c>
      <c r="I1442" s="21" t="n">
        <v>49.97</v>
      </c>
      <c r="J1442" s="22" t="s">
        <v>80</v>
      </c>
      <c r="K1442" s="11" t="n">
        <v>11</v>
      </c>
      <c r="L1442" s="23" t="n">
        <v>3.5</v>
      </c>
      <c r="M1442" s="24" t="b">
        <f aca="false">TRUE()</f>
        <v>1</v>
      </c>
      <c r="N1442" s="11" t="s">
        <v>140</v>
      </c>
      <c r="O1442" s="11" t="str">
        <f aca="false">IF(K1442&lt;=StockP33,"Low",IF(K1442&lt;=StockP67,"Moderate","High"))</f>
        <v>Low</v>
      </c>
      <c r="P1442" s="11" t="str">
        <f aca="false">IF(H1442=0,"Low",IF(H1442&lt;=MarkdownP75,"Moderate","High"))</f>
        <v>Low</v>
      </c>
      <c r="Q1442" s="11" t="str">
        <f aca="false">IF(ISBLANK(L1442),"Unknown",IF(L1442&gt;=4,"Good",IF(L1442&lt;=2,"Poor","Neutral")))</f>
        <v>Neutral</v>
      </c>
      <c r="R1442" s="11" t="str">
        <f aca="false">IF(AND(O1442="Low",P1442="Low",Q1442="Good"),"BUY / PRIORITIZE",IF(AND(O1442="High",P1442="High",OR(Q1442="Poor",M1442=TRUE())),"HOLD / REVIEW","MONITOR"))</f>
        <v>MONITOR</v>
      </c>
      <c r="S1442" s="11" t="n">
        <f aca="false">K1442+(ROW()/10000000)</f>
        <v>11.0001442</v>
      </c>
    </row>
    <row r="1443" customFormat="false" ht="15" hidden="false" customHeight="false" outlineLevel="0" collapsed="false">
      <c r="A1443" s="11" t="s">
        <v>1763</v>
      </c>
      <c r="B1443" s="11" t="s">
        <v>28</v>
      </c>
      <c r="C1443" s="11" t="s">
        <v>101</v>
      </c>
      <c r="D1443" s="11" t="s">
        <v>35</v>
      </c>
      <c r="E1443" s="11"/>
      <c r="F1443" s="11" t="s">
        <v>82</v>
      </c>
      <c r="G1443" s="21" t="n">
        <v>169.69</v>
      </c>
      <c r="H1443" s="19" t="n">
        <v>0</v>
      </c>
      <c r="I1443" s="21" t="n">
        <v>169.69</v>
      </c>
      <c r="J1443" s="22" t="s">
        <v>80</v>
      </c>
      <c r="K1443" s="11" t="n">
        <v>29</v>
      </c>
      <c r="L1443" s="23" t="n">
        <v>1.9</v>
      </c>
      <c r="M1443" s="24" t="b">
        <f aca="false">FALSE()</f>
        <v>0</v>
      </c>
      <c r="N1443" s="11"/>
      <c r="O1443" s="11" t="str">
        <f aca="false">IF(K1443&lt;=StockP33,"Low",IF(K1443&lt;=StockP67,"Moderate","High"))</f>
        <v>Moderate</v>
      </c>
      <c r="P1443" s="11" t="str">
        <f aca="false">IF(H1443=0,"Low",IF(H1443&lt;=MarkdownP75,"Moderate","High"))</f>
        <v>Low</v>
      </c>
      <c r="Q1443" s="11" t="str">
        <f aca="false">IF(ISBLANK(L1443),"Unknown",IF(L1443&gt;=4,"Good",IF(L1443&lt;=2,"Poor","Neutral")))</f>
        <v>Poor</v>
      </c>
      <c r="R1443" s="11" t="str">
        <f aca="false">IF(AND(O1443="Low",P1443="Low",Q1443="Good"),"BUY / PRIORITIZE",IF(AND(O1443="High",P1443="High",OR(Q1443="Poor",M1443=TRUE())),"HOLD / REVIEW","MONITOR"))</f>
        <v>MONITOR</v>
      </c>
      <c r="S1443" s="11" t="n">
        <f aca="false">K1443+(ROW()/10000000)</f>
        <v>29.0001443</v>
      </c>
    </row>
    <row r="1444" customFormat="false" ht="15" hidden="false" customHeight="false" outlineLevel="0" collapsed="false">
      <c r="A1444" s="11" t="s">
        <v>1764</v>
      </c>
      <c r="B1444" s="11" t="s">
        <v>28</v>
      </c>
      <c r="C1444" s="11" t="s">
        <v>107</v>
      </c>
      <c r="D1444" s="11" t="s">
        <v>34</v>
      </c>
      <c r="E1444" s="11"/>
      <c r="F1444" s="11" t="s">
        <v>88</v>
      </c>
      <c r="G1444" s="21" t="n">
        <v>209.3</v>
      </c>
      <c r="H1444" s="19" t="n">
        <v>14.2</v>
      </c>
      <c r="I1444" s="21" t="n">
        <v>179.58</v>
      </c>
      <c r="J1444" s="22" t="s">
        <v>265</v>
      </c>
      <c r="K1444" s="11" t="n">
        <v>29</v>
      </c>
      <c r="L1444" s="23"/>
      <c r="M1444" s="24" t="b">
        <f aca="false">FALSE()</f>
        <v>0</v>
      </c>
      <c r="N1444" s="11"/>
      <c r="O1444" s="11" t="str">
        <f aca="false">IF(K1444&lt;=StockP33,"Low",IF(K1444&lt;=StockP67,"Moderate","High"))</f>
        <v>Moderate</v>
      </c>
      <c r="P1444" s="11" t="str">
        <f aca="false">IF(H1444=0,"Low",IF(H1444&lt;=MarkdownP75,"Moderate","High"))</f>
        <v>Moderate</v>
      </c>
      <c r="Q1444" s="11" t="str">
        <f aca="false">IF(ISBLANK(L1444),"Unknown",IF(L1444&gt;=4,"Good",IF(L1444&lt;=2,"Poor","Neutral")))</f>
        <v>Unknown</v>
      </c>
      <c r="R1444" s="11" t="str">
        <f aca="false">IF(AND(O1444="Low",P1444="Low",Q1444="Good"),"BUY / PRIORITIZE",IF(AND(O1444="High",P1444="High",OR(Q1444="Poor",M1444=TRUE())),"HOLD / REVIEW","MONITOR"))</f>
        <v>MONITOR</v>
      </c>
      <c r="S1444" s="11" t="n">
        <f aca="false">K1444+(ROW()/10000000)</f>
        <v>29.0001444</v>
      </c>
    </row>
    <row r="1445" customFormat="false" ht="15" hidden="false" customHeight="false" outlineLevel="0" collapsed="false">
      <c r="A1445" s="11" t="s">
        <v>1765</v>
      </c>
      <c r="B1445" s="11" t="s">
        <v>30</v>
      </c>
      <c r="C1445" s="11" t="s">
        <v>116</v>
      </c>
      <c r="D1445" s="11" t="s">
        <v>35</v>
      </c>
      <c r="E1445" s="11" t="s">
        <v>102</v>
      </c>
      <c r="F1445" s="11" t="s">
        <v>79</v>
      </c>
      <c r="G1445" s="21" t="n">
        <v>110.81</v>
      </c>
      <c r="H1445" s="19" t="n">
        <v>0</v>
      </c>
      <c r="I1445" s="21" t="n">
        <v>110.81</v>
      </c>
      <c r="J1445" s="22" t="s">
        <v>80</v>
      </c>
      <c r="K1445" s="11" t="n">
        <v>24</v>
      </c>
      <c r="L1445" s="23" t="n">
        <v>2.4</v>
      </c>
      <c r="M1445" s="24" t="b">
        <f aca="false">FALSE()</f>
        <v>0</v>
      </c>
      <c r="N1445" s="11"/>
      <c r="O1445" s="11" t="str">
        <f aca="false">IF(K1445&lt;=StockP33,"Low",IF(K1445&lt;=StockP67,"Moderate","High"))</f>
        <v>Moderate</v>
      </c>
      <c r="P1445" s="11" t="str">
        <f aca="false">IF(H1445=0,"Low",IF(H1445&lt;=MarkdownP75,"Moderate","High"))</f>
        <v>Low</v>
      </c>
      <c r="Q1445" s="11" t="str">
        <f aca="false">IF(ISBLANK(L1445),"Unknown",IF(L1445&gt;=4,"Good",IF(L1445&lt;=2,"Poor","Neutral")))</f>
        <v>Neutral</v>
      </c>
      <c r="R1445" s="11" t="str">
        <f aca="false">IF(AND(O1445="Low",P1445="Low",Q1445="Good"),"BUY / PRIORITIZE",IF(AND(O1445="High",P1445="High",OR(Q1445="Poor",M1445=TRUE())),"HOLD / REVIEW","MONITOR"))</f>
        <v>MONITOR</v>
      </c>
      <c r="S1445" s="11" t="n">
        <f aca="false">K1445+(ROW()/10000000)</f>
        <v>24.0001445</v>
      </c>
    </row>
    <row r="1446" customFormat="false" ht="15" hidden="false" customHeight="false" outlineLevel="0" collapsed="false">
      <c r="A1446" s="11" t="s">
        <v>1766</v>
      </c>
      <c r="B1446" s="11" t="s">
        <v>8</v>
      </c>
      <c r="C1446" s="11" t="s">
        <v>77</v>
      </c>
      <c r="D1446" s="11" t="s">
        <v>36</v>
      </c>
      <c r="E1446" s="11"/>
      <c r="F1446" s="11" t="s">
        <v>82</v>
      </c>
      <c r="G1446" s="21" t="n">
        <v>61.84</v>
      </c>
      <c r="H1446" s="19" t="n">
        <v>0</v>
      </c>
      <c r="I1446" s="21" t="n">
        <v>61.84</v>
      </c>
      <c r="J1446" s="22" t="s">
        <v>80</v>
      </c>
      <c r="K1446" s="11" t="n">
        <v>0</v>
      </c>
      <c r="L1446" s="23" t="n">
        <v>4.7</v>
      </c>
      <c r="M1446" s="24" t="b">
        <f aca="false">TRUE()</f>
        <v>1</v>
      </c>
      <c r="N1446" s="11" t="s">
        <v>191</v>
      </c>
      <c r="O1446" s="11" t="str">
        <f aca="false">IF(K1446&lt;=StockP33,"Low",IF(K1446&lt;=StockP67,"Moderate","High"))</f>
        <v>Low</v>
      </c>
      <c r="P1446" s="11" t="str">
        <f aca="false">IF(H1446=0,"Low",IF(H1446&lt;=MarkdownP75,"Moderate","High"))</f>
        <v>Low</v>
      </c>
      <c r="Q1446" s="11" t="str">
        <f aca="false">IF(ISBLANK(L1446),"Unknown",IF(L1446&gt;=4,"Good",IF(L1446&lt;=2,"Poor","Neutral")))</f>
        <v>Good</v>
      </c>
      <c r="R1446" s="11" t="str">
        <f aca="false">IF(AND(O1446="Low",P1446="Low",Q1446="Good"),"BUY / PRIORITIZE",IF(AND(O1446="High",P1446="High",OR(Q1446="Poor",M1446=TRUE())),"HOLD / REVIEW","MONITOR"))</f>
        <v>BUY / PRIORITIZE</v>
      </c>
      <c r="S1446" s="11" t="n">
        <f aca="false">K1446+(ROW()/10000000)</f>
        <v>0.0001446</v>
      </c>
    </row>
    <row r="1447" customFormat="false" ht="15" hidden="false" customHeight="false" outlineLevel="0" collapsed="false">
      <c r="A1447" s="11" t="s">
        <v>1767</v>
      </c>
      <c r="B1447" s="11" t="s">
        <v>28</v>
      </c>
      <c r="C1447" s="11" t="s">
        <v>72</v>
      </c>
      <c r="D1447" s="11" t="s">
        <v>34</v>
      </c>
      <c r="E1447" s="11" t="s">
        <v>91</v>
      </c>
      <c r="F1447" s="11" t="s">
        <v>124</v>
      </c>
      <c r="G1447" s="21" t="n">
        <v>190.03</v>
      </c>
      <c r="H1447" s="19" t="n">
        <v>14.9</v>
      </c>
      <c r="I1447" s="21" t="n">
        <v>161.72</v>
      </c>
      <c r="J1447" s="22" t="s">
        <v>293</v>
      </c>
      <c r="K1447" s="11" t="n">
        <v>35</v>
      </c>
      <c r="L1447" s="23" t="n">
        <v>4.1</v>
      </c>
      <c r="M1447" s="24" t="b">
        <f aca="false">FALSE()</f>
        <v>0</v>
      </c>
      <c r="N1447" s="11"/>
      <c r="O1447" s="11" t="str">
        <f aca="false">IF(K1447&lt;=StockP33,"Low",IF(K1447&lt;=StockP67,"Moderate","High"))</f>
        <v>High</v>
      </c>
      <c r="P1447" s="11" t="str">
        <f aca="false">IF(H1447=0,"Low",IF(H1447&lt;=MarkdownP75,"Moderate","High"))</f>
        <v>Moderate</v>
      </c>
      <c r="Q1447" s="11" t="str">
        <f aca="false">IF(ISBLANK(L1447),"Unknown",IF(L1447&gt;=4,"Good",IF(L1447&lt;=2,"Poor","Neutral")))</f>
        <v>Good</v>
      </c>
      <c r="R1447" s="11" t="str">
        <f aca="false">IF(AND(O1447="Low",P1447="Low",Q1447="Good"),"BUY / PRIORITIZE",IF(AND(O1447="High",P1447="High",OR(Q1447="Poor",M1447=TRUE())),"HOLD / REVIEW","MONITOR"))</f>
        <v>MONITOR</v>
      </c>
      <c r="S1447" s="11" t="n">
        <f aca="false">K1447+(ROW()/10000000)</f>
        <v>35.0001447</v>
      </c>
    </row>
    <row r="1448" customFormat="false" ht="15" hidden="false" customHeight="false" outlineLevel="0" collapsed="false">
      <c r="A1448" s="11" t="s">
        <v>1768</v>
      </c>
      <c r="B1448" s="11" t="s">
        <v>26</v>
      </c>
      <c r="C1448" s="11" t="s">
        <v>86</v>
      </c>
      <c r="D1448" s="11" t="s">
        <v>36</v>
      </c>
      <c r="E1448" s="11" t="s">
        <v>110</v>
      </c>
      <c r="F1448" s="11" t="s">
        <v>74</v>
      </c>
      <c r="G1448" s="21" t="n">
        <v>74.27</v>
      </c>
      <c r="H1448" s="19" t="n">
        <v>0</v>
      </c>
      <c r="I1448" s="21" t="n">
        <v>74.27</v>
      </c>
      <c r="J1448" s="22" t="s">
        <v>80</v>
      </c>
      <c r="K1448" s="11" t="n">
        <v>6</v>
      </c>
      <c r="L1448" s="23" t="n">
        <v>1.3</v>
      </c>
      <c r="M1448" s="24" t="b">
        <f aca="false">FALSE()</f>
        <v>0</v>
      </c>
      <c r="N1448" s="11"/>
      <c r="O1448" s="11" t="str">
        <f aca="false">IF(K1448&lt;=StockP33,"Low",IF(K1448&lt;=StockP67,"Moderate","High"))</f>
        <v>Low</v>
      </c>
      <c r="P1448" s="11" t="str">
        <f aca="false">IF(H1448=0,"Low",IF(H1448&lt;=MarkdownP75,"Moderate","High"))</f>
        <v>Low</v>
      </c>
      <c r="Q1448" s="11" t="str">
        <f aca="false">IF(ISBLANK(L1448),"Unknown",IF(L1448&gt;=4,"Good",IF(L1448&lt;=2,"Poor","Neutral")))</f>
        <v>Poor</v>
      </c>
      <c r="R1448" s="11" t="str">
        <f aca="false">IF(AND(O1448="Low",P1448="Low",Q1448="Good"),"BUY / PRIORITIZE",IF(AND(O1448="High",P1448="High",OR(Q1448="Poor",M1448=TRUE())),"HOLD / REVIEW","MONITOR"))</f>
        <v>MONITOR</v>
      </c>
      <c r="S1448" s="11" t="n">
        <f aca="false">K1448+(ROW()/10000000)</f>
        <v>6.0001448</v>
      </c>
    </row>
    <row r="1449" customFormat="false" ht="15" hidden="false" customHeight="false" outlineLevel="0" collapsed="false">
      <c r="A1449" s="11" t="s">
        <v>1769</v>
      </c>
      <c r="B1449" s="11" t="s">
        <v>28</v>
      </c>
      <c r="C1449" s="11" t="s">
        <v>72</v>
      </c>
      <c r="D1449" s="11" t="s">
        <v>36</v>
      </c>
      <c r="E1449" s="11" t="s">
        <v>73</v>
      </c>
      <c r="F1449" s="11" t="s">
        <v>111</v>
      </c>
      <c r="G1449" s="21" t="n">
        <v>163.77</v>
      </c>
      <c r="H1449" s="19" t="n">
        <v>30.5</v>
      </c>
      <c r="I1449" s="21" t="n">
        <v>113.82</v>
      </c>
      <c r="J1449" s="22" t="s">
        <v>80</v>
      </c>
      <c r="K1449" s="11" t="n">
        <v>10</v>
      </c>
      <c r="L1449" s="23"/>
      <c r="M1449" s="24" t="b">
        <f aca="false">FALSE()</f>
        <v>0</v>
      </c>
      <c r="N1449" s="11"/>
      <c r="O1449" s="11" t="str">
        <f aca="false">IF(K1449&lt;=StockP33,"Low",IF(K1449&lt;=StockP67,"Moderate","High"))</f>
        <v>Low</v>
      </c>
      <c r="P1449" s="11" t="str">
        <f aca="false">IF(H1449=0,"Low",IF(H1449&lt;=MarkdownP75,"Moderate","High"))</f>
        <v>High</v>
      </c>
      <c r="Q1449" s="11" t="str">
        <f aca="false">IF(ISBLANK(L1449),"Unknown",IF(L1449&gt;=4,"Good",IF(L1449&lt;=2,"Poor","Neutral")))</f>
        <v>Unknown</v>
      </c>
      <c r="R1449" s="11" t="str">
        <f aca="false">IF(AND(O1449="Low",P1449="Low",Q1449="Good"),"BUY / PRIORITIZE",IF(AND(O1449="High",P1449="High",OR(Q1449="Poor",M1449=TRUE())),"HOLD / REVIEW","MONITOR"))</f>
        <v>MONITOR</v>
      </c>
      <c r="S1449" s="11" t="n">
        <f aca="false">K1449+(ROW()/10000000)</f>
        <v>10.0001449</v>
      </c>
    </row>
    <row r="1450" customFormat="false" ht="15" hidden="false" customHeight="false" outlineLevel="0" collapsed="false">
      <c r="A1450" s="11" t="s">
        <v>1770</v>
      </c>
      <c r="B1450" s="11" t="s">
        <v>8</v>
      </c>
      <c r="C1450" s="11" t="s">
        <v>95</v>
      </c>
      <c r="D1450" s="11" t="s">
        <v>37</v>
      </c>
      <c r="E1450" s="11"/>
      <c r="F1450" s="11" t="s">
        <v>120</v>
      </c>
      <c r="G1450" s="21" t="n">
        <v>42.28</v>
      </c>
      <c r="H1450" s="19" t="n">
        <v>0</v>
      </c>
      <c r="I1450" s="21" t="n">
        <v>42.28</v>
      </c>
      <c r="J1450" s="22" t="s">
        <v>80</v>
      </c>
      <c r="K1450" s="11" t="n">
        <v>22</v>
      </c>
      <c r="L1450" s="23" t="n">
        <v>1.9</v>
      </c>
      <c r="M1450" s="24" t="b">
        <f aca="false">FALSE()</f>
        <v>0</v>
      </c>
      <c r="N1450" s="11"/>
      <c r="O1450" s="11" t="str">
        <f aca="false">IF(K1450&lt;=StockP33,"Low",IF(K1450&lt;=StockP67,"Moderate","High"))</f>
        <v>Moderate</v>
      </c>
      <c r="P1450" s="11" t="str">
        <f aca="false">IF(H1450=0,"Low",IF(H1450&lt;=MarkdownP75,"Moderate","High"))</f>
        <v>Low</v>
      </c>
      <c r="Q1450" s="11" t="str">
        <f aca="false">IF(ISBLANK(L1450),"Unknown",IF(L1450&gt;=4,"Good",IF(L1450&lt;=2,"Poor","Neutral")))</f>
        <v>Poor</v>
      </c>
      <c r="R1450" s="11" t="str">
        <f aca="false">IF(AND(O1450="Low",P1450="Low",Q1450="Good"),"BUY / PRIORITIZE",IF(AND(O1450="High",P1450="High",OR(Q1450="Poor",M1450=TRUE())),"HOLD / REVIEW","MONITOR"))</f>
        <v>MONITOR</v>
      </c>
      <c r="S1450" s="11" t="n">
        <f aca="false">K1450+(ROW()/10000000)</f>
        <v>22.000145</v>
      </c>
    </row>
    <row r="1451" customFormat="false" ht="15" hidden="false" customHeight="false" outlineLevel="0" collapsed="false">
      <c r="A1451" s="11" t="s">
        <v>1771</v>
      </c>
      <c r="B1451" s="11" t="s">
        <v>26</v>
      </c>
      <c r="C1451" s="11" t="s">
        <v>101</v>
      </c>
      <c r="D1451" s="11" t="s">
        <v>35</v>
      </c>
      <c r="E1451" s="11" t="s">
        <v>110</v>
      </c>
      <c r="F1451" s="11" t="s">
        <v>118</v>
      </c>
      <c r="G1451" s="21" t="n">
        <v>52.92</v>
      </c>
      <c r="H1451" s="19" t="n">
        <v>0</v>
      </c>
      <c r="I1451" s="21" t="n">
        <v>52.92</v>
      </c>
      <c r="J1451" s="22" t="s">
        <v>80</v>
      </c>
      <c r="K1451" s="11" t="n">
        <v>9</v>
      </c>
      <c r="L1451" s="23"/>
      <c r="M1451" s="24" t="b">
        <f aca="false">FALSE()</f>
        <v>0</v>
      </c>
      <c r="N1451" s="11"/>
      <c r="O1451" s="11" t="str">
        <f aca="false">IF(K1451&lt;=StockP33,"Low",IF(K1451&lt;=StockP67,"Moderate","High"))</f>
        <v>Low</v>
      </c>
      <c r="P1451" s="11" t="str">
        <f aca="false">IF(H1451=0,"Low",IF(H1451&lt;=MarkdownP75,"Moderate","High"))</f>
        <v>Low</v>
      </c>
      <c r="Q1451" s="11" t="str">
        <f aca="false">IF(ISBLANK(L1451),"Unknown",IF(L1451&gt;=4,"Good",IF(L1451&lt;=2,"Poor","Neutral")))</f>
        <v>Unknown</v>
      </c>
      <c r="R1451" s="11" t="str">
        <f aca="false">IF(AND(O1451="Low",P1451="Low",Q1451="Good"),"BUY / PRIORITIZE",IF(AND(O1451="High",P1451="High",OR(Q1451="Poor",M1451=TRUE())),"HOLD / REVIEW","MONITOR"))</f>
        <v>MONITOR</v>
      </c>
      <c r="S1451" s="11" t="n">
        <f aca="false">K1451+(ROW()/10000000)</f>
        <v>9.0001451</v>
      </c>
    </row>
    <row r="1452" customFormat="false" ht="15" hidden="false" customHeight="false" outlineLevel="0" collapsed="false">
      <c r="A1452" s="11" t="s">
        <v>1772</v>
      </c>
      <c r="B1452" s="11" t="s">
        <v>8</v>
      </c>
      <c r="C1452" s="11" t="s">
        <v>107</v>
      </c>
      <c r="D1452" s="11" t="s">
        <v>34</v>
      </c>
      <c r="E1452" s="11"/>
      <c r="F1452" s="11" t="s">
        <v>82</v>
      </c>
      <c r="G1452" s="21" t="n">
        <v>40.55</v>
      </c>
      <c r="H1452" s="19" t="n">
        <v>6.2</v>
      </c>
      <c r="I1452" s="21" t="n">
        <v>38.04</v>
      </c>
      <c r="J1452" s="22" t="s">
        <v>218</v>
      </c>
      <c r="K1452" s="11" t="n">
        <v>26</v>
      </c>
      <c r="L1452" s="23" t="n">
        <v>3.7</v>
      </c>
      <c r="M1452" s="24" t="b">
        <f aca="false">TRUE()</f>
        <v>1</v>
      </c>
      <c r="N1452" s="11" t="s">
        <v>191</v>
      </c>
      <c r="O1452" s="11" t="str">
        <f aca="false">IF(K1452&lt;=StockP33,"Low",IF(K1452&lt;=StockP67,"Moderate","High"))</f>
        <v>Moderate</v>
      </c>
      <c r="P1452" s="11" t="str">
        <f aca="false">IF(H1452=0,"Low",IF(H1452&lt;=MarkdownP75,"Moderate","High"))</f>
        <v>Moderate</v>
      </c>
      <c r="Q1452" s="11" t="str">
        <f aca="false">IF(ISBLANK(L1452),"Unknown",IF(L1452&gt;=4,"Good",IF(L1452&lt;=2,"Poor","Neutral")))</f>
        <v>Neutral</v>
      </c>
      <c r="R1452" s="11" t="str">
        <f aca="false">IF(AND(O1452="Low",P1452="Low",Q1452="Good"),"BUY / PRIORITIZE",IF(AND(O1452="High",P1452="High",OR(Q1452="Poor",M1452=TRUE())),"HOLD / REVIEW","MONITOR"))</f>
        <v>MONITOR</v>
      </c>
      <c r="S1452" s="11" t="n">
        <f aca="false">K1452+(ROW()/10000000)</f>
        <v>26.0001452</v>
      </c>
    </row>
    <row r="1453" customFormat="false" ht="15" hidden="false" customHeight="false" outlineLevel="0" collapsed="false">
      <c r="A1453" s="11" t="s">
        <v>1773</v>
      </c>
      <c r="B1453" s="11" t="s">
        <v>29</v>
      </c>
      <c r="C1453" s="11" t="s">
        <v>95</v>
      </c>
      <c r="D1453" s="11" t="s">
        <v>35</v>
      </c>
      <c r="E1453" s="11" t="s">
        <v>102</v>
      </c>
      <c r="F1453" s="11" t="s">
        <v>82</v>
      </c>
      <c r="G1453" s="21" t="n">
        <v>129.76</v>
      </c>
      <c r="H1453" s="19" t="n">
        <v>0</v>
      </c>
      <c r="I1453" s="21" t="n">
        <v>129.76</v>
      </c>
      <c r="J1453" s="22" t="s">
        <v>80</v>
      </c>
      <c r="K1453" s="11" t="n">
        <v>39</v>
      </c>
      <c r="L1453" s="23" t="n">
        <v>2.9</v>
      </c>
      <c r="M1453" s="24" t="b">
        <f aca="false">FALSE()</f>
        <v>0</v>
      </c>
      <c r="N1453" s="11"/>
      <c r="O1453" s="11" t="str">
        <f aca="false">IF(K1453&lt;=StockP33,"Low",IF(K1453&lt;=StockP67,"Moderate","High"))</f>
        <v>High</v>
      </c>
      <c r="P1453" s="11" t="str">
        <f aca="false">IF(H1453=0,"Low",IF(H1453&lt;=MarkdownP75,"Moderate","High"))</f>
        <v>Low</v>
      </c>
      <c r="Q1453" s="11" t="str">
        <f aca="false">IF(ISBLANK(L1453),"Unknown",IF(L1453&gt;=4,"Good",IF(L1453&lt;=2,"Poor","Neutral")))</f>
        <v>Neutral</v>
      </c>
      <c r="R1453" s="11" t="str">
        <f aca="false">IF(AND(O1453="Low",P1453="Low",Q1453="Good"),"BUY / PRIORITIZE",IF(AND(O1453="High",P1453="High",OR(Q1453="Poor",M1453=TRUE())),"HOLD / REVIEW","MONITOR"))</f>
        <v>MONITOR</v>
      </c>
      <c r="S1453" s="11" t="n">
        <f aca="false">K1453+(ROW()/10000000)</f>
        <v>39.0001453</v>
      </c>
    </row>
    <row r="1454" customFormat="false" ht="15" hidden="false" customHeight="false" outlineLevel="0" collapsed="false">
      <c r="A1454" s="11" t="s">
        <v>1774</v>
      </c>
      <c r="B1454" s="11" t="s">
        <v>30</v>
      </c>
      <c r="C1454" s="11" t="s">
        <v>107</v>
      </c>
      <c r="D1454" s="11" t="s">
        <v>36</v>
      </c>
      <c r="E1454" s="11" t="s">
        <v>73</v>
      </c>
      <c r="F1454" s="11" t="s">
        <v>120</v>
      </c>
      <c r="G1454" s="21" t="n">
        <v>63.39</v>
      </c>
      <c r="H1454" s="19" t="n">
        <v>0</v>
      </c>
      <c r="I1454" s="21" t="n">
        <v>63.39</v>
      </c>
      <c r="J1454" s="22" t="s">
        <v>80</v>
      </c>
      <c r="K1454" s="11" t="n">
        <v>50</v>
      </c>
      <c r="L1454" s="23" t="n">
        <v>2.5</v>
      </c>
      <c r="M1454" s="24" t="b">
        <f aca="false">FALSE()</f>
        <v>0</v>
      </c>
      <c r="N1454" s="11"/>
      <c r="O1454" s="11" t="str">
        <f aca="false">IF(K1454&lt;=StockP33,"Low",IF(K1454&lt;=StockP67,"Moderate","High"))</f>
        <v>High</v>
      </c>
      <c r="P1454" s="11" t="str">
        <f aca="false">IF(H1454=0,"Low",IF(H1454&lt;=MarkdownP75,"Moderate","High"))</f>
        <v>Low</v>
      </c>
      <c r="Q1454" s="11" t="str">
        <f aca="false">IF(ISBLANK(L1454),"Unknown",IF(L1454&gt;=4,"Good",IF(L1454&lt;=2,"Poor","Neutral")))</f>
        <v>Neutral</v>
      </c>
      <c r="R1454" s="11" t="str">
        <f aca="false">IF(AND(O1454="Low",P1454="Low",Q1454="Good"),"BUY / PRIORITIZE",IF(AND(O1454="High",P1454="High",OR(Q1454="Poor",M1454=TRUE())),"HOLD / REVIEW","MONITOR"))</f>
        <v>MONITOR</v>
      </c>
      <c r="S1454" s="11" t="n">
        <f aca="false">K1454+(ROW()/10000000)</f>
        <v>50.0001454</v>
      </c>
    </row>
    <row r="1455" customFormat="false" ht="15" hidden="false" customHeight="false" outlineLevel="0" collapsed="false">
      <c r="A1455" s="11" t="s">
        <v>1775</v>
      </c>
      <c r="B1455" s="11" t="s">
        <v>29</v>
      </c>
      <c r="C1455" s="11" t="s">
        <v>101</v>
      </c>
      <c r="D1455" s="11" t="s">
        <v>36</v>
      </c>
      <c r="E1455" s="11" t="s">
        <v>91</v>
      </c>
      <c r="F1455" s="11" t="s">
        <v>118</v>
      </c>
      <c r="G1455" s="21" t="n">
        <v>191.94</v>
      </c>
      <c r="H1455" s="19" t="n">
        <v>1.3</v>
      </c>
      <c r="I1455" s="21" t="n">
        <v>189.44</v>
      </c>
      <c r="J1455" s="22" t="s">
        <v>80</v>
      </c>
      <c r="K1455" s="11" t="n">
        <v>39</v>
      </c>
      <c r="L1455" s="23" t="n">
        <v>1.2</v>
      </c>
      <c r="M1455" s="24" t="b">
        <f aca="false">FALSE()</f>
        <v>0</v>
      </c>
      <c r="N1455" s="11"/>
      <c r="O1455" s="11" t="str">
        <f aca="false">IF(K1455&lt;=StockP33,"Low",IF(K1455&lt;=StockP67,"Moderate","High"))</f>
        <v>High</v>
      </c>
      <c r="P1455" s="11" t="str">
        <f aca="false">IF(H1455=0,"Low",IF(H1455&lt;=MarkdownP75,"Moderate","High"))</f>
        <v>Moderate</v>
      </c>
      <c r="Q1455" s="11" t="str">
        <f aca="false">IF(ISBLANK(L1455),"Unknown",IF(L1455&gt;=4,"Good",IF(L1455&lt;=2,"Poor","Neutral")))</f>
        <v>Poor</v>
      </c>
      <c r="R1455" s="11" t="str">
        <f aca="false">IF(AND(O1455="Low",P1455="Low",Q1455="Good"),"BUY / PRIORITIZE",IF(AND(O1455="High",P1455="High",OR(Q1455="Poor",M1455=TRUE())),"HOLD / REVIEW","MONITOR"))</f>
        <v>MONITOR</v>
      </c>
      <c r="S1455" s="11" t="n">
        <f aca="false">K1455+(ROW()/10000000)</f>
        <v>39.0001455</v>
      </c>
    </row>
    <row r="1456" customFormat="false" ht="15" hidden="false" customHeight="false" outlineLevel="0" collapsed="false">
      <c r="A1456" s="11" t="s">
        <v>1776</v>
      </c>
      <c r="B1456" s="11" t="s">
        <v>8</v>
      </c>
      <c r="C1456" s="11" t="s">
        <v>77</v>
      </c>
      <c r="D1456" s="11" t="s">
        <v>34</v>
      </c>
      <c r="E1456" s="11"/>
      <c r="F1456" s="11" t="s">
        <v>120</v>
      </c>
      <c r="G1456" s="21" t="n">
        <v>63.42</v>
      </c>
      <c r="H1456" s="19" t="n">
        <v>0</v>
      </c>
      <c r="I1456" s="21" t="n">
        <v>63.42</v>
      </c>
      <c r="J1456" s="22" t="s">
        <v>1777</v>
      </c>
      <c r="K1456" s="11" t="n">
        <v>19</v>
      </c>
      <c r="L1456" s="23" t="n">
        <v>2.9</v>
      </c>
      <c r="M1456" s="24" t="b">
        <f aca="false">TRUE()</f>
        <v>1</v>
      </c>
      <c r="N1456" s="11" t="s">
        <v>89</v>
      </c>
      <c r="O1456" s="11" t="str">
        <f aca="false">IF(K1456&lt;=StockP33,"Low",IF(K1456&lt;=StockP67,"Moderate","High"))</f>
        <v>Moderate</v>
      </c>
      <c r="P1456" s="11" t="str">
        <f aca="false">IF(H1456=0,"Low",IF(H1456&lt;=MarkdownP75,"Moderate","High"))</f>
        <v>Low</v>
      </c>
      <c r="Q1456" s="11" t="str">
        <f aca="false">IF(ISBLANK(L1456),"Unknown",IF(L1456&gt;=4,"Good",IF(L1456&lt;=2,"Poor","Neutral")))</f>
        <v>Neutral</v>
      </c>
      <c r="R1456" s="11" t="str">
        <f aca="false">IF(AND(O1456="Low",P1456="Low",Q1456="Good"),"BUY / PRIORITIZE",IF(AND(O1456="High",P1456="High",OR(Q1456="Poor",M1456=TRUE())),"HOLD / REVIEW","MONITOR"))</f>
        <v>MONITOR</v>
      </c>
      <c r="S1456" s="11" t="n">
        <f aca="false">K1456+(ROW()/10000000)</f>
        <v>19.0001456</v>
      </c>
    </row>
    <row r="1457" customFormat="false" ht="15" hidden="false" customHeight="false" outlineLevel="0" collapsed="false">
      <c r="A1457" s="11" t="s">
        <v>1778</v>
      </c>
      <c r="B1457" s="11" t="s">
        <v>30</v>
      </c>
      <c r="C1457" s="11" t="s">
        <v>107</v>
      </c>
      <c r="D1457" s="11" t="s">
        <v>37</v>
      </c>
      <c r="E1457" s="11" t="s">
        <v>102</v>
      </c>
      <c r="F1457" s="11" t="s">
        <v>111</v>
      </c>
      <c r="G1457" s="21" t="n">
        <v>35.26</v>
      </c>
      <c r="H1457" s="19" t="n">
        <v>0</v>
      </c>
      <c r="I1457" s="21" t="n">
        <v>35.26</v>
      </c>
      <c r="J1457" s="22" t="s">
        <v>80</v>
      </c>
      <c r="K1457" s="11" t="n">
        <v>47</v>
      </c>
      <c r="L1457" s="23" t="n">
        <v>2.3</v>
      </c>
      <c r="M1457" s="24" t="b">
        <f aca="false">FALSE()</f>
        <v>0</v>
      </c>
      <c r="N1457" s="11"/>
      <c r="O1457" s="11" t="str">
        <f aca="false">IF(K1457&lt;=StockP33,"Low",IF(K1457&lt;=StockP67,"Moderate","High"))</f>
        <v>High</v>
      </c>
      <c r="P1457" s="11" t="str">
        <f aca="false">IF(H1457=0,"Low",IF(H1457&lt;=MarkdownP75,"Moderate","High"))</f>
        <v>Low</v>
      </c>
      <c r="Q1457" s="11" t="str">
        <f aca="false">IF(ISBLANK(L1457),"Unknown",IF(L1457&gt;=4,"Good",IF(L1457&lt;=2,"Poor","Neutral")))</f>
        <v>Neutral</v>
      </c>
      <c r="R1457" s="11" t="str">
        <f aca="false">IF(AND(O1457="Low",P1457="Low",Q1457="Good"),"BUY / PRIORITIZE",IF(AND(O1457="High",P1457="High",OR(Q1457="Poor",M1457=TRUE())),"HOLD / REVIEW","MONITOR"))</f>
        <v>MONITOR</v>
      </c>
      <c r="S1457" s="11" t="n">
        <f aca="false">K1457+(ROW()/10000000)</f>
        <v>47.0001457</v>
      </c>
    </row>
    <row r="1458" customFormat="false" ht="15" hidden="false" customHeight="false" outlineLevel="0" collapsed="false">
      <c r="A1458" s="11" t="s">
        <v>1779</v>
      </c>
      <c r="B1458" s="11" t="s">
        <v>8</v>
      </c>
      <c r="C1458" s="11" t="s">
        <v>116</v>
      </c>
      <c r="D1458" s="11" t="s">
        <v>34</v>
      </c>
      <c r="E1458" s="11"/>
      <c r="F1458" s="11" t="s">
        <v>98</v>
      </c>
      <c r="G1458" s="21" t="n">
        <v>44.5</v>
      </c>
      <c r="H1458" s="19" t="n">
        <v>0</v>
      </c>
      <c r="I1458" s="21" t="n">
        <v>44.5</v>
      </c>
      <c r="J1458" s="22" t="s">
        <v>512</v>
      </c>
      <c r="K1458" s="11" t="n">
        <v>36</v>
      </c>
      <c r="L1458" s="23" t="n">
        <v>3.6</v>
      </c>
      <c r="M1458" s="24" t="b">
        <f aca="false">FALSE()</f>
        <v>0</v>
      </c>
      <c r="N1458" s="11"/>
      <c r="O1458" s="11" t="str">
        <f aca="false">IF(K1458&lt;=StockP33,"Low",IF(K1458&lt;=StockP67,"Moderate","High"))</f>
        <v>High</v>
      </c>
      <c r="P1458" s="11" t="str">
        <f aca="false">IF(H1458=0,"Low",IF(H1458&lt;=MarkdownP75,"Moderate","High"))</f>
        <v>Low</v>
      </c>
      <c r="Q1458" s="11" t="str">
        <f aca="false">IF(ISBLANK(L1458),"Unknown",IF(L1458&gt;=4,"Good",IF(L1458&lt;=2,"Poor","Neutral")))</f>
        <v>Neutral</v>
      </c>
      <c r="R1458" s="11" t="str">
        <f aca="false">IF(AND(O1458="Low",P1458="Low",Q1458="Good"),"BUY / PRIORITIZE",IF(AND(O1458="High",P1458="High",OR(Q1458="Poor",M1458=TRUE())),"HOLD / REVIEW","MONITOR"))</f>
        <v>MONITOR</v>
      </c>
      <c r="S1458" s="11" t="n">
        <f aca="false">K1458+(ROW()/10000000)</f>
        <v>36.0001458</v>
      </c>
    </row>
    <row r="1459" customFormat="false" ht="15" hidden="false" customHeight="false" outlineLevel="0" collapsed="false">
      <c r="A1459" s="11" t="s">
        <v>1780</v>
      </c>
      <c r="B1459" s="11" t="s">
        <v>29</v>
      </c>
      <c r="C1459" s="11" t="s">
        <v>72</v>
      </c>
      <c r="D1459" s="11" t="s">
        <v>34</v>
      </c>
      <c r="E1459" s="11" t="s">
        <v>110</v>
      </c>
      <c r="F1459" s="11" t="s">
        <v>88</v>
      </c>
      <c r="G1459" s="21" t="n">
        <v>186.78</v>
      </c>
      <c r="H1459" s="19" t="n">
        <v>43.4</v>
      </c>
      <c r="I1459" s="21" t="n">
        <v>105.72</v>
      </c>
      <c r="J1459" s="22" t="s">
        <v>303</v>
      </c>
      <c r="K1459" s="11" t="n">
        <v>42</v>
      </c>
      <c r="L1459" s="23" t="n">
        <v>2.5</v>
      </c>
      <c r="M1459" s="24" t="b">
        <f aca="false">TRUE()</f>
        <v>1</v>
      </c>
      <c r="N1459" s="11" t="s">
        <v>134</v>
      </c>
      <c r="O1459" s="11" t="str">
        <f aca="false">IF(K1459&lt;=StockP33,"Low",IF(K1459&lt;=StockP67,"Moderate","High"))</f>
        <v>High</v>
      </c>
      <c r="P1459" s="11" t="str">
        <f aca="false">IF(H1459=0,"Low",IF(H1459&lt;=MarkdownP75,"Moderate","High"))</f>
        <v>High</v>
      </c>
      <c r="Q1459" s="11" t="str">
        <f aca="false">IF(ISBLANK(L1459),"Unknown",IF(L1459&gt;=4,"Good",IF(L1459&lt;=2,"Poor","Neutral")))</f>
        <v>Neutral</v>
      </c>
      <c r="R1459" s="11" t="str">
        <f aca="false">IF(AND(O1459="Low",P1459="Low",Q1459="Good"),"BUY / PRIORITIZE",IF(AND(O1459="High",P1459="High",OR(Q1459="Poor",M1459=TRUE())),"HOLD / REVIEW","MONITOR"))</f>
        <v>HOLD / REVIEW</v>
      </c>
      <c r="S1459" s="11" t="n">
        <f aca="false">K1459+(ROW()/10000000)</f>
        <v>42.0001459</v>
      </c>
    </row>
    <row r="1460" customFormat="false" ht="15" hidden="false" customHeight="false" outlineLevel="0" collapsed="false">
      <c r="A1460" s="11" t="s">
        <v>1781</v>
      </c>
      <c r="B1460" s="11" t="s">
        <v>30</v>
      </c>
      <c r="C1460" s="11" t="s">
        <v>101</v>
      </c>
      <c r="D1460" s="11" t="s">
        <v>35</v>
      </c>
      <c r="E1460" s="11" t="s">
        <v>78</v>
      </c>
      <c r="F1460" s="11" t="s">
        <v>82</v>
      </c>
      <c r="G1460" s="21" t="n">
        <v>116.71</v>
      </c>
      <c r="H1460" s="19" t="n">
        <v>55.4</v>
      </c>
      <c r="I1460" s="21" t="n">
        <v>52.05</v>
      </c>
      <c r="J1460" s="22" t="s">
        <v>80</v>
      </c>
      <c r="K1460" s="11" t="n">
        <v>15</v>
      </c>
      <c r="L1460" s="23"/>
      <c r="M1460" s="24" t="b">
        <f aca="false">FALSE()</f>
        <v>0</v>
      </c>
      <c r="N1460" s="11"/>
      <c r="O1460" s="11" t="str">
        <f aca="false">IF(K1460&lt;=StockP33,"Low",IF(K1460&lt;=StockP67,"Moderate","High"))</f>
        <v>Low</v>
      </c>
      <c r="P1460" s="11" t="str">
        <f aca="false">IF(H1460=0,"Low",IF(H1460&lt;=MarkdownP75,"Moderate","High"))</f>
        <v>High</v>
      </c>
      <c r="Q1460" s="11" t="str">
        <f aca="false">IF(ISBLANK(L1460),"Unknown",IF(L1460&gt;=4,"Good",IF(L1460&lt;=2,"Poor","Neutral")))</f>
        <v>Unknown</v>
      </c>
      <c r="R1460" s="11" t="str">
        <f aca="false">IF(AND(O1460="Low",P1460="Low",Q1460="Good"),"BUY / PRIORITIZE",IF(AND(O1460="High",P1460="High",OR(Q1460="Poor",M1460=TRUE())),"HOLD / REVIEW","MONITOR"))</f>
        <v>MONITOR</v>
      </c>
      <c r="S1460" s="11" t="n">
        <f aca="false">K1460+(ROW()/10000000)</f>
        <v>15.000146</v>
      </c>
    </row>
    <row r="1461" customFormat="false" ht="15" hidden="false" customHeight="false" outlineLevel="0" collapsed="false">
      <c r="A1461" s="11" t="s">
        <v>1782</v>
      </c>
      <c r="B1461" s="11" t="s">
        <v>8</v>
      </c>
      <c r="C1461" s="11" t="s">
        <v>101</v>
      </c>
      <c r="D1461" s="11" t="s">
        <v>37</v>
      </c>
      <c r="E1461" s="11"/>
      <c r="F1461" s="11" t="s">
        <v>82</v>
      </c>
      <c r="G1461" s="21" t="n">
        <v>24.5</v>
      </c>
      <c r="H1461" s="19" t="n">
        <v>0</v>
      </c>
      <c r="I1461" s="21" t="n">
        <v>24.5</v>
      </c>
      <c r="J1461" s="22" t="s">
        <v>80</v>
      </c>
      <c r="K1461" s="11" t="n">
        <v>7</v>
      </c>
      <c r="L1461" s="23"/>
      <c r="M1461" s="24" t="b">
        <f aca="false">FALSE()</f>
        <v>0</v>
      </c>
      <c r="N1461" s="11"/>
      <c r="O1461" s="11" t="str">
        <f aca="false">IF(K1461&lt;=StockP33,"Low",IF(K1461&lt;=StockP67,"Moderate","High"))</f>
        <v>Low</v>
      </c>
      <c r="P1461" s="11" t="str">
        <f aca="false">IF(H1461=0,"Low",IF(H1461&lt;=MarkdownP75,"Moderate","High"))</f>
        <v>Low</v>
      </c>
      <c r="Q1461" s="11" t="str">
        <f aca="false">IF(ISBLANK(L1461),"Unknown",IF(L1461&gt;=4,"Good",IF(L1461&lt;=2,"Poor","Neutral")))</f>
        <v>Unknown</v>
      </c>
      <c r="R1461" s="11" t="str">
        <f aca="false">IF(AND(O1461="Low",P1461="Low",Q1461="Good"),"BUY / PRIORITIZE",IF(AND(O1461="High",P1461="High",OR(Q1461="Poor",M1461=TRUE())),"HOLD / REVIEW","MONITOR"))</f>
        <v>MONITOR</v>
      </c>
      <c r="S1461" s="11" t="n">
        <f aca="false">K1461+(ROW()/10000000)</f>
        <v>7.0001461</v>
      </c>
    </row>
    <row r="1462" customFormat="false" ht="15" hidden="false" customHeight="false" outlineLevel="0" collapsed="false">
      <c r="A1462" s="11" t="s">
        <v>1783</v>
      </c>
      <c r="B1462" s="11" t="s">
        <v>8</v>
      </c>
      <c r="C1462" s="11" t="s">
        <v>116</v>
      </c>
      <c r="D1462" s="11" t="s">
        <v>37</v>
      </c>
      <c r="E1462" s="11"/>
      <c r="F1462" s="11" t="s">
        <v>118</v>
      </c>
      <c r="G1462" s="21" t="n">
        <v>23.2</v>
      </c>
      <c r="H1462" s="19" t="n">
        <v>0</v>
      </c>
      <c r="I1462" s="21" t="n">
        <v>23.2</v>
      </c>
      <c r="J1462" s="22" t="s">
        <v>80</v>
      </c>
      <c r="K1462" s="11" t="n">
        <v>17</v>
      </c>
      <c r="L1462" s="23" t="n">
        <v>2.1</v>
      </c>
      <c r="M1462" s="24" t="b">
        <f aca="false">FALSE()</f>
        <v>0</v>
      </c>
      <c r="N1462" s="11"/>
      <c r="O1462" s="11" t="str">
        <f aca="false">IF(K1462&lt;=StockP33,"Low",IF(K1462&lt;=StockP67,"Moderate","High"))</f>
        <v>Low</v>
      </c>
      <c r="P1462" s="11" t="str">
        <f aca="false">IF(H1462=0,"Low",IF(H1462&lt;=MarkdownP75,"Moderate","High"))</f>
        <v>Low</v>
      </c>
      <c r="Q1462" s="11" t="str">
        <f aca="false">IF(ISBLANK(L1462),"Unknown",IF(L1462&gt;=4,"Good",IF(L1462&lt;=2,"Poor","Neutral")))</f>
        <v>Neutral</v>
      </c>
      <c r="R1462" s="11" t="str">
        <f aca="false">IF(AND(O1462="Low",P1462="Low",Q1462="Good"),"BUY / PRIORITIZE",IF(AND(O1462="High",P1462="High",OR(Q1462="Poor",M1462=TRUE())),"HOLD / REVIEW","MONITOR"))</f>
        <v>MONITOR</v>
      </c>
      <c r="S1462" s="11" t="n">
        <f aca="false">K1462+(ROW()/10000000)</f>
        <v>17.0001462</v>
      </c>
    </row>
    <row r="1463" customFormat="false" ht="15" hidden="false" customHeight="false" outlineLevel="0" collapsed="false">
      <c r="A1463" s="11" t="s">
        <v>1784</v>
      </c>
      <c r="B1463" s="11" t="s">
        <v>26</v>
      </c>
      <c r="C1463" s="11" t="s">
        <v>130</v>
      </c>
      <c r="D1463" s="11" t="s">
        <v>37</v>
      </c>
      <c r="E1463" s="11" t="s">
        <v>73</v>
      </c>
      <c r="F1463" s="11" t="s">
        <v>98</v>
      </c>
      <c r="G1463" s="21" t="n">
        <v>73.8</v>
      </c>
      <c r="H1463" s="19" t="n">
        <v>0</v>
      </c>
      <c r="I1463" s="21" t="n">
        <v>73.8</v>
      </c>
      <c r="J1463" s="22" t="s">
        <v>80</v>
      </c>
      <c r="K1463" s="11" t="n">
        <v>42</v>
      </c>
      <c r="L1463" s="23"/>
      <c r="M1463" s="24" t="b">
        <f aca="false">FALSE()</f>
        <v>0</v>
      </c>
      <c r="N1463" s="11"/>
      <c r="O1463" s="11" t="str">
        <f aca="false">IF(K1463&lt;=StockP33,"Low",IF(K1463&lt;=StockP67,"Moderate","High"))</f>
        <v>High</v>
      </c>
      <c r="P1463" s="11" t="str">
        <f aca="false">IF(H1463=0,"Low",IF(H1463&lt;=MarkdownP75,"Moderate","High"))</f>
        <v>Low</v>
      </c>
      <c r="Q1463" s="11" t="str">
        <f aca="false">IF(ISBLANK(L1463),"Unknown",IF(L1463&gt;=4,"Good",IF(L1463&lt;=2,"Poor","Neutral")))</f>
        <v>Unknown</v>
      </c>
      <c r="R1463" s="11" t="str">
        <f aca="false">IF(AND(O1463="Low",P1463="Low",Q1463="Good"),"BUY / PRIORITIZE",IF(AND(O1463="High",P1463="High",OR(Q1463="Poor",M1463=TRUE())),"HOLD / REVIEW","MONITOR"))</f>
        <v>MONITOR</v>
      </c>
      <c r="S1463" s="11" t="n">
        <f aca="false">K1463+(ROW()/10000000)</f>
        <v>42.0001463</v>
      </c>
    </row>
    <row r="1464" customFormat="false" ht="15" hidden="false" customHeight="false" outlineLevel="0" collapsed="false">
      <c r="A1464" s="11" t="s">
        <v>1785</v>
      </c>
      <c r="B1464" s="11" t="s">
        <v>8</v>
      </c>
      <c r="C1464" s="11" t="s">
        <v>72</v>
      </c>
      <c r="D1464" s="11" t="s">
        <v>35</v>
      </c>
      <c r="E1464" s="11"/>
      <c r="F1464" s="11" t="s">
        <v>82</v>
      </c>
      <c r="G1464" s="21" t="n">
        <v>51.33</v>
      </c>
      <c r="H1464" s="19" t="n">
        <v>0</v>
      </c>
      <c r="I1464" s="21" t="n">
        <v>51.33</v>
      </c>
      <c r="J1464" s="22" t="s">
        <v>80</v>
      </c>
      <c r="K1464" s="11" t="n">
        <v>25</v>
      </c>
      <c r="L1464" s="23" t="n">
        <v>1.2</v>
      </c>
      <c r="M1464" s="24" t="b">
        <f aca="false">FALSE()</f>
        <v>0</v>
      </c>
      <c r="N1464" s="11"/>
      <c r="O1464" s="11" t="str">
        <f aca="false">IF(K1464&lt;=StockP33,"Low",IF(K1464&lt;=StockP67,"Moderate","High"))</f>
        <v>Moderate</v>
      </c>
      <c r="P1464" s="11" t="str">
        <f aca="false">IF(H1464=0,"Low",IF(H1464&lt;=MarkdownP75,"Moderate","High"))</f>
        <v>Low</v>
      </c>
      <c r="Q1464" s="11" t="str">
        <f aca="false">IF(ISBLANK(L1464),"Unknown",IF(L1464&gt;=4,"Good",IF(L1464&lt;=2,"Poor","Neutral")))</f>
        <v>Poor</v>
      </c>
      <c r="R1464" s="11" t="str">
        <f aca="false">IF(AND(O1464="Low",P1464="Low",Q1464="Good"),"BUY / PRIORITIZE",IF(AND(O1464="High",P1464="High",OR(Q1464="Poor",M1464=TRUE())),"HOLD / REVIEW","MONITOR"))</f>
        <v>MONITOR</v>
      </c>
      <c r="S1464" s="11" t="n">
        <f aca="false">K1464+(ROW()/10000000)</f>
        <v>25.0001464</v>
      </c>
    </row>
    <row r="1465" customFormat="false" ht="15" hidden="false" customHeight="false" outlineLevel="0" collapsed="false">
      <c r="A1465" s="11" t="s">
        <v>1786</v>
      </c>
      <c r="B1465" s="11" t="s">
        <v>26</v>
      </c>
      <c r="C1465" s="11" t="s">
        <v>101</v>
      </c>
      <c r="D1465" s="11" t="s">
        <v>37</v>
      </c>
      <c r="E1465" s="11" t="s">
        <v>102</v>
      </c>
      <c r="F1465" s="11" t="s">
        <v>98</v>
      </c>
      <c r="G1465" s="21" t="n">
        <v>80.21</v>
      </c>
      <c r="H1465" s="19" t="n">
        <v>0</v>
      </c>
      <c r="I1465" s="21" t="n">
        <v>80.21</v>
      </c>
      <c r="J1465" s="22" t="s">
        <v>80</v>
      </c>
      <c r="K1465" s="11" t="n">
        <v>17</v>
      </c>
      <c r="L1465" s="23"/>
      <c r="M1465" s="24" t="b">
        <f aca="false">FALSE()</f>
        <v>0</v>
      </c>
      <c r="N1465" s="11"/>
      <c r="O1465" s="11" t="str">
        <f aca="false">IF(K1465&lt;=StockP33,"Low",IF(K1465&lt;=StockP67,"Moderate","High"))</f>
        <v>Low</v>
      </c>
      <c r="P1465" s="11" t="str">
        <f aca="false">IF(H1465=0,"Low",IF(H1465&lt;=MarkdownP75,"Moderate","High"))</f>
        <v>Low</v>
      </c>
      <c r="Q1465" s="11" t="str">
        <f aca="false">IF(ISBLANK(L1465),"Unknown",IF(L1465&gt;=4,"Good",IF(L1465&lt;=2,"Poor","Neutral")))</f>
        <v>Unknown</v>
      </c>
      <c r="R1465" s="11" t="str">
        <f aca="false">IF(AND(O1465="Low",P1465="Low",Q1465="Good"),"BUY / PRIORITIZE",IF(AND(O1465="High",P1465="High",OR(Q1465="Poor",M1465=TRUE())),"HOLD / REVIEW","MONITOR"))</f>
        <v>MONITOR</v>
      </c>
      <c r="S1465" s="11" t="n">
        <f aca="false">K1465+(ROW()/10000000)</f>
        <v>17.0001465</v>
      </c>
    </row>
    <row r="1466" customFormat="false" ht="15" hidden="false" customHeight="false" outlineLevel="0" collapsed="false">
      <c r="A1466" s="11" t="s">
        <v>1787</v>
      </c>
      <c r="B1466" s="11" t="s">
        <v>28</v>
      </c>
      <c r="C1466" s="11" t="s">
        <v>77</v>
      </c>
      <c r="D1466" s="11" t="s">
        <v>36</v>
      </c>
      <c r="E1466" s="11" t="s">
        <v>78</v>
      </c>
      <c r="F1466" s="11" t="s">
        <v>124</v>
      </c>
      <c r="G1466" s="21" t="n">
        <v>237.65</v>
      </c>
      <c r="H1466" s="19" t="n">
        <v>0</v>
      </c>
      <c r="I1466" s="21" t="n">
        <v>237.65</v>
      </c>
      <c r="J1466" s="22" t="s">
        <v>80</v>
      </c>
      <c r="K1466" s="11" t="n">
        <v>3</v>
      </c>
      <c r="L1466" s="23" t="n">
        <v>3.4</v>
      </c>
      <c r="M1466" s="24" t="b">
        <f aca="false">FALSE()</f>
        <v>0</v>
      </c>
      <c r="N1466" s="11"/>
      <c r="O1466" s="11" t="str">
        <f aca="false">IF(K1466&lt;=StockP33,"Low",IF(K1466&lt;=StockP67,"Moderate","High"))</f>
        <v>Low</v>
      </c>
      <c r="P1466" s="11" t="str">
        <f aca="false">IF(H1466=0,"Low",IF(H1466&lt;=MarkdownP75,"Moderate","High"))</f>
        <v>Low</v>
      </c>
      <c r="Q1466" s="11" t="str">
        <f aca="false">IF(ISBLANK(L1466),"Unknown",IF(L1466&gt;=4,"Good",IF(L1466&lt;=2,"Poor","Neutral")))</f>
        <v>Neutral</v>
      </c>
      <c r="R1466" s="11" t="str">
        <f aca="false">IF(AND(O1466="Low",P1466="Low",Q1466="Good"),"BUY / PRIORITIZE",IF(AND(O1466="High",P1466="High",OR(Q1466="Poor",M1466=TRUE())),"HOLD / REVIEW","MONITOR"))</f>
        <v>MONITOR</v>
      </c>
      <c r="S1466" s="11" t="n">
        <f aca="false">K1466+(ROW()/10000000)</f>
        <v>3.0001466</v>
      </c>
    </row>
    <row r="1467" customFormat="false" ht="15" hidden="false" customHeight="false" outlineLevel="0" collapsed="false">
      <c r="A1467" s="11" t="s">
        <v>1788</v>
      </c>
      <c r="B1467" s="11" t="s">
        <v>26</v>
      </c>
      <c r="C1467" s="11" t="s">
        <v>86</v>
      </c>
      <c r="D1467" s="11" t="s">
        <v>34</v>
      </c>
      <c r="E1467" s="11" t="s">
        <v>91</v>
      </c>
      <c r="F1467" s="11" t="s">
        <v>124</v>
      </c>
      <c r="G1467" s="21" t="n">
        <v>96.35</v>
      </c>
      <c r="H1467" s="19" t="n">
        <v>0</v>
      </c>
      <c r="I1467" s="21" t="n">
        <v>96.35</v>
      </c>
      <c r="J1467" s="22" t="s">
        <v>1789</v>
      </c>
      <c r="K1467" s="11" t="n">
        <v>34</v>
      </c>
      <c r="L1467" s="23" t="n">
        <v>3.7</v>
      </c>
      <c r="M1467" s="24" t="b">
        <f aca="false">FALSE()</f>
        <v>0</v>
      </c>
      <c r="N1467" s="11"/>
      <c r="O1467" s="11" t="str">
        <f aca="false">IF(K1467&lt;=StockP33,"Low",IF(K1467&lt;=StockP67,"Moderate","High"))</f>
        <v>High</v>
      </c>
      <c r="P1467" s="11" t="str">
        <f aca="false">IF(H1467=0,"Low",IF(H1467&lt;=MarkdownP75,"Moderate","High"))</f>
        <v>Low</v>
      </c>
      <c r="Q1467" s="11" t="str">
        <f aca="false">IF(ISBLANK(L1467),"Unknown",IF(L1467&gt;=4,"Good",IF(L1467&lt;=2,"Poor","Neutral")))</f>
        <v>Neutral</v>
      </c>
      <c r="R1467" s="11" t="str">
        <f aca="false">IF(AND(O1467="Low",P1467="Low",Q1467="Good"),"BUY / PRIORITIZE",IF(AND(O1467="High",P1467="High",OR(Q1467="Poor",M1467=TRUE())),"HOLD / REVIEW","MONITOR"))</f>
        <v>MONITOR</v>
      </c>
      <c r="S1467" s="11" t="n">
        <f aca="false">K1467+(ROW()/10000000)</f>
        <v>34.0001467</v>
      </c>
    </row>
    <row r="1468" customFormat="false" ht="15" hidden="false" customHeight="false" outlineLevel="0" collapsed="false">
      <c r="A1468" s="11" t="s">
        <v>1790</v>
      </c>
      <c r="B1468" s="11" t="s">
        <v>26</v>
      </c>
      <c r="C1468" s="11" t="s">
        <v>86</v>
      </c>
      <c r="D1468" s="11" t="s">
        <v>37</v>
      </c>
      <c r="E1468" s="11" t="s">
        <v>73</v>
      </c>
      <c r="F1468" s="11" t="s">
        <v>88</v>
      </c>
      <c r="G1468" s="21" t="n">
        <v>91.92</v>
      </c>
      <c r="H1468" s="19" t="n">
        <v>0</v>
      </c>
      <c r="I1468" s="21" t="n">
        <v>91.92</v>
      </c>
      <c r="J1468" s="22" t="s">
        <v>80</v>
      </c>
      <c r="K1468" s="11" t="n">
        <v>29</v>
      </c>
      <c r="L1468" s="23"/>
      <c r="M1468" s="24" t="b">
        <f aca="false">FALSE()</f>
        <v>0</v>
      </c>
      <c r="N1468" s="11"/>
      <c r="O1468" s="11" t="str">
        <f aca="false">IF(K1468&lt;=StockP33,"Low",IF(K1468&lt;=StockP67,"Moderate","High"))</f>
        <v>Moderate</v>
      </c>
      <c r="P1468" s="11" t="str">
        <f aca="false">IF(H1468=0,"Low",IF(H1468&lt;=MarkdownP75,"Moderate","High"))</f>
        <v>Low</v>
      </c>
      <c r="Q1468" s="11" t="str">
        <f aca="false">IF(ISBLANK(L1468),"Unknown",IF(L1468&gt;=4,"Good",IF(L1468&lt;=2,"Poor","Neutral")))</f>
        <v>Unknown</v>
      </c>
      <c r="R1468" s="11" t="str">
        <f aca="false">IF(AND(O1468="Low",P1468="Low",Q1468="Good"),"BUY / PRIORITIZE",IF(AND(O1468="High",P1468="High",OR(Q1468="Poor",M1468=TRUE())),"HOLD / REVIEW","MONITOR"))</f>
        <v>MONITOR</v>
      </c>
      <c r="S1468" s="11" t="n">
        <f aca="false">K1468+(ROW()/10000000)</f>
        <v>29.0001468</v>
      </c>
    </row>
    <row r="1469" customFormat="false" ht="15" hidden="false" customHeight="false" outlineLevel="0" collapsed="false">
      <c r="A1469" s="11" t="s">
        <v>1791</v>
      </c>
      <c r="B1469" s="11" t="s">
        <v>29</v>
      </c>
      <c r="C1469" s="11" t="s">
        <v>86</v>
      </c>
      <c r="D1469" s="11" t="s">
        <v>36</v>
      </c>
      <c r="E1469" s="11" t="s">
        <v>102</v>
      </c>
      <c r="F1469" s="11" t="s">
        <v>118</v>
      </c>
      <c r="G1469" s="21" t="n">
        <v>194.05</v>
      </c>
      <c r="H1469" s="19" t="n">
        <v>0</v>
      </c>
      <c r="I1469" s="21" t="n">
        <v>194.05</v>
      </c>
      <c r="J1469" s="22" t="s">
        <v>80</v>
      </c>
      <c r="K1469" s="11" t="n">
        <v>7</v>
      </c>
      <c r="L1469" s="23" t="n">
        <v>1.3</v>
      </c>
      <c r="M1469" s="24" t="b">
        <f aca="false">FALSE()</f>
        <v>0</v>
      </c>
      <c r="N1469" s="11"/>
      <c r="O1469" s="11" t="str">
        <f aca="false">IF(K1469&lt;=StockP33,"Low",IF(K1469&lt;=StockP67,"Moderate","High"))</f>
        <v>Low</v>
      </c>
      <c r="P1469" s="11" t="str">
        <f aca="false">IF(H1469=0,"Low",IF(H1469&lt;=MarkdownP75,"Moderate","High"))</f>
        <v>Low</v>
      </c>
      <c r="Q1469" s="11" t="str">
        <f aca="false">IF(ISBLANK(L1469),"Unknown",IF(L1469&gt;=4,"Good",IF(L1469&lt;=2,"Poor","Neutral")))</f>
        <v>Poor</v>
      </c>
      <c r="R1469" s="11" t="str">
        <f aca="false">IF(AND(O1469="Low",P1469="Low",Q1469="Good"),"BUY / PRIORITIZE",IF(AND(O1469="High",P1469="High",OR(Q1469="Poor",M1469=TRUE())),"HOLD / REVIEW","MONITOR"))</f>
        <v>MONITOR</v>
      </c>
      <c r="S1469" s="11" t="n">
        <f aca="false">K1469+(ROW()/10000000)</f>
        <v>7.0001469</v>
      </c>
    </row>
    <row r="1470" customFormat="false" ht="15" hidden="false" customHeight="false" outlineLevel="0" collapsed="false">
      <c r="A1470" s="11" t="s">
        <v>1792</v>
      </c>
      <c r="B1470" s="11" t="s">
        <v>28</v>
      </c>
      <c r="C1470" s="11" t="s">
        <v>116</v>
      </c>
      <c r="D1470" s="11" t="s">
        <v>35</v>
      </c>
      <c r="E1470" s="11" t="s">
        <v>91</v>
      </c>
      <c r="F1470" s="11" t="s">
        <v>74</v>
      </c>
      <c r="G1470" s="21" t="n">
        <v>166.88</v>
      </c>
      <c r="H1470" s="19" t="n">
        <v>0</v>
      </c>
      <c r="I1470" s="21" t="n">
        <v>166.88</v>
      </c>
      <c r="J1470" s="22" t="s">
        <v>80</v>
      </c>
      <c r="K1470" s="11" t="n">
        <v>10</v>
      </c>
      <c r="L1470" s="23" t="n">
        <v>1.6</v>
      </c>
      <c r="M1470" s="24" t="b">
        <f aca="false">FALSE()</f>
        <v>0</v>
      </c>
      <c r="N1470" s="11"/>
      <c r="O1470" s="11" t="str">
        <f aca="false">IF(K1470&lt;=StockP33,"Low",IF(K1470&lt;=StockP67,"Moderate","High"))</f>
        <v>Low</v>
      </c>
      <c r="P1470" s="11" t="str">
        <f aca="false">IF(H1470=0,"Low",IF(H1470&lt;=MarkdownP75,"Moderate","High"))</f>
        <v>Low</v>
      </c>
      <c r="Q1470" s="11" t="str">
        <f aca="false">IF(ISBLANK(L1470),"Unknown",IF(L1470&gt;=4,"Good",IF(L1470&lt;=2,"Poor","Neutral")))</f>
        <v>Poor</v>
      </c>
      <c r="R1470" s="11" t="str">
        <f aca="false">IF(AND(O1470="Low",P1470="Low",Q1470="Good"),"BUY / PRIORITIZE",IF(AND(O1470="High",P1470="High",OR(Q1470="Poor",M1470=TRUE())),"HOLD / REVIEW","MONITOR"))</f>
        <v>MONITOR</v>
      </c>
      <c r="S1470" s="11" t="n">
        <f aca="false">K1470+(ROW()/10000000)</f>
        <v>10.000147</v>
      </c>
    </row>
    <row r="1471" customFormat="false" ht="15" hidden="false" customHeight="false" outlineLevel="0" collapsed="false">
      <c r="A1471" s="11" t="s">
        <v>1793</v>
      </c>
      <c r="B1471" s="11" t="s">
        <v>26</v>
      </c>
      <c r="C1471" s="11" t="s">
        <v>101</v>
      </c>
      <c r="D1471" s="11" t="s">
        <v>37</v>
      </c>
      <c r="E1471" s="11" t="s">
        <v>91</v>
      </c>
      <c r="F1471" s="11" t="s">
        <v>74</v>
      </c>
      <c r="G1471" s="21" t="n">
        <v>47.01</v>
      </c>
      <c r="H1471" s="19" t="n">
        <v>0</v>
      </c>
      <c r="I1471" s="21" t="n">
        <v>47.01</v>
      </c>
      <c r="J1471" s="22" t="s">
        <v>80</v>
      </c>
      <c r="K1471" s="11" t="n">
        <v>17</v>
      </c>
      <c r="L1471" s="23" t="n">
        <v>1.6</v>
      </c>
      <c r="M1471" s="24" t="b">
        <f aca="false">FALSE()</f>
        <v>0</v>
      </c>
      <c r="N1471" s="11"/>
      <c r="O1471" s="11" t="str">
        <f aca="false">IF(K1471&lt;=StockP33,"Low",IF(K1471&lt;=StockP67,"Moderate","High"))</f>
        <v>Low</v>
      </c>
      <c r="P1471" s="11" t="str">
        <f aca="false">IF(H1471=0,"Low",IF(H1471&lt;=MarkdownP75,"Moderate","High"))</f>
        <v>Low</v>
      </c>
      <c r="Q1471" s="11" t="str">
        <f aca="false">IF(ISBLANK(L1471),"Unknown",IF(L1471&gt;=4,"Good",IF(L1471&lt;=2,"Poor","Neutral")))</f>
        <v>Poor</v>
      </c>
      <c r="R1471" s="11" t="str">
        <f aca="false">IF(AND(O1471="Low",P1471="Low",Q1471="Good"),"BUY / PRIORITIZE",IF(AND(O1471="High",P1471="High",OR(Q1471="Poor",M1471=TRUE())),"HOLD / REVIEW","MONITOR"))</f>
        <v>MONITOR</v>
      </c>
      <c r="S1471" s="11" t="n">
        <f aca="false">K1471+(ROW()/10000000)</f>
        <v>17.0001471</v>
      </c>
    </row>
    <row r="1472" customFormat="false" ht="15" hidden="false" customHeight="false" outlineLevel="0" collapsed="false">
      <c r="A1472" s="11" t="s">
        <v>1794</v>
      </c>
      <c r="B1472" s="11" t="s">
        <v>29</v>
      </c>
      <c r="C1472" s="11" t="s">
        <v>86</v>
      </c>
      <c r="D1472" s="11" t="s">
        <v>37</v>
      </c>
      <c r="E1472" s="11" t="s">
        <v>102</v>
      </c>
      <c r="F1472" s="11" t="s">
        <v>79</v>
      </c>
      <c r="G1472" s="21" t="n">
        <v>119.91</v>
      </c>
      <c r="H1472" s="19" t="n">
        <v>20.3</v>
      </c>
      <c r="I1472" s="21" t="n">
        <v>95.57</v>
      </c>
      <c r="J1472" s="22" t="s">
        <v>80</v>
      </c>
      <c r="K1472" s="11" t="n">
        <v>15</v>
      </c>
      <c r="L1472" s="23" t="n">
        <v>3.8</v>
      </c>
      <c r="M1472" s="24" t="b">
        <f aca="false">FALSE()</f>
        <v>0</v>
      </c>
      <c r="N1472" s="11"/>
      <c r="O1472" s="11" t="str">
        <f aca="false">IF(K1472&lt;=StockP33,"Low",IF(K1472&lt;=StockP67,"Moderate","High"))</f>
        <v>Low</v>
      </c>
      <c r="P1472" s="11" t="str">
        <f aca="false">IF(H1472=0,"Low",IF(H1472&lt;=MarkdownP75,"Moderate","High"))</f>
        <v>Moderate</v>
      </c>
      <c r="Q1472" s="11" t="str">
        <f aca="false">IF(ISBLANK(L1472),"Unknown",IF(L1472&gt;=4,"Good",IF(L1472&lt;=2,"Poor","Neutral")))</f>
        <v>Neutral</v>
      </c>
      <c r="R1472" s="11" t="str">
        <f aca="false">IF(AND(O1472="Low",P1472="Low",Q1472="Good"),"BUY / PRIORITIZE",IF(AND(O1472="High",P1472="High",OR(Q1472="Poor",M1472=TRUE())),"HOLD / REVIEW","MONITOR"))</f>
        <v>MONITOR</v>
      </c>
      <c r="S1472" s="11" t="n">
        <f aca="false">K1472+(ROW()/10000000)</f>
        <v>15.0001472</v>
      </c>
    </row>
    <row r="1473" customFormat="false" ht="15" hidden="false" customHeight="false" outlineLevel="0" collapsed="false">
      <c r="A1473" s="11" t="s">
        <v>1795</v>
      </c>
      <c r="B1473" s="11" t="s">
        <v>8</v>
      </c>
      <c r="C1473" s="11" t="s">
        <v>101</v>
      </c>
      <c r="D1473" s="11" t="s">
        <v>36</v>
      </c>
      <c r="E1473" s="11"/>
      <c r="F1473" s="11" t="s">
        <v>74</v>
      </c>
      <c r="G1473" s="21" t="n">
        <v>73.73</v>
      </c>
      <c r="H1473" s="19" t="n">
        <v>54.2</v>
      </c>
      <c r="I1473" s="21" t="n">
        <v>33.77</v>
      </c>
      <c r="J1473" s="22" t="s">
        <v>80</v>
      </c>
      <c r="K1473" s="11" t="n">
        <v>37</v>
      </c>
      <c r="L1473" s="23" t="n">
        <v>4.1</v>
      </c>
      <c r="M1473" s="24" t="b">
        <f aca="false">FALSE()</f>
        <v>0</v>
      </c>
      <c r="N1473" s="11"/>
      <c r="O1473" s="11" t="str">
        <f aca="false">IF(K1473&lt;=StockP33,"Low",IF(K1473&lt;=StockP67,"Moderate","High"))</f>
        <v>High</v>
      </c>
      <c r="P1473" s="11" t="str">
        <f aca="false">IF(H1473=0,"Low",IF(H1473&lt;=MarkdownP75,"Moderate","High"))</f>
        <v>High</v>
      </c>
      <c r="Q1473" s="11" t="str">
        <f aca="false">IF(ISBLANK(L1473),"Unknown",IF(L1473&gt;=4,"Good",IF(L1473&lt;=2,"Poor","Neutral")))</f>
        <v>Good</v>
      </c>
      <c r="R1473" s="11" t="str">
        <f aca="false">IF(AND(O1473="Low",P1473="Low",Q1473="Good"),"BUY / PRIORITIZE",IF(AND(O1473="High",P1473="High",OR(Q1473="Poor",M1473=TRUE())),"HOLD / REVIEW","MONITOR"))</f>
        <v>MONITOR</v>
      </c>
      <c r="S1473" s="11" t="n">
        <f aca="false">K1473+(ROW()/10000000)</f>
        <v>37.0001473</v>
      </c>
    </row>
    <row r="1474" customFormat="false" ht="15" hidden="false" customHeight="false" outlineLevel="0" collapsed="false">
      <c r="A1474" s="11" t="s">
        <v>1796</v>
      </c>
      <c r="B1474" s="11" t="s">
        <v>26</v>
      </c>
      <c r="C1474" s="11" t="s">
        <v>72</v>
      </c>
      <c r="D1474" s="11" t="s">
        <v>36</v>
      </c>
      <c r="E1474" s="11" t="s">
        <v>78</v>
      </c>
      <c r="F1474" s="11" t="s">
        <v>82</v>
      </c>
      <c r="G1474" s="21" t="n">
        <v>108.65</v>
      </c>
      <c r="H1474" s="19" t="n">
        <v>0</v>
      </c>
      <c r="I1474" s="21" t="n">
        <v>108.65</v>
      </c>
      <c r="J1474" s="22" t="s">
        <v>80</v>
      </c>
      <c r="K1474" s="11" t="n">
        <v>26</v>
      </c>
      <c r="L1474" s="23" t="n">
        <v>2.4</v>
      </c>
      <c r="M1474" s="24" t="b">
        <f aca="false">FALSE()</f>
        <v>0</v>
      </c>
      <c r="N1474" s="11"/>
      <c r="O1474" s="11" t="str">
        <f aca="false">IF(K1474&lt;=StockP33,"Low",IF(K1474&lt;=StockP67,"Moderate","High"))</f>
        <v>Moderate</v>
      </c>
      <c r="P1474" s="11" t="str">
        <f aca="false">IF(H1474=0,"Low",IF(H1474&lt;=MarkdownP75,"Moderate","High"))</f>
        <v>Low</v>
      </c>
      <c r="Q1474" s="11" t="str">
        <f aca="false">IF(ISBLANK(L1474),"Unknown",IF(L1474&gt;=4,"Good",IF(L1474&lt;=2,"Poor","Neutral")))</f>
        <v>Neutral</v>
      </c>
      <c r="R1474" s="11" t="str">
        <f aca="false">IF(AND(O1474="Low",P1474="Low",Q1474="Good"),"BUY / PRIORITIZE",IF(AND(O1474="High",P1474="High",OR(Q1474="Poor",M1474=TRUE())),"HOLD / REVIEW","MONITOR"))</f>
        <v>MONITOR</v>
      </c>
      <c r="S1474" s="11" t="n">
        <f aca="false">K1474+(ROW()/10000000)</f>
        <v>26.0001474</v>
      </c>
    </row>
    <row r="1475" customFormat="false" ht="15" hidden="false" customHeight="false" outlineLevel="0" collapsed="false">
      <c r="A1475" s="11" t="s">
        <v>1797</v>
      </c>
      <c r="B1475" s="11" t="s">
        <v>29</v>
      </c>
      <c r="C1475" s="11" t="s">
        <v>95</v>
      </c>
      <c r="D1475" s="11" t="s">
        <v>35</v>
      </c>
      <c r="E1475" s="11" t="s">
        <v>78</v>
      </c>
      <c r="F1475" s="11" t="s">
        <v>74</v>
      </c>
      <c r="G1475" s="21" t="n">
        <v>186.53</v>
      </c>
      <c r="H1475" s="19" t="n">
        <v>0</v>
      </c>
      <c r="I1475" s="21" t="n">
        <v>186.53</v>
      </c>
      <c r="J1475" s="22" t="s">
        <v>80</v>
      </c>
      <c r="K1475" s="11" t="n">
        <v>31</v>
      </c>
      <c r="L1475" s="23" t="n">
        <v>2.6</v>
      </c>
      <c r="M1475" s="24" t="b">
        <f aca="false">FALSE()</f>
        <v>0</v>
      </c>
      <c r="N1475" s="11"/>
      <c r="O1475" s="11" t="str">
        <f aca="false">IF(K1475&lt;=StockP33,"Low",IF(K1475&lt;=StockP67,"Moderate","High"))</f>
        <v>Moderate</v>
      </c>
      <c r="P1475" s="11" t="str">
        <f aca="false">IF(H1475=0,"Low",IF(H1475&lt;=MarkdownP75,"Moderate","High"))</f>
        <v>Low</v>
      </c>
      <c r="Q1475" s="11" t="str">
        <f aca="false">IF(ISBLANK(L1475),"Unknown",IF(L1475&gt;=4,"Good",IF(L1475&lt;=2,"Poor","Neutral")))</f>
        <v>Neutral</v>
      </c>
      <c r="R1475" s="11" t="str">
        <f aca="false">IF(AND(O1475="Low",P1475="Low",Q1475="Good"),"BUY / PRIORITIZE",IF(AND(O1475="High",P1475="High",OR(Q1475="Poor",M1475=TRUE())),"HOLD / REVIEW","MONITOR"))</f>
        <v>MONITOR</v>
      </c>
      <c r="S1475" s="11" t="n">
        <f aca="false">K1475+(ROW()/10000000)</f>
        <v>31.0001475</v>
      </c>
    </row>
    <row r="1476" customFormat="false" ht="15" hidden="false" customHeight="false" outlineLevel="0" collapsed="false">
      <c r="A1476" s="11" t="s">
        <v>1798</v>
      </c>
      <c r="B1476" s="11" t="s">
        <v>8</v>
      </c>
      <c r="C1476" s="11" t="s">
        <v>72</v>
      </c>
      <c r="D1476" s="11" t="s">
        <v>35</v>
      </c>
      <c r="E1476" s="11"/>
      <c r="F1476" s="11" t="s">
        <v>74</v>
      </c>
      <c r="G1476" s="21" t="n">
        <v>60.34</v>
      </c>
      <c r="H1476" s="19" t="n">
        <v>0</v>
      </c>
      <c r="I1476" s="21" t="n">
        <v>60.34</v>
      </c>
      <c r="J1476" s="22" t="s">
        <v>80</v>
      </c>
      <c r="K1476" s="11" t="n">
        <v>13</v>
      </c>
      <c r="L1476" s="23"/>
      <c r="M1476" s="24" t="b">
        <f aca="false">FALSE()</f>
        <v>0</v>
      </c>
      <c r="N1476" s="11"/>
      <c r="O1476" s="11" t="str">
        <f aca="false">IF(K1476&lt;=StockP33,"Low",IF(K1476&lt;=StockP67,"Moderate","High"))</f>
        <v>Low</v>
      </c>
      <c r="P1476" s="11" t="str">
        <f aca="false">IF(H1476=0,"Low",IF(H1476&lt;=MarkdownP75,"Moderate","High"))</f>
        <v>Low</v>
      </c>
      <c r="Q1476" s="11" t="str">
        <f aca="false">IF(ISBLANK(L1476),"Unknown",IF(L1476&gt;=4,"Good",IF(L1476&lt;=2,"Poor","Neutral")))</f>
        <v>Unknown</v>
      </c>
      <c r="R1476" s="11" t="str">
        <f aca="false">IF(AND(O1476="Low",P1476="Low",Q1476="Good"),"BUY / PRIORITIZE",IF(AND(O1476="High",P1476="High",OR(Q1476="Poor",M1476=TRUE())),"HOLD / REVIEW","MONITOR"))</f>
        <v>MONITOR</v>
      </c>
      <c r="S1476" s="11" t="n">
        <f aca="false">K1476+(ROW()/10000000)</f>
        <v>13.0001476</v>
      </c>
    </row>
    <row r="1477" customFormat="false" ht="15" hidden="false" customHeight="false" outlineLevel="0" collapsed="false">
      <c r="A1477" s="11" t="s">
        <v>1799</v>
      </c>
      <c r="B1477" s="11" t="s">
        <v>8</v>
      </c>
      <c r="C1477" s="11" t="s">
        <v>95</v>
      </c>
      <c r="D1477" s="11" t="s">
        <v>37</v>
      </c>
      <c r="E1477" s="11"/>
      <c r="F1477" s="11" t="s">
        <v>118</v>
      </c>
      <c r="G1477" s="21" t="n">
        <v>61.16</v>
      </c>
      <c r="H1477" s="19" t="n">
        <v>0</v>
      </c>
      <c r="I1477" s="21" t="n">
        <v>61.16</v>
      </c>
      <c r="J1477" s="22" t="s">
        <v>80</v>
      </c>
      <c r="K1477" s="11" t="n">
        <v>28</v>
      </c>
      <c r="L1477" s="23" t="n">
        <v>2.3</v>
      </c>
      <c r="M1477" s="24" t="b">
        <f aca="false">FALSE()</f>
        <v>0</v>
      </c>
      <c r="N1477" s="11"/>
      <c r="O1477" s="11" t="str">
        <f aca="false">IF(K1477&lt;=StockP33,"Low",IF(K1477&lt;=StockP67,"Moderate","High"))</f>
        <v>Moderate</v>
      </c>
      <c r="P1477" s="11" t="str">
        <f aca="false">IF(H1477=0,"Low",IF(H1477&lt;=MarkdownP75,"Moderate","High"))</f>
        <v>Low</v>
      </c>
      <c r="Q1477" s="11" t="str">
        <f aca="false">IF(ISBLANK(L1477),"Unknown",IF(L1477&gt;=4,"Good",IF(L1477&lt;=2,"Poor","Neutral")))</f>
        <v>Neutral</v>
      </c>
      <c r="R1477" s="11" t="str">
        <f aca="false">IF(AND(O1477="Low",P1477="Low",Q1477="Good"),"BUY / PRIORITIZE",IF(AND(O1477="High",P1477="High",OR(Q1477="Poor",M1477=TRUE())),"HOLD / REVIEW","MONITOR"))</f>
        <v>MONITOR</v>
      </c>
      <c r="S1477" s="11" t="n">
        <f aca="false">K1477+(ROW()/10000000)</f>
        <v>28.0001477</v>
      </c>
    </row>
    <row r="1478" customFormat="false" ht="15" hidden="false" customHeight="false" outlineLevel="0" collapsed="false">
      <c r="A1478" s="11" t="s">
        <v>1800</v>
      </c>
      <c r="B1478" s="11" t="s">
        <v>29</v>
      </c>
      <c r="C1478" s="11" t="s">
        <v>130</v>
      </c>
      <c r="D1478" s="11" t="s">
        <v>37</v>
      </c>
      <c r="E1478" s="11" t="s">
        <v>73</v>
      </c>
      <c r="F1478" s="11" t="s">
        <v>98</v>
      </c>
      <c r="G1478" s="21" t="n">
        <v>168.85</v>
      </c>
      <c r="H1478" s="19" t="n">
        <v>35.3</v>
      </c>
      <c r="I1478" s="21" t="n">
        <v>109.25</v>
      </c>
      <c r="J1478" s="22" t="s">
        <v>80</v>
      </c>
      <c r="K1478" s="11" t="n">
        <v>10</v>
      </c>
      <c r="L1478" s="23" t="n">
        <v>3.3</v>
      </c>
      <c r="M1478" s="24" t="b">
        <f aca="false">FALSE()</f>
        <v>0</v>
      </c>
      <c r="N1478" s="11"/>
      <c r="O1478" s="11" t="str">
        <f aca="false">IF(K1478&lt;=StockP33,"Low",IF(K1478&lt;=StockP67,"Moderate","High"))</f>
        <v>Low</v>
      </c>
      <c r="P1478" s="11" t="str">
        <f aca="false">IF(H1478=0,"Low",IF(H1478&lt;=MarkdownP75,"Moderate","High"))</f>
        <v>High</v>
      </c>
      <c r="Q1478" s="11" t="str">
        <f aca="false">IF(ISBLANK(L1478),"Unknown",IF(L1478&gt;=4,"Good",IF(L1478&lt;=2,"Poor","Neutral")))</f>
        <v>Neutral</v>
      </c>
      <c r="R1478" s="11" t="str">
        <f aca="false">IF(AND(O1478="Low",P1478="Low",Q1478="Good"),"BUY / PRIORITIZE",IF(AND(O1478="High",P1478="High",OR(Q1478="Poor",M1478=TRUE())),"HOLD / REVIEW","MONITOR"))</f>
        <v>MONITOR</v>
      </c>
      <c r="S1478" s="11" t="n">
        <f aca="false">K1478+(ROW()/10000000)</f>
        <v>10.0001478</v>
      </c>
    </row>
    <row r="1479" customFormat="false" ht="15" hidden="false" customHeight="false" outlineLevel="0" collapsed="false">
      <c r="A1479" s="11" t="s">
        <v>1801</v>
      </c>
      <c r="B1479" s="11" t="s">
        <v>30</v>
      </c>
      <c r="C1479" s="11" t="s">
        <v>107</v>
      </c>
      <c r="D1479" s="11" t="s">
        <v>37</v>
      </c>
      <c r="E1479" s="11" t="s">
        <v>78</v>
      </c>
      <c r="F1479" s="11" t="s">
        <v>118</v>
      </c>
      <c r="G1479" s="21" t="n">
        <v>60.08</v>
      </c>
      <c r="H1479" s="19" t="n">
        <v>0</v>
      </c>
      <c r="I1479" s="21" t="n">
        <v>60.08</v>
      </c>
      <c r="J1479" s="22" t="s">
        <v>80</v>
      </c>
      <c r="K1479" s="11" t="n">
        <v>26</v>
      </c>
      <c r="L1479" s="23"/>
      <c r="M1479" s="24" t="b">
        <f aca="false">FALSE()</f>
        <v>0</v>
      </c>
      <c r="N1479" s="11"/>
      <c r="O1479" s="11" t="str">
        <f aca="false">IF(K1479&lt;=StockP33,"Low",IF(K1479&lt;=StockP67,"Moderate","High"))</f>
        <v>Moderate</v>
      </c>
      <c r="P1479" s="11" t="str">
        <f aca="false">IF(H1479=0,"Low",IF(H1479&lt;=MarkdownP75,"Moderate","High"))</f>
        <v>Low</v>
      </c>
      <c r="Q1479" s="11" t="str">
        <f aca="false">IF(ISBLANK(L1479),"Unknown",IF(L1479&gt;=4,"Good",IF(L1479&lt;=2,"Poor","Neutral")))</f>
        <v>Unknown</v>
      </c>
      <c r="R1479" s="11" t="str">
        <f aca="false">IF(AND(O1479="Low",P1479="Low",Q1479="Good"),"BUY / PRIORITIZE",IF(AND(O1479="High",P1479="High",OR(Q1479="Poor",M1479=TRUE())),"HOLD / REVIEW","MONITOR"))</f>
        <v>MONITOR</v>
      </c>
      <c r="S1479" s="11" t="n">
        <f aca="false">K1479+(ROW()/10000000)</f>
        <v>26.0001479</v>
      </c>
    </row>
    <row r="1480" customFormat="false" ht="15" hidden="false" customHeight="false" outlineLevel="0" collapsed="false">
      <c r="A1480" s="11" t="s">
        <v>1802</v>
      </c>
      <c r="B1480" s="11" t="s">
        <v>8</v>
      </c>
      <c r="C1480" s="11" t="s">
        <v>116</v>
      </c>
      <c r="D1480" s="11" t="s">
        <v>35</v>
      </c>
      <c r="E1480" s="11"/>
      <c r="F1480" s="11" t="s">
        <v>124</v>
      </c>
      <c r="G1480" s="21" t="n">
        <v>39.39</v>
      </c>
      <c r="H1480" s="19" t="n">
        <v>29.8</v>
      </c>
      <c r="I1480" s="21" t="n">
        <v>27.65</v>
      </c>
      <c r="J1480" s="22" t="s">
        <v>80</v>
      </c>
      <c r="K1480" s="11" t="n">
        <v>13</v>
      </c>
      <c r="L1480" s="23" t="n">
        <v>4.7</v>
      </c>
      <c r="M1480" s="24" t="b">
        <f aca="false">FALSE()</f>
        <v>0</v>
      </c>
      <c r="N1480" s="11"/>
      <c r="O1480" s="11" t="str">
        <f aca="false">IF(K1480&lt;=StockP33,"Low",IF(K1480&lt;=StockP67,"Moderate","High"))</f>
        <v>Low</v>
      </c>
      <c r="P1480" s="11" t="str">
        <f aca="false">IF(H1480=0,"Low",IF(H1480&lt;=MarkdownP75,"Moderate","High"))</f>
        <v>High</v>
      </c>
      <c r="Q1480" s="11" t="str">
        <f aca="false">IF(ISBLANK(L1480),"Unknown",IF(L1480&gt;=4,"Good",IF(L1480&lt;=2,"Poor","Neutral")))</f>
        <v>Good</v>
      </c>
      <c r="R1480" s="11" t="str">
        <f aca="false">IF(AND(O1480="Low",P1480="Low",Q1480="Good"),"BUY / PRIORITIZE",IF(AND(O1480="High",P1480="High",OR(Q1480="Poor",M1480=TRUE())),"HOLD / REVIEW","MONITOR"))</f>
        <v>MONITOR</v>
      </c>
      <c r="S1480" s="11" t="n">
        <f aca="false">K1480+(ROW()/10000000)</f>
        <v>13.000148</v>
      </c>
    </row>
    <row r="1481" customFormat="false" ht="15" hidden="false" customHeight="false" outlineLevel="0" collapsed="false">
      <c r="A1481" s="11" t="s">
        <v>1803</v>
      </c>
      <c r="B1481" s="11" t="s">
        <v>30</v>
      </c>
      <c r="C1481" s="11" t="s">
        <v>116</v>
      </c>
      <c r="D1481" s="11" t="s">
        <v>36</v>
      </c>
      <c r="E1481" s="11" t="s">
        <v>113</v>
      </c>
      <c r="F1481" s="11" t="s">
        <v>79</v>
      </c>
      <c r="G1481" s="21" t="n">
        <v>111.09</v>
      </c>
      <c r="H1481" s="19" t="n">
        <v>0</v>
      </c>
      <c r="I1481" s="21" t="n">
        <v>111.09</v>
      </c>
      <c r="J1481" s="22" t="s">
        <v>80</v>
      </c>
      <c r="K1481" s="11" t="n">
        <v>24</v>
      </c>
      <c r="L1481" s="23" t="n">
        <v>2.2</v>
      </c>
      <c r="M1481" s="24" t="b">
        <f aca="false">FALSE()</f>
        <v>0</v>
      </c>
      <c r="N1481" s="11"/>
      <c r="O1481" s="11" t="str">
        <f aca="false">IF(K1481&lt;=StockP33,"Low",IF(K1481&lt;=StockP67,"Moderate","High"))</f>
        <v>Moderate</v>
      </c>
      <c r="P1481" s="11" t="str">
        <f aca="false">IF(H1481=0,"Low",IF(H1481&lt;=MarkdownP75,"Moderate","High"))</f>
        <v>Low</v>
      </c>
      <c r="Q1481" s="11" t="str">
        <f aca="false">IF(ISBLANK(L1481),"Unknown",IF(L1481&gt;=4,"Good",IF(L1481&lt;=2,"Poor","Neutral")))</f>
        <v>Neutral</v>
      </c>
      <c r="R1481" s="11" t="str">
        <f aca="false">IF(AND(O1481="Low",P1481="Low",Q1481="Good"),"BUY / PRIORITIZE",IF(AND(O1481="High",P1481="High",OR(Q1481="Poor",M1481=TRUE())),"HOLD / REVIEW","MONITOR"))</f>
        <v>MONITOR</v>
      </c>
      <c r="S1481" s="11" t="n">
        <f aca="false">K1481+(ROW()/10000000)</f>
        <v>24.0001481</v>
      </c>
    </row>
    <row r="1482" customFormat="false" ht="15" hidden="false" customHeight="false" outlineLevel="0" collapsed="false">
      <c r="A1482" s="11" t="s">
        <v>1804</v>
      </c>
      <c r="B1482" s="11" t="s">
        <v>27</v>
      </c>
      <c r="C1482" s="11" t="s">
        <v>86</v>
      </c>
      <c r="D1482" s="11" t="s">
        <v>35</v>
      </c>
      <c r="E1482" s="11" t="s">
        <v>113</v>
      </c>
      <c r="F1482" s="11" t="s">
        <v>98</v>
      </c>
      <c r="G1482" s="21" t="n">
        <v>133.51</v>
      </c>
      <c r="H1482" s="19" t="n">
        <v>0</v>
      </c>
      <c r="I1482" s="21" t="n">
        <v>133.51</v>
      </c>
      <c r="J1482" s="22" t="s">
        <v>80</v>
      </c>
      <c r="K1482" s="11" t="n">
        <v>5</v>
      </c>
      <c r="L1482" s="23" t="n">
        <v>1.7</v>
      </c>
      <c r="M1482" s="24" t="b">
        <f aca="false">TRUE()</f>
        <v>1</v>
      </c>
      <c r="N1482" s="11" t="s">
        <v>140</v>
      </c>
      <c r="O1482" s="11" t="str">
        <f aca="false">IF(K1482&lt;=StockP33,"Low",IF(K1482&lt;=StockP67,"Moderate","High"))</f>
        <v>Low</v>
      </c>
      <c r="P1482" s="11" t="str">
        <f aca="false">IF(H1482=0,"Low",IF(H1482&lt;=MarkdownP75,"Moderate","High"))</f>
        <v>Low</v>
      </c>
      <c r="Q1482" s="11" t="str">
        <f aca="false">IF(ISBLANK(L1482),"Unknown",IF(L1482&gt;=4,"Good",IF(L1482&lt;=2,"Poor","Neutral")))</f>
        <v>Poor</v>
      </c>
      <c r="R1482" s="11" t="str">
        <f aca="false">IF(AND(O1482="Low",P1482="Low",Q1482="Good"),"BUY / PRIORITIZE",IF(AND(O1482="High",P1482="High",OR(Q1482="Poor",M1482=TRUE())),"HOLD / REVIEW","MONITOR"))</f>
        <v>MONITOR</v>
      </c>
      <c r="S1482" s="11" t="n">
        <f aca="false">K1482+(ROW()/10000000)</f>
        <v>5.0001482</v>
      </c>
    </row>
    <row r="1483" customFormat="false" ht="15" hidden="false" customHeight="false" outlineLevel="0" collapsed="false">
      <c r="A1483" s="11" t="s">
        <v>1805</v>
      </c>
      <c r="B1483" s="11" t="s">
        <v>27</v>
      </c>
      <c r="C1483" s="11" t="s">
        <v>130</v>
      </c>
      <c r="D1483" s="11" t="s">
        <v>35</v>
      </c>
      <c r="E1483" s="11" t="s">
        <v>110</v>
      </c>
      <c r="F1483" s="11" t="s">
        <v>79</v>
      </c>
      <c r="G1483" s="21" t="n">
        <v>158.9</v>
      </c>
      <c r="H1483" s="19" t="n">
        <v>43.5</v>
      </c>
      <c r="I1483" s="21" t="n">
        <v>89.78</v>
      </c>
      <c r="J1483" s="22" t="s">
        <v>80</v>
      </c>
      <c r="K1483" s="11" t="n">
        <v>46</v>
      </c>
      <c r="L1483" s="23"/>
      <c r="M1483" s="24" t="b">
        <f aca="false">FALSE()</f>
        <v>0</v>
      </c>
      <c r="N1483" s="11"/>
      <c r="O1483" s="11" t="str">
        <f aca="false">IF(K1483&lt;=StockP33,"Low",IF(K1483&lt;=StockP67,"Moderate","High"))</f>
        <v>High</v>
      </c>
      <c r="P1483" s="11" t="str">
        <f aca="false">IF(H1483=0,"Low",IF(H1483&lt;=MarkdownP75,"Moderate","High"))</f>
        <v>High</v>
      </c>
      <c r="Q1483" s="11" t="str">
        <f aca="false">IF(ISBLANK(L1483),"Unknown",IF(L1483&gt;=4,"Good",IF(L1483&lt;=2,"Poor","Neutral")))</f>
        <v>Unknown</v>
      </c>
      <c r="R1483" s="11" t="str">
        <f aca="false">IF(AND(O1483="Low",P1483="Low",Q1483="Good"),"BUY / PRIORITIZE",IF(AND(O1483="High",P1483="High",OR(Q1483="Poor",M1483=TRUE())),"HOLD / REVIEW","MONITOR"))</f>
        <v>MONITOR</v>
      </c>
      <c r="S1483" s="11" t="n">
        <f aca="false">K1483+(ROW()/10000000)</f>
        <v>46.0001483</v>
      </c>
    </row>
    <row r="1484" customFormat="false" ht="15" hidden="false" customHeight="false" outlineLevel="0" collapsed="false">
      <c r="A1484" s="11" t="s">
        <v>1806</v>
      </c>
      <c r="B1484" s="11" t="s">
        <v>30</v>
      </c>
      <c r="C1484" s="11" t="s">
        <v>116</v>
      </c>
      <c r="D1484" s="11" t="s">
        <v>34</v>
      </c>
      <c r="E1484" s="11" t="s">
        <v>110</v>
      </c>
      <c r="F1484" s="11" t="s">
        <v>124</v>
      </c>
      <c r="G1484" s="21" t="n">
        <v>65.27</v>
      </c>
      <c r="H1484" s="19" t="n">
        <v>19</v>
      </c>
      <c r="I1484" s="21" t="n">
        <v>52.87</v>
      </c>
      <c r="J1484" s="22" t="s">
        <v>1032</v>
      </c>
      <c r="K1484" s="11" t="n">
        <v>48</v>
      </c>
      <c r="L1484" s="23" t="n">
        <v>3</v>
      </c>
      <c r="M1484" s="24" t="b">
        <f aca="false">FALSE()</f>
        <v>0</v>
      </c>
      <c r="N1484" s="11"/>
      <c r="O1484" s="11" t="str">
        <f aca="false">IF(K1484&lt;=StockP33,"Low",IF(K1484&lt;=StockP67,"Moderate","High"))</f>
        <v>High</v>
      </c>
      <c r="P1484" s="11" t="str">
        <f aca="false">IF(H1484=0,"Low",IF(H1484&lt;=MarkdownP75,"Moderate","High"))</f>
        <v>Moderate</v>
      </c>
      <c r="Q1484" s="11" t="str">
        <f aca="false">IF(ISBLANK(L1484),"Unknown",IF(L1484&gt;=4,"Good",IF(L1484&lt;=2,"Poor","Neutral")))</f>
        <v>Neutral</v>
      </c>
      <c r="R1484" s="11" t="str">
        <f aca="false">IF(AND(O1484="Low",P1484="Low",Q1484="Good"),"BUY / PRIORITIZE",IF(AND(O1484="High",P1484="High",OR(Q1484="Poor",M1484=TRUE())),"HOLD / REVIEW","MONITOR"))</f>
        <v>MONITOR</v>
      </c>
      <c r="S1484" s="11" t="n">
        <f aca="false">K1484+(ROW()/10000000)</f>
        <v>48.0001484</v>
      </c>
    </row>
    <row r="1485" customFormat="false" ht="15" hidden="false" customHeight="false" outlineLevel="0" collapsed="false">
      <c r="A1485" s="11" t="s">
        <v>1807</v>
      </c>
      <c r="B1485" s="11" t="s">
        <v>8</v>
      </c>
      <c r="C1485" s="11" t="s">
        <v>72</v>
      </c>
      <c r="D1485" s="11" t="s">
        <v>36</v>
      </c>
      <c r="E1485" s="11"/>
      <c r="F1485" s="11" t="s">
        <v>98</v>
      </c>
      <c r="G1485" s="21" t="n">
        <v>72.37</v>
      </c>
      <c r="H1485" s="19" t="n">
        <v>0</v>
      </c>
      <c r="I1485" s="21" t="n">
        <v>72.37</v>
      </c>
      <c r="J1485" s="22" t="s">
        <v>80</v>
      </c>
      <c r="K1485" s="11" t="n">
        <v>24</v>
      </c>
      <c r="L1485" s="23" t="n">
        <v>2.9</v>
      </c>
      <c r="M1485" s="24" t="b">
        <f aca="false">FALSE()</f>
        <v>0</v>
      </c>
      <c r="N1485" s="11"/>
      <c r="O1485" s="11" t="str">
        <f aca="false">IF(K1485&lt;=StockP33,"Low",IF(K1485&lt;=StockP67,"Moderate","High"))</f>
        <v>Moderate</v>
      </c>
      <c r="P1485" s="11" t="str">
        <f aca="false">IF(H1485=0,"Low",IF(H1485&lt;=MarkdownP75,"Moderate","High"))</f>
        <v>Low</v>
      </c>
      <c r="Q1485" s="11" t="str">
        <f aca="false">IF(ISBLANK(L1485),"Unknown",IF(L1485&gt;=4,"Good",IF(L1485&lt;=2,"Poor","Neutral")))</f>
        <v>Neutral</v>
      </c>
      <c r="R1485" s="11" t="str">
        <f aca="false">IF(AND(O1485="Low",P1485="Low",Q1485="Good"),"BUY / PRIORITIZE",IF(AND(O1485="High",P1485="High",OR(Q1485="Poor",M1485=TRUE())),"HOLD / REVIEW","MONITOR"))</f>
        <v>MONITOR</v>
      </c>
      <c r="S1485" s="11" t="n">
        <f aca="false">K1485+(ROW()/10000000)</f>
        <v>24.0001485</v>
      </c>
    </row>
    <row r="1486" customFormat="false" ht="15" hidden="false" customHeight="false" outlineLevel="0" collapsed="false">
      <c r="A1486" s="11" t="s">
        <v>1808</v>
      </c>
      <c r="B1486" s="11" t="s">
        <v>27</v>
      </c>
      <c r="C1486" s="11" t="s">
        <v>86</v>
      </c>
      <c r="D1486" s="11" t="s">
        <v>36</v>
      </c>
      <c r="E1486" s="11" t="s">
        <v>73</v>
      </c>
      <c r="F1486" s="11" t="s">
        <v>88</v>
      </c>
      <c r="G1486" s="21" t="n">
        <v>133.88</v>
      </c>
      <c r="H1486" s="19" t="n">
        <v>21.5</v>
      </c>
      <c r="I1486" s="21" t="n">
        <v>105.1</v>
      </c>
      <c r="J1486" s="22" t="s">
        <v>80</v>
      </c>
      <c r="K1486" s="11" t="n">
        <v>42</v>
      </c>
      <c r="L1486" s="23" t="n">
        <v>3.1</v>
      </c>
      <c r="M1486" s="24" t="b">
        <f aca="false">FALSE()</f>
        <v>0</v>
      </c>
      <c r="N1486" s="11"/>
      <c r="O1486" s="11" t="str">
        <f aca="false">IF(K1486&lt;=StockP33,"Low",IF(K1486&lt;=StockP67,"Moderate","High"))</f>
        <v>High</v>
      </c>
      <c r="P1486" s="11" t="str">
        <f aca="false">IF(H1486=0,"Low",IF(H1486&lt;=MarkdownP75,"Moderate","High"))</f>
        <v>Moderate</v>
      </c>
      <c r="Q1486" s="11" t="str">
        <f aca="false">IF(ISBLANK(L1486),"Unknown",IF(L1486&gt;=4,"Good",IF(L1486&lt;=2,"Poor","Neutral")))</f>
        <v>Neutral</v>
      </c>
      <c r="R1486" s="11" t="str">
        <f aca="false">IF(AND(O1486="Low",P1486="Low",Q1486="Good"),"BUY / PRIORITIZE",IF(AND(O1486="High",P1486="High",OR(Q1486="Poor",M1486=TRUE())),"HOLD / REVIEW","MONITOR"))</f>
        <v>MONITOR</v>
      </c>
      <c r="S1486" s="11" t="n">
        <f aca="false">K1486+(ROW()/10000000)</f>
        <v>42.0001486</v>
      </c>
    </row>
    <row r="1487" customFormat="false" ht="15" hidden="false" customHeight="false" outlineLevel="0" collapsed="false">
      <c r="A1487" s="11" t="s">
        <v>1809</v>
      </c>
      <c r="B1487" s="11" t="s">
        <v>30</v>
      </c>
      <c r="C1487" s="11" t="s">
        <v>72</v>
      </c>
      <c r="D1487" s="11" t="s">
        <v>34</v>
      </c>
      <c r="E1487" s="11" t="s">
        <v>102</v>
      </c>
      <c r="F1487" s="11" t="s">
        <v>120</v>
      </c>
      <c r="G1487" s="21" t="n">
        <v>74.3</v>
      </c>
      <c r="H1487" s="19" t="n">
        <v>0</v>
      </c>
      <c r="I1487" s="21" t="n">
        <v>74.3</v>
      </c>
      <c r="J1487" s="22" t="s">
        <v>1810</v>
      </c>
      <c r="K1487" s="11" t="n">
        <v>24</v>
      </c>
      <c r="L1487" s="23" t="n">
        <v>4.4</v>
      </c>
      <c r="M1487" s="24" t="b">
        <f aca="false">FALSE()</f>
        <v>0</v>
      </c>
      <c r="N1487" s="11"/>
      <c r="O1487" s="11" t="str">
        <f aca="false">IF(K1487&lt;=StockP33,"Low",IF(K1487&lt;=StockP67,"Moderate","High"))</f>
        <v>Moderate</v>
      </c>
      <c r="P1487" s="11" t="str">
        <f aca="false">IF(H1487=0,"Low",IF(H1487&lt;=MarkdownP75,"Moderate","High"))</f>
        <v>Low</v>
      </c>
      <c r="Q1487" s="11" t="str">
        <f aca="false">IF(ISBLANK(L1487),"Unknown",IF(L1487&gt;=4,"Good",IF(L1487&lt;=2,"Poor","Neutral")))</f>
        <v>Good</v>
      </c>
      <c r="R1487" s="11" t="str">
        <f aca="false">IF(AND(O1487="Low",P1487="Low",Q1487="Good"),"BUY / PRIORITIZE",IF(AND(O1487="High",P1487="High",OR(Q1487="Poor",M1487=TRUE())),"HOLD / REVIEW","MONITOR"))</f>
        <v>MONITOR</v>
      </c>
      <c r="S1487" s="11" t="n">
        <f aca="false">K1487+(ROW()/10000000)</f>
        <v>24.0001487</v>
      </c>
    </row>
    <row r="1488" customFormat="false" ht="15" hidden="false" customHeight="false" outlineLevel="0" collapsed="false">
      <c r="A1488" s="11" t="s">
        <v>1811</v>
      </c>
      <c r="B1488" s="11" t="s">
        <v>29</v>
      </c>
      <c r="C1488" s="11" t="s">
        <v>86</v>
      </c>
      <c r="D1488" s="11" t="s">
        <v>35</v>
      </c>
      <c r="E1488" s="11" t="s">
        <v>73</v>
      </c>
      <c r="F1488" s="11" t="s">
        <v>111</v>
      </c>
      <c r="G1488" s="21" t="n">
        <v>192.74</v>
      </c>
      <c r="H1488" s="19" t="n">
        <v>47.5</v>
      </c>
      <c r="I1488" s="21" t="n">
        <v>101.19</v>
      </c>
      <c r="J1488" s="22" t="s">
        <v>80</v>
      </c>
      <c r="K1488" s="11" t="n">
        <v>40</v>
      </c>
      <c r="L1488" s="23" t="n">
        <v>2.8</v>
      </c>
      <c r="M1488" s="24" t="b">
        <f aca="false">FALSE()</f>
        <v>0</v>
      </c>
      <c r="N1488" s="11"/>
      <c r="O1488" s="11" t="str">
        <f aca="false">IF(K1488&lt;=StockP33,"Low",IF(K1488&lt;=StockP67,"Moderate","High"))</f>
        <v>High</v>
      </c>
      <c r="P1488" s="11" t="str">
        <f aca="false">IF(H1488=0,"Low",IF(H1488&lt;=MarkdownP75,"Moderate","High"))</f>
        <v>High</v>
      </c>
      <c r="Q1488" s="11" t="str">
        <f aca="false">IF(ISBLANK(L1488),"Unknown",IF(L1488&gt;=4,"Good",IF(L1488&lt;=2,"Poor","Neutral")))</f>
        <v>Neutral</v>
      </c>
      <c r="R1488" s="11" t="str">
        <f aca="false">IF(AND(O1488="Low",P1488="Low",Q1488="Good"),"BUY / PRIORITIZE",IF(AND(O1488="High",P1488="High",OR(Q1488="Poor",M1488=TRUE())),"HOLD / REVIEW","MONITOR"))</f>
        <v>MONITOR</v>
      </c>
      <c r="S1488" s="11" t="n">
        <f aca="false">K1488+(ROW()/10000000)</f>
        <v>40.0001488</v>
      </c>
    </row>
    <row r="1489" customFormat="false" ht="15" hidden="false" customHeight="false" outlineLevel="0" collapsed="false">
      <c r="A1489" s="11" t="s">
        <v>1812</v>
      </c>
      <c r="B1489" s="11" t="s">
        <v>8</v>
      </c>
      <c r="C1489" s="11" t="s">
        <v>77</v>
      </c>
      <c r="D1489" s="11" t="s">
        <v>35</v>
      </c>
      <c r="E1489" s="11"/>
      <c r="F1489" s="11" t="s">
        <v>74</v>
      </c>
      <c r="G1489" s="21" t="n">
        <v>79.02</v>
      </c>
      <c r="H1489" s="19" t="n">
        <v>2.5</v>
      </c>
      <c r="I1489" s="21" t="n">
        <v>77.04</v>
      </c>
      <c r="J1489" s="22" t="s">
        <v>80</v>
      </c>
      <c r="K1489" s="11" t="n">
        <v>16</v>
      </c>
      <c r="L1489" s="23" t="n">
        <v>2.8</v>
      </c>
      <c r="M1489" s="24" t="b">
        <f aca="false">FALSE()</f>
        <v>0</v>
      </c>
      <c r="N1489" s="11"/>
      <c r="O1489" s="11" t="str">
        <f aca="false">IF(K1489&lt;=StockP33,"Low",IF(K1489&lt;=StockP67,"Moderate","High"))</f>
        <v>Low</v>
      </c>
      <c r="P1489" s="11" t="str">
        <f aca="false">IF(H1489=0,"Low",IF(H1489&lt;=MarkdownP75,"Moderate","High"))</f>
        <v>Moderate</v>
      </c>
      <c r="Q1489" s="11" t="str">
        <f aca="false">IF(ISBLANK(L1489),"Unknown",IF(L1489&gt;=4,"Good",IF(L1489&lt;=2,"Poor","Neutral")))</f>
        <v>Neutral</v>
      </c>
      <c r="R1489" s="11" t="str">
        <f aca="false">IF(AND(O1489="Low",P1489="Low",Q1489="Good"),"BUY / PRIORITIZE",IF(AND(O1489="High",P1489="High",OR(Q1489="Poor",M1489=TRUE())),"HOLD / REVIEW","MONITOR"))</f>
        <v>MONITOR</v>
      </c>
      <c r="S1489" s="11" t="n">
        <f aca="false">K1489+(ROW()/10000000)</f>
        <v>16.0001489</v>
      </c>
    </row>
    <row r="1490" customFormat="false" ht="15" hidden="false" customHeight="false" outlineLevel="0" collapsed="false">
      <c r="A1490" s="11" t="s">
        <v>1813</v>
      </c>
      <c r="B1490" s="11" t="s">
        <v>29</v>
      </c>
      <c r="C1490" s="11" t="s">
        <v>72</v>
      </c>
      <c r="D1490" s="11" t="s">
        <v>37</v>
      </c>
      <c r="E1490" s="11" t="s">
        <v>91</v>
      </c>
      <c r="F1490" s="11" t="s">
        <v>88</v>
      </c>
      <c r="G1490" s="21" t="n">
        <v>158.29</v>
      </c>
      <c r="H1490" s="19" t="n">
        <v>0</v>
      </c>
      <c r="I1490" s="21" t="n">
        <v>158.29</v>
      </c>
      <c r="J1490" s="22" t="s">
        <v>80</v>
      </c>
      <c r="K1490" s="11" t="n">
        <v>5</v>
      </c>
      <c r="L1490" s="23" t="n">
        <v>1.6</v>
      </c>
      <c r="M1490" s="24" t="b">
        <f aca="false">FALSE()</f>
        <v>0</v>
      </c>
      <c r="N1490" s="11"/>
      <c r="O1490" s="11" t="str">
        <f aca="false">IF(K1490&lt;=StockP33,"Low",IF(K1490&lt;=StockP67,"Moderate","High"))</f>
        <v>Low</v>
      </c>
      <c r="P1490" s="11" t="str">
        <f aca="false">IF(H1490=0,"Low",IF(H1490&lt;=MarkdownP75,"Moderate","High"))</f>
        <v>Low</v>
      </c>
      <c r="Q1490" s="11" t="str">
        <f aca="false">IF(ISBLANK(L1490),"Unknown",IF(L1490&gt;=4,"Good",IF(L1490&lt;=2,"Poor","Neutral")))</f>
        <v>Poor</v>
      </c>
      <c r="R1490" s="11" t="str">
        <f aca="false">IF(AND(O1490="Low",P1490="Low",Q1490="Good"),"BUY / PRIORITIZE",IF(AND(O1490="High",P1490="High",OR(Q1490="Poor",M1490=TRUE())),"HOLD / REVIEW","MONITOR"))</f>
        <v>MONITOR</v>
      </c>
      <c r="S1490" s="11" t="n">
        <f aca="false">K1490+(ROW()/10000000)</f>
        <v>5.000149</v>
      </c>
    </row>
    <row r="1491" customFormat="false" ht="15" hidden="false" customHeight="false" outlineLevel="0" collapsed="false">
      <c r="A1491" s="11" t="s">
        <v>1814</v>
      </c>
      <c r="B1491" s="11" t="s">
        <v>30</v>
      </c>
      <c r="C1491" s="11" t="s">
        <v>107</v>
      </c>
      <c r="D1491" s="11" t="s">
        <v>37</v>
      </c>
      <c r="E1491" s="11" t="s">
        <v>78</v>
      </c>
      <c r="F1491" s="11" t="s">
        <v>88</v>
      </c>
      <c r="G1491" s="21" t="n">
        <v>69.33</v>
      </c>
      <c r="H1491" s="19" t="n">
        <v>0</v>
      </c>
      <c r="I1491" s="21" t="n">
        <v>69.33</v>
      </c>
      <c r="J1491" s="22" t="s">
        <v>80</v>
      </c>
      <c r="K1491" s="11" t="n">
        <v>26</v>
      </c>
      <c r="L1491" s="23" t="n">
        <v>4.9</v>
      </c>
      <c r="M1491" s="24" t="b">
        <f aca="false">FALSE()</f>
        <v>0</v>
      </c>
      <c r="N1491" s="11"/>
      <c r="O1491" s="11" t="str">
        <f aca="false">IF(K1491&lt;=StockP33,"Low",IF(K1491&lt;=StockP67,"Moderate","High"))</f>
        <v>Moderate</v>
      </c>
      <c r="P1491" s="11" t="str">
        <f aca="false">IF(H1491=0,"Low",IF(H1491&lt;=MarkdownP75,"Moderate","High"))</f>
        <v>Low</v>
      </c>
      <c r="Q1491" s="11" t="str">
        <f aca="false">IF(ISBLANK(L1491),"Unknown",IF(L1491&gt;=4,"Good",IF(L1491&lt;=2,"Poor","Neutral")))</f>
        <v>Good</v>
      </c>
      <c r="R1491" s="11" t="str">
        <f aca="false">IF(AND(O1491="Low",P1491="Low",Q1491="Good"),"BUY / PRIORITIZE",IF(AND(O1491="High",P1491="High",OR(Q1491="Poor",M1491=TRUE())),"HOLD / REVIEW","MONITOR"))</f>
        <v>MONITOR</v>
      </c>
      <c r="S1491" s="11" t="n">
        <f aca="false">K1491+(ROW()/10000000)</f>
        <v>26.0001491</v>
      </c>
    </row>
    <row r="1492" customFormat="false" ht="15" hidden="false" customHeight="false" outlineLevel="0" collapsed="false">
      <c r="A1492" s="11" t="s">
        <v>1815</v>
      </c>
      <c r="B1492" s="11" t="s">
        <v>29</v>
      </c>
      <c r="C1492" s="11" t="s">
        <v>116</v>
      </c>
      <c r="D1492" s="11" t="s">
        <v>37</v>
      </c>
      <c r="E1492" s="11" t="s">
        <v>110</v>
      </c>
      <c r="F1492" s="11" t="s">
        <v>124</v>
      </c>
      <c r="G1492" s="21" t="n">
        <v>86.89</v>
      </c>
      <c r="H1492" s="19" t="n">
        <v>19.5</v>
      </c>
      <c r="I1492" s="21" t="n">
        <v>69.95</v>
      </c>
      <c r="J1492" s="22" t="s">
        <v>80</v>
      </c>
      <c r="K1492" s="11" t="n">
        <v>49</v>
      </c>
      <c r="L1492" s="23" t="n">
        <v>1.3</v>
      </c>
      <c r="M1492" s="24" t="b">
        <f aca="false">FALSE()</f>
        <v>0</v>
      </c>
      <c r="N1492" s="11"/>
      <c r="O1492" s="11" t="str">
        <f aca="false">IF(K1492&lt;=StockP33,"Low",IF(K1492&lt;=StockP67,"Moderate","High"))</f>
        <v>High</v>
      </c>
      <c r="P1492" s="11" t="str">
        <f aca="false">IF(H1492=0,"Low",IF(H1492&lt;=MarkdownP75,"Moderate","High"))</f>
        <v>Moderate</v>
      </c>
      <c r="Q1492" s="11" t="str">
        <f aca="false">IF(ISBLANK(L1492),"Unknown",IF(L1492&gt;=4,"Good",IF(L1492&lt;=2,"Poor","Neutral")))</f>
        <v>Poor</v>
      </c>
      <c r="R1492" s="11" t="str">
        <f aca="false">IF(AND(O1492="Low",P1492="Low",Q1492="Good"),"BUY / PRIORITIZE",IF(AND(O1492="High",P1492="High",OR(Q1492="Poor",M1492=TRUE())),"HOLD / REVIEW","MONITOR"))</f>
        <v>MONITOR</v>
      </c>
      <c r="S1492" s="11" t="n">
        <f aca="false">K1492+(ROW()/10000000)</f>
        <v>49.0001492</v>
      </c>
    </row>
    <row r="1493" customFormat="false" ht="15" hidden="false" customHeight="false" outlineLevel="0" collapsed="false">
      <c r="A1493" s="11" t="s">
        <v>1816</v>
      </c>
      <c r="B1493" s="11" t="s">
        <v>28</v>
      </c>
      <c r="C1493" s="11" t="s">
        <v>77</v>
      </c>
      <c r="D1493" s="11" t="s">
        <v>36</v>
      </c>
      <c r="E1493" s="11" t="s">
        <v>78</v>
      </c>
      <c r="F1493" s="11" t="s">
        <v>98</v>
      </c>
      <c r="G1493" s="21" t="n">
        <v>162.75</v>
      </c>
      <c r="H1493" s="19" t="n">
        <v>0</v>
      </c>
      <c r="I1493" s="21" t="n">
        <v>162.75</v>
      </c>
      <c r="J1493" s="22" t="s">
        <v>80</v>
      </c>
      <c r="K1493" s="11" t="n">
        <v>13</v>
      </c>
      <c r="L1493" s="23" t="n">
        <v>4.8</v>
      </c>
      <c r="M1493" s="24" t="b">
        <f aca="false">FALSE()</f>
        <v>0</v>
      </c>
      <c r="N1493" s="11"/>
      <c r="O1493" s="11" t="str">
        <f aca="false">IF(K1493&lt;=StockP33,"Low",IF(K1493&lt;=StockP67,"Moderate","High"))</f>
        <v>Low</v>
      </c>
      <c r="P1493" s="11" t="str">
        <f aca="false">IF(H1493=0,"Low",IF(H1493&lt;=MarkdownP75,"Moderate","High"))</f>
        <v>Low</v>
      </c>
      <c r="Q1493" s="11" t="str">
        <f aca="false">IF(ISBLANK(L1493),"Unknown",IF(L1493&gt;=4,"Good",IF(L1493&lt;=2,"Poor","Neutral")))</f>
        <v>Good</v>
      </c>
      <c r="R1493" s="11" t="str">
        <f aca="false">IF(AND(O1493="Low",P1493="Low",Q1493="Good"),"BUY / PRIORITIZE",IF(AND(O1493="High",P1493="High",OR(Q1493="Poor",M1493=TRUE())),"HOLD / REVIEW","MONITOR"))</f>
        <v>BUY / PRIORITIZE</v>
      </c>
      <c r="S1493" s="11" t="n">
        <f aca="false">K1493+(ROW()/10000000)</f>
        <v>13.0001493</v>
      </c>
    </row>
    <row r="1494" customFormat="false" ht="15" hidden="false" customHeight="false" outlineLevel="0" collapsed="false">
      <c r="A1494" s="11" t="s">
        <v>1817</v>
      </c>
      <c r="B1494" s="11" t="s">
        <v>29</v>
      </c>
      <c r="C1494" s="11" t="s">
        <v>101</v>
      </c>
      <c r="D1494" s="11" t="s">
        <v>35</v>
      </c>
      <c r="E1494" s="11" t="s">
        <v>113</v>
      </c>
      <c r="F1494" s="11" t="s">
        <v>96</v>
      </c>
      <c r="G1494" s="21" t="n">
        <v>70.28</v>
      </c>
      <c r="H1494" s="19" t="n">
        <v>0</v>
      </c>
      <c r="I1494" s="21" t="n">
        <v>70.28</v>
      </c>
      <c r="J1494" s="22" t="s">
        <v>80</v>
      </c>
      <c r="K1494" s="11" t="n">
        <v>27</v>
      </c>
      <c r="L1494" s="23" t="n">
        <v>4.7</v>
      </c>
      <c r="M1494" s="24" t="b">
        <f aca="false">FALSE()</f>
        <v>0</v>
      </c>
      <c r="N1494" s="11"/>
      <c r="O1494" s="11" t="str">
        <f aca="false">IF(K1494&lt;=StockP33,"Low",IF(K1494&lt;=StockP67,"Moderate","High"))</f>
        <v>Moderate</v>
      </c>
      <c r="P1494" s="11" t="str">
        <f aca="false">IF(H1494=0,"Low",IF(H1494&lt;=MarkdownP75,"Moderate","High"))</f>
        <v>Low</v>
      </c>
      <c r="Q1494" s="11" t="str">
        <f aca="false">IF(ISBLANK(L1494),"Unknown",IF(L1494&gt;=4,"Good",IF(L1494&lt;=2,"Poor","Neutral")))</f>
        <v>Good</v>
      </c>
      <c r="R1494" s="11" t="str">
        <f aca="false">IF(AND(O1494="Low",P1494="Low",Q1494="Good"),"BUY / PRIORITIZE",IF(AND(O1494="High",P1494="High",OR(Q1494="Poor",M1494=TRUE())),"HOLD / REVIEW","MONITOR"))</f>
        <v>MONITOR</v>
      </c>
      <c r="S1494" s="11" t="n">
        <f aca="false">K1494+(ROW()/10000000)</f>
        <v>27.0001494</v>
      </c>
    </row>
    <row r="1495" customFormat="false" ht="15" hidden="false" customHeight="false" outlineLevel="0" collapsed="false">
      <c r="A1495" s="11" t="s">
        <v>1818</v>
      </c>
      <c r="B1495" s="11" t="s">
        <v>26</v>
      </c>
      <c r="C1495" s="11" t="s">
        <v>95</v>
      </c>
      <c r="D1495" s="11" t="s">
        <v>34</v>
      </c>
      <c r="E1495" s="11" t="s">
        <v>91</v>
      </c>
      <c r="F1495" s="11" t="s">
        <v>88</v>
      </c>
      <c r="G1495" s="21" t="n">
        <v>111.91</v>
      </c>
      <c r="H1495" s="19" t="n">
        <v>0</v>
      </c>
      <c r="I1495" s="21" t="n">
        <v>111.91</v>
      </c>
      <c r="J1495" s="22" t="s">
        <v>749</v>
      </c>
      <c r="K1495" s="11" t="n">
        <v>28</v>
      </c>
      <c r="L1495" s="23" t="n">
        <v>1.8</v>
      </c>
      <c r="M1495" s="24" t="b">
        <f aca="false">FALSE()</f>
        <v>0</v>
      </c>
      <c r="N1495" s="11"/>
      <c r="O1495" s="11" t="str">
        <f aca="false">IF(K1495&lt;=StockP33,"Low",IF(K1495&lt;=StockP67,"Moderate","High"))</f>
        <v>Moderate</v>
      </c>
      <c r="P1495" s="11" t="str">
        <f aca="false">IF(H1495=0,"Low",IF(H1495&lt;=MarkdownP75,"Moderate","High"))</f>
        <v>Low</v>
      </c>
      <c r="Q1495" s="11" t="str">
        <f aca="false">IF(ISBLANK(L1495),"Unknown",IF(L1495&gt;=4,"Good",IF(L1495&lt;=2,"Poor","Neutral")))</f>
        <v>Poor</v>
      </c>
      <c r="R1495" s="11" t="str">
        <f aca="false">IF(AND(O1495="Low",P1495="Low",Q1495="Good"),"BUY / PRIORITIZE",IF(AND(O1495="High",P1495="High",OR(Q1495="Poor",M1495=TRUE())),"HOLD / REVIEW","MONITOR"))</f>
        <v>MONITOR</v>
      </c>
      <c r="S1495" s="11" t="n">
        <f aca="false">K1495+(ROW()/10000000)</f>
        <v>28.0001495</v>
      </c>
    </row>
    <row r="1496" customFormat="false" ht="15" hidden="false" customHeight="false" outlineLevel="0" collapsed="false">
      <c r="A1496" s="11" t="s">
        <v>1819</v>
      </c>
      <c r="B1496" s="11" t="s">
        <v>28</v>
      </c>
      <c r="C1496" s="11" t="s">
        <v>107</v>
      </c>
      <c r="D1496" s="11" t="s">
        <v>36</v>
      </c>
      <c r="E1496" s="11" t="s">
        <v>91</v>
      </c>
      <c r="F1496" s="11" t="s">
        <v>120</v>
      </c>
      <c r="G1496" s="21" t="n">
        <v>143.76</v>
      </c>
      <c r="H1496" s="19" t="n">
        <v>0</v>
      </c>
      <c r="I1496" s="21" t="n">
        <v>143.76</v>
      </c>
      <c r="J1496" s="22" t="s">
        <v>80</v>
      </c>
      <c r="K1496" s="11" t="n">
        <v>7</v>
      </c>
      <c r="L1496" s="23" t="n">
        <v>2</v>
      </c>
      <c r="M1496" s="24" t="b">
        <f aca="false">FALSE()</f>
        <v>0</v>
      </c>
      <c r="N1496" s="11"/>
      <c r="O1496" s="11" t="str">
        <f aca="false">IF(K1496&lt;=StockP33,"Low",IF(K1496&lt;=StockP67,"Moderate","High"))</f>
        <v>Low</v>
      </c>
      <c r="P1496" s="11" t="str">
        <f aca="false">IF(H1496=0,"Low",IF(H1496&lt;=MarkdownP75,"Moderate","High"))</f>
        <v>Low</v>
      </c>
      <c r="Q1496" s="11" t="str">
        <f aca="false">IF(ISBLANK(L1496),"Unknown",IF(L1496&gt;=4,"Good",IF(L1496&lt;=2,"Poor","Neutral")))</f>
        <v>Poor</v>
      </c>
      <c r="R1496" s="11" t="str">
        <f aca="false">IF(AND(O1496="Low",P1496="Low",Q1496="Good"),"BUY / PRIORITIZE",IF(AND(O1496="High",P1496="High",OR(Q1496="Poor",M1496=TRUE())),"HOLD / REVIEW","MONITOR"))</f>
        <v>MONITOR</v>
      </c>
      <c r="S1496" s="11" t="n">
        <f aca="false">K1496+(ROW()/10000000)</f>
        <v>7.0001496</v>
      </c>
    </row>
    <row r="1497" customFormat="false" ht="15" hidden="false" customHeight="false" outlineLevel="0" collapsed="false">
      <c r="A1497" s="11" t="s">
        <v>1820</v>
      </c>
      <c r="B1497" s="11" t="s">
        <v>27</v>
      </c>
      <c r="C1497" s="11" t="s">
        <v>101</v>
      </c>
      <c r="D1497" s="11" t="s">
        <v>35</v>
      </c>
      <c r="E1497" s="11" t="s">
        <v>91</v>
      </c>
      <c r="F1497" s="11" t="s">
        <v>120</v>
      </c>
      <c r="G1497" s="21" t="n">
        <v>169.89</v>
      </c>
      <c r="H1497" s="19" t="n">
        <v>0</v>
      </c>
      <c r="I1497" s="21" t="n">
        <v>169.89</v>
      </c>
      <c r="J1497" s="22" t="s">
        <v>80</v>
      </c>
      <c r="K1497" s="11" t="n">
        <v>17</v>
      </c>
      <c r="L1497" s="23" t="n">
        <v>1.3</v>
      </c>
      <c r="M1497" s="24" t="b">
        <f aca="false">FALSE()</f>
        <v>0</v>
      </c>
      <c r="N1497" s="11"/>
      <c r="O1497" s="11" t="str">
        <f aca="false">IF(K1497&lt;=StockP33,"Low",IF(K1497&lt;=StockP67,"Moderate","High"))</f>
        <v>Low</v>
      </c>
      <c r="P1497" s="11" t="str">
        <f aca="false">IF(H1497=0,"Low",IF(H1497&lt;=MarkdownP75,"Moderate","High"))</f>
        <v>Low</v>
      </c>
      <c r="Q1497" s="11" t="str">
        <f aca="false">IF(ISBLANK(L1497),"Unknown",IF(L1497&gt;=4,"Good",IF(L1497&lt;=2,"Poor","Neutral")))</f>
        <v>Poor</v>
      </c>
      <c r="R1497" s="11" t="str">
        <f aca="false">IF(AND(O1497="Low",P1497="Low",Q1497="Good"),"BUY / PRIORITIZE",IF(AND(O1497="High",P1497="High",OR(Q1497="Poor",M1497=TRUE())),"HOLD / REVIEW","MONITOR"))</f>
        <v>MONITOR</v>
      </c>
      <c r="S1497" s="11" t="n">
        <f aca="false">K1497+(ROW()/10000000)</f>
        <v>17.0001497</v>
      </c>
    </row>
    <row r="1498" customFormat="false" ht="15" hidden="false" customHeight="false" outlineLevel="0" collapsed="false">
      <c r="A1498" s="11" t="s">
        <v>1821</v>
      </c>
      <c r="B1498" s="11" t="s">
        <v>29</v>
      </c>
      <c r="C1498" s="11" t="s">
        <v>72</v>
      </c>
      <c r="D1498" s="11" t="s">
        <v>37</v>
      </c>
      <c r="E1498" s="11" t="s">
        <v>73</v>
      </c>
      <c r="F1498" s="11" t="s">
        <v>88</v>
      </c>
      <c r="G1498" s="21" t="n">
        <v>72.29</v>
      </c>
      <c r="H1498" s="19" t="n">
        <v>0</v>
      </c>
      <c r="I1498" s="21" t="n">
        <v>72.29</v>
      </c>
      <c r="J1498" s="22" t="s">
        <v>80</v>
      </c>
      <c r="K1498" s="11" t="n">
        <v>0</v>
      </c>
      <c r="L1498" s="23"/>
      <c r="M1498" s="24" t="b">
        <f aca="false">FALSE()</f>
        <v>0</v>
      </c>
      <c r="N1498" s="11"/>
      <c r="O1498" s="11" t="str">
        <f aca="false">IF(K1498&lt;=StockP33,"Low",IF(K1498&lt;=StockP67,"Moderate","High"))</f>
        <v>Low</v>
      </c>
      <c r="P1498" s="11" t="str">
        <f aca="false">IF(H1498=0,"Low",IF(H1498&lt;=MarkdownP75,"Moderate","High"))</f>
        <v>Low</v>
      </c>
      <c r="Q1498" s="11" t="str">
        <f aca="false">IF(ISBLANK(L1498),"Unknown",IF(L1498&gt;=4,"Good",IF(L1498&lt;=2,"Poor","Neutral")))</f>
        <v>Unknown</v>
      </c>
      <c r="R1498" s="11" t="str">
        <f aca="false">IF(AND(O1498="Low",P1498="Low",Q1498="Good"),"BUY / PRIORITIZE",IF(AND(O1498="High",P1498="High",OR(Q1498="Poor",M1498=TRUE())),"HOLD / REVIEW","MONITOR"))</f>
        <v>MONITOR</v>
      </c>
      <c r="S1498" s="11" t="n">
        <f aca="false">K1498+(ROW()/10000000)</f>
        <v>0.0001498</v>
      </c>
    </row>
    <row r="1499" customFormat="false" ht="15" hidden="false" customHeight="false" outlineLevel="0" collapsed="false">
      <c r="A1499" s="11" t="s">
        <v>1822</v>
      </c>
      <c r="B1499" s="11" t="s">
        <v>28</v>
      </c>
      <c r="C1499" s="11" t="s">
        <v>130</v>
      </c>
      <c r="D1499" s="11" t="s">
        <v>37</v>
      </c>
      <c r="E1499" s="11" t="s">
        <v>110</v>
      </c>
      <c r="F1499" s="11" t="s">
        <v>120</v>
      </c>
      <c r="G1499" s="21" t="n">
        <v>136.2</v>
      </c>
      <c r="H1499" s="19" t="n">
        <v>10.2</v>
      </c>
      <c r="I1499" s="21" t="n">
        <v>122.31</v>
      </c>
      <c r="J1499" s="22" t="s">
        <v>80</v>
      </c>
      <c r="K1499" s="11" t="n">
        <v>10</v>
      </c>
      <c r="L1499" s="23" t="n">
        <v>3.6</v>
      </c>
      <c r="M1499" s="24" t="b">
        <f aca="false">FALSE()</f>
        <v>0</v>
      </c>
      <c r="N1499" s="11"/>
      <c r="O1499" s="11" t="str">
        <f aca="false">IF(K1499&lt;=StockP33,"Low",IF(K1499&lt;=StockP67,"Moderate","High"))</f>
        <v>Low</v>
      </c>
      <c r="P1499" s="11" t="str">
        <f aca="false">IF(H1499=0,"Low",IF(H1499&lt;=MarkdownP75,"Moderate","High"))</f>
        <v>Moderate</v>
      </c>
      <c r="Q1499" s="11" t="str">
        <f aca="false">IF(ISBLANK(L1499),"Unknown",IF(L1499&gt;=4,"Good",IF(L1499&lt;=2,"Poor","Neutral")))</f>
        <v>Neutral</v>
      </c>
      <c r="R1499" s="11" t="str">
        <f aca="false">IF(AND(O1499="Low",P1499="Low",Q1499="Good"),"BUY / PRIORITIZE",IF(AND(O1499="High",P1499="High",OR(Q1499="Poor",M1499=TRUE())),"HOLD / REVIEW","MONITOR"))</f>
        <v>MONITOR</v>
      </c>
      <c r="S1499" s="11" t="n">
        <f aca="false">K1499+(ROW()/10000000)</f>
        <v>10.0001499</v>
      </c>
    </row>
    <row r="1500" customFormat="false" ht="15" hidden="false" customHeight="false" outlineLevel="0" collapsed="false">
      <c r="A1500" s="11" t="s">
        <v>1823</v>
      </c>
      <c r="B1500" s="11" t="s">
        <v>30</v>
      </c>
      <c r="C1500" s="11" t="s">
        <v>130</v>
      </c>
      <c r="D1500" s="11" t="s">
        <v>35</v>
      </c>
      <c r="E1500" s="11" t="s">
        <v>91</v>
      </c>
      <c r="F1500" s="11" t="s">
        <v>74</v>
      </c>
      <c r="G1500" s="21" t="n">
        <v>92.5</v>
      </c>
      <c r="H1500" s="19" t="n">
        <v>0</v>
      </c>
      <c r="I1500" s="21" t="n">
        <v>92.5</v>
      </c>
      <c r="J1500" s="22" t="s">
        <v>80</v>
      </c>
      <c r="K1500" s="11" t="n">
        <v>15</v>
      </c>
      <c r="L1500" s="23" t="n">
        <v>2.7</v>
      </c>
      <c r="M1500" s="24" t="b">
        <f aca="false">FALSE()</f>
        <v>0</v>
      </c>
      <c r="N1500" s="11"/>
      <c r="O1500" s="11" t="str">
        <f aca="false">IF(K1500&lt;=StockP33,"Low",IF(K1500&lt;=StockP67,"Moderate","High"))</f>
        <v>Low</v>
      </c>
      <c r="P1500" s="11" t="str">
        <f aca="false">IF(H1500=0,"Low",IF(H1500&lt;=MarkdownP75,"Moderate","High"))</f>
        <v>Low</v>
      </c>
      <c r="Q1500" s="11" t="str">
        <f aca="false">IF(ISBLANK(L1500),"Unknown",IF(L1500&gt;=4,"Good",IF(L1500&lt;=2,"Poor","Neutral")))</f>
        <v>Neutral</v>
      </c>
      <c r="R1500" s="11" t="str">
        <f aca="false">IF(AND(O1500="Low",P1500="Low",Q1500="Good"),"BUY / PRIORITIZE",IF(AND(O1500="High",P1500="High",OR(Q1500="Poor",M1500=TRUE())),"HOLD / REVIEW","MONITOR"))</f>
        <v>MONITOR</v>
      </c>
      <c r="S1500" s="11" t="n">
        <f aca="false">K1500+(ROW()/10000000)</f>
        <v>15.00015</v>
      </c>
    </row>
    <row r="1501" customFormat="false" ht="15" hidden="false" customHeight="false" outlineLevel="0" collapsed="false">
      <c r="A1501" s="11" t="s">
        <v>1824</v>
      </c>
      <c r="B1501" s="11" t="s">
        <v>29</v>
      </c>
      <c r="C1501" s="11" t="s">
        <v>86</v>
      </c>
      <c r="D1501" s="11" t="s">
        <v>37</v>
      </c>
      <c r="E1501" s="11" t="s">
        <v>78</v>
      </c>
      <c r="F1501" s="11" t="s">
        <v>120</v>
      </c>
      <c r="G1501" s="21" t="n">
        <v>89.5</v>
      </c>
      <c r="H1501" s="19" t="n">
        <v>0</v>
      </c>
      <c r="I1501" s="21" t="n">
        <v>89.5</v>
      </c>
      <c r="J1501" s="22" t="s">
        <v>80</v>
      </c>
      <c r="K1501" s="11" t="n">
        <v>5</v>
      </c>
      <c r="L1501" s="23" t="n">
        <v>4.5</v>
      </c>
      <c r="M1501" s="24" t="b">
        <f aca="false">FALSE()</f>
        <v>0</v>
      </c>
      <c r="N1501" s="11"/>
      <c r="O1501" s="11" t="str">
        <f aca="false">IF(K1501&lt;=StockP33,"Low",IF(K1501&lt;=StockP67,"Moderate","High"))</f>
        <v>Low</v>
      </c>
      <c r="P1501" s="11" t="str">
        <f aca="false">IF(H1501=0,"Low",IF(H1501&lt;=MarkdownP75,"Moderate","High"))</f>
        <v>Low</v>
      </c>
      <c r="Q1501" s="11" t="str">
        <f aca="false">IF(ISBLANK(L1501),"Unknown",IF(L1501&gt;=4,"Good",IF(L1501&lt;=2,"Poor","Neutral")))</f>
        <v>Good</v>
      </c>
      <c r="R1501" s="11" t="str">
        <f aca="false">IF(AND(O1501="Low",P1501="Low",Q1501="Good"),"BUY / PRIORITIZE",IF(AND(O1501="High",P1501="High",OR(Q1501="Poor",M1501=TRUE())),"HOLD / REVIEW","MONITOR"))</f>
        <v>BUY / PRIORITIZE</v>
      </c>
      <c r="S1501" s="11" t="n">
        <f aca="false">K1501+(ROW()/10000000)</f>
        <v>5.0001501</v>
      </c>
    </row>
    <row r="1502" customFormat="false" ht="15" hidden="false" customHeight="false" outlineLevel="0" collapsed="false">
      <c r="A1502" s="11" t="s">
        <v>1825</v>
      </c>
      <c r="B1502" s="11" t="s">
        <v>28</v>
      </c>
      <c r="C1502" s="11" t="s">
        <v>101</v>
      </c>
      <c r="D1502" s="11" t="s">
        <v>34</v>
      </c>
      <c r="E1502" s="11" t="s">
        <v>78</v>
      </c>
      <c r="F1502" s="11" t="s">
        <v>111</v>
      </c>
      <c r="G1502" s="21" t="n">
        <v>161.51</v>
      </c>
      <c r="H1502" s="19" t="n">
        <v>0</v>
      </c>
      <c r="I1502" s="21" t="n">
        <v>161.51</v>
      </c>
      <c r="J1502" s="22" t="s">
        <v>392</v>
      </c>
      <c r="K1502" s="11" t="n">
        <v>22</v>
      </c>
      <c r="L1502" s="23" t="n">
        <v>4.7</v>
      </c>
      <c r="M1502" s="24" t="b">
        <f aca="false">FALSE()</f>
        <v>0</v>
      </c>
      <c r="N1502" s="11"/>
      <c r="O1502" s="11" t="str">
        <f aca="false">IF(K1502&lt;=StockP33,"Low",IF(K1502&lt;=StockP67,"Moderate","High"))</f>
        <v>Moderate</v>
      </c>
      <c r="P1502" s="11" t="str">
        <f aca="false">IF(H1502=0,"Low",IF(H1502&lt;=MarkdownP75,"Moderate","High"))</f>
        <v>Low</v>
      </c>
      <c r="Q1502" s="11" t="str">
        <f aca="false">IF(ISBLANK(L1502),"Unknown",IF(L1502&gt;=4,"Good",IF(L1502&lt;=2,"Poor","Neutral")))</f>
        <v>Good</v>
      </c>
      <c r="R1502" s="11" t="str">
        <f aca="false">IF(AND(O1502="Low",P1502="Low",Q1502="Good"),"BUY / PRIORITIZE",IF(AND(O1502="High",P1502="High",OR(Q1502="Poor",M1502=TRUE())),"HOLD / REVIEW","MONITOR"))</f>
        <v>MONITOR</v>
      </c>
      <c r="S1502" s="11" t="n">
        <f aca="false">K1502+(ROW()/10000000)</f>
        <v>22.0001502</v>
      </c>
    </row>
    <row r="1503" customFormat="false" ht="15" hidden="false" customHeight="false" outlineLevel="0" collapsed="false">
      <c r="A1503" s="11" t="s">
        <v>1826</v>
      </c>
      <c r="B1503" s="11" t="s">
        <v>8</v>
      </c>
      <c r="C1503" s="11" t="s">
        <v>72</v>
      </c>
      <c r="D1503" s="11" t="s">
        <v>37</v>
      </c>
      <c r="E1503" s="11"/>
      <c r="F1503" s="11" t="s">
        <v>124</v>
      </c>
      <c r="G1503" s="21" t="n">
        <v>38.12</v>
      </c>
      <c r="H1503" s="19" t="n">
        <v>0</v>
      </c>
      <c r="I1503" s="21" t="n">
        <v>38.12</v>
      </c>
      <c r="J1503" s="22" t="s">
        <v>80</v>
      </c>
      <c r="K1503" s="11" t="n">
        <v>18</v>
      </c>
      <c r="L1503" s="23" t="n">
        <v>4.4</v>
      </c>
      <c r="M1503" s="24" t="b">
        <f aca="false">TRUE()</f>
        <v>1</v>
      </c>
      <c r="N1503" s="11" t="s">
        <v>134</v>
      </c>
      <c r="O1503" s="11" t="str">
        <f aca="false">IF(K1503&lt;=StockP33,"Low",IF(K1503&lt;=StockP67,"Moderate","High"))</f>
        <v>Moderate</v>
      </c>
      <c r="P1503" s="11" t="str">
        <f aca="false">IF(H1503=0,"Low",IF(H1503&lt;=MarkdownP75,"Moderate","High"))</f>
        <v>Low</v>
      </c>
      <c r="Q1503" s="11" t="str">
        <f aca="false">IF(ISBLANK(L1503),"Unknown",IF(L1503&gt;=4,"Good",IF(L1503&lt;=2,"Poor","Neutral")))</f>
        <v>Good</v>
      </c>
      <c r="R1503" s="11" t="str">
        <f aca="false">IF(AND(O1503="Low",P1503="Low",Q1503="Good"),"BUY / PRIORITIZE",IF(AND(O1503="High",P1503="High",OR(Q1503="Poor",M1503=TRUE())),"HOLD / REVIEW","MONITOR"))</f>
        <v>MONITOR</v>
      </c>
      <c r="S1503" s="11" t="n">
        <f aca="false">K1503+(ROW()/10000000)</f>
        <v>18.0001503</v>
      </c>
    </row>
    <row r="1504" customFormat="false" ht="15" hidden="false" customHeight="false" outlineLevel="0" collapsed="false">
      <c r="A1504" s="11" t="s">
        <v>1827</v>
      </c>
      <c r="B1504" s="11" t="s">
        <v>27</v>
      </c>
      <c r="C1504" s="11" t="s">
        <v>101</v>
      </c>
      <c r="D1504" s="11" t="s">
        <v>35</v>
      </c>
      <c r="E1504" s="11" t="s">
        <v>110</v>
      </c>
      <c r="F1504" s="11" t="s">
        <v>120</v>
      </c>
      <c r="G1504" s="21" t="n">
        <v>100.08</v>
      </c>
      <c r="H1504" s="19" t="n">
        <v>0</v>
      </c>
      <c r="I1504" s="21" t="n">
        <v>100.08</v>
      </c>
      <c r="J1504" s="22" t="s">
        <v>80</v>
      </c>
      <c r="K1504" s="11" t="n">
        <v>23</v>
      </c>
      <c r="L1504" s="23" t="n">
        <v>4.8</v>
      </c>
      <c r="M1504" s="24" t="b">
        <f aca="false">FALSE()</f>
        <v>0</v>
      </c>
      <c r="N1504" s="11"/>
      <c r="O1504" s="11" t="str">
        <f aca="false">IF(K1504&lt;=StockP33,"Low",IF(K1504&lt;=StockP67,"Moderate","High"))</f>
        <v>Moderate</v>
      </c>
      <c r="P1504" s="11" t="str">
        <f aca="false">IF(H1504=0,"Low",IF(H1504&lt;=MarkdownP75,"Moderate","High"))</f>
        <v>Low</v>
      </c>
      <c r="Q1504" s="11" t="str">
        <f aca="false">IF(ISBLANK(L1504),"Unknown",IF(L1504&gt;=4,"Good",IF(L1504&lt;=2,"Poor","Neutral")))</f>
        <v>Good</v>
      </c>
      <c r="R1504" s="11" t="str">
        <f aca="false">IF(AND(O1504="Low",P1504="Low",Q1504="Good"),"BUY / PRIORITIZE",IF(AND(O1504="High",P1504="High",OR(Q1504="Poor",M1504=TRUE())),"HOLD / REVIEW","MONITOR"))</f>
        <v>MONITOR</v>
      </c>
      <c r="S1504" s="11" t="n">
        <f aca="false">K1504+(ROW()/10000000)</f>
        <v>23.0001504</v>
      </c>
    </row>
    <row r="1505" customFormat="false" ht="15" hidden="false" customHeight="false" outlineLevel="0" collapsed="false">
      <c r="A1505" s="11" t="s">
        <v>1828</v>
      </c>
      <c r="B1505" s="11" t="s">
        <v>27</v>
      </c>
      <c r="C1505" s="11" t="s">
        <v>77</v>
      </c>
      <c r="D1505" s="11" t="s">
        <v>36</v>
      </c>
      <c r="E1505" s="11" t="s">
        <v>78</v>
      </c>
      <c r="F1505" s="11" t="s">
        <v>88</v>
      </c>
      <c r="G1505" s="21" t="n">
        <v>161.79</v>
      </c>
      <c r="H1505" s="19" t="n">
        <v>0</v>
      </c>
      <c r="I1505" s="21" t="n">
        <v>161.79</v>
      </c>
      <c r="J1505" s="22" t="s">
        <v>80</v>
      </c>
      <c r="K1505" s="11" t="n">
        <v>44</v>
      </c>
      <c r="L1505" s="23" t="n">
        <v>3.9</v>
      </c>
      <c r="M1505" s="24" t="b">
        <f aca="false">FALSE()</f>
        <v>0</v>
      </c>
      <c r="N1505" s="11"/>
      <c r="O1505" s="11" t="str">
        <f aca="false">IF(K1505&lt;=StockP33,"Low",IF(K1505&lt;=StockP67,"Moderate","High"))</f>
        <v>High</v>
      </c>
      <c r="P1505" s="11" t="str">
        <f aca="false">IF(H1505=0,"Low",IF(H1505&lt;=MarkdownP75,"Moderate","High"))</f>
        <v>Low</v>
      </c>
      <c r="Q1505" s="11" t="str">
        <f aca="false">IF(ISBLANK(L1505),"Unknown",IF(L1505&gt;=4,"Good",IF(L1505&lt;=2,"Poor","Neutral")))</f>
        <v>Neutral</v>
      </c>
      <c r="R1505" s="11" t="str">
        <f aca="false">IF(AND(O1505="Low",P1505="Low",Q1505="Good"),"BUY / PRIORITIZE",IF(AND(O1505="High",P1505="High",OR(Q1505="Poor",M1505=TRUE())),"HOLD / REVIEW","MONITOR"))</f>
        <v>MONITOR</v>
      </c>
      <c r="S1505" s="11" t="n">
        <f aca="false">K1505+(ROW()/10000000)</f>
        <v>44.0001505</v>
      </c>
    </row>
    <row r="1506" customFormat="false" ht="15" hidden="false" customHeight="false" outlineLevel="0" collapsed="false">
      <c r="A1506" s="11" t="s">
        <v>1829</v>
      </c>
      <c r="B1506" s="11" t="s">
        <v>26</v>
      </c>
      <c r="C1506" s="11" t="s">
        <v>107</v>
      </c>
      <c r="D1506" s="11" t="s">
        <v>36</v>
      </c>
      <c r="E1506" s="11" t="s">
        <v>73</v>
      </c>
      <c r="F1506" s="11" t="s">
        <v>82</v>
      </c>
      <c r="G1506" s="21" t="n">
        <v>46.42</v>
      </c>
      <c r="H1506" s="19" t="n">
        <v>0</v>
      </c>
      <c r="I1506" s="21" t="n">
        <v>46.42</v>
      </c>
      <c r="J1506" s="22" t="s">
        <v>80</v>
      </c>
      <c r="K1506" s="11" t="n">
        <v>2</v>
      </c>
      <c r="L1506" s="23" t="n">
        <v>3.7</v>
      </c>
      <c r="M1506" s="24" t="b">
        <f aca="false">TRUE()</f>
        <v>1</v>
      </c>
      <c r="N1506" s="11" t="s">
        <v>178</v>
      </c>
      <c r="O1506" s="11" t="str">
        <f aca="false">IF(K1506&lt;=StockP33,"Low",IF(K1506&lt;=StockP67,"Moderate","High"))</f>
        <v>Low</v>
      </c>
      <c r="P1506" s="11" t="str">
        <f aca="false">IF(H1506=0,"Low",IF(H1506&lt;=MarkdownP75,"Moderate","High"))</f>
        <v>Low</v>
      </c>
      <c r="Q1506" s="11" t="str">
        <f aca="false">IF(ISBLANK(L1506),"Unknown",IF(L1506&gt;=4,"Good",IF(L1506&lt;=2,"Poor","Neutral")))</f>
        <v>Neutral</v>
      </c>
      <c r="R1506" s="11" t="str">
        <f aca="false">IF(AND(O1506="Low",P1506="Low",Q1506="Good"),"BUY / PRIORITIZE",IF(AND(O1506="High",P1506="High",OR(Q1506="Poor",M1506=TRUE())),"HOLD / REVIEW","MONITOR"))</f>
        <v>MONITOR</v>
      </c>
      <c r="S1506" s="11" t="n">
        <f aca="false">K1506+(ROW()/10000000)</f>
        <v>2.0001506</v>
      </c>
    </row>
    <row r="1507" customFormat="false" ht="15" hidden="false" customHeight="false" outlineLevel="0" collapsed="false">
      <c r="A1507" s="11" t="s">
        <v>1830</v>
      </c>
      <c r="B1507" s="11" t="s">
        <v>29</v>
      </c>
      <c r="C1507" s="11" t="s">
        <v>77</v>
      </c>
      <c r="D1507" s="11" t="s">
        <v>34</v>
      </c>
      <c r="E1507" s="11" t="s">
        <v>78</v>
      </c>
      <c r="F1507" s="11" t="s">
        <v>124</v>
      </c>
      <c r="G1507" s="21" t="n">
        <v>199.33</v>
      </c>
      <c r="H1507" s="19" t="n">
        <v>44.3</v>
      </c>
      <c r="I1507" s="21" t="n">
        <v>111.03</v>
      </c>
      <c r="J1507" s="22" t="s">
        <v>1831</v>
      </c>
      <c r="K1507" s="11" t="n">
        <v>19</v>
      </c>
      <c r="L1507" s="23" t="n">
        <v>1.8</v>
      </c>
      <c r="M1507" s="24" t="b">
        <f aca="false">FALSE()</f>
        <v>0</v>
      </c>
      <c r="N1507" s="11"/>
      <c r="O1507" s="11" t="str">
        <f aca="false">IF(K1507&lt;=StockP33,"Low",IF(K1507&lt;=StockP67,"Moderate","High"))</f>
        <v>Moderate</v>
      </c>
      <c r="P1507" s="11" t="str">
        <f aca="false">IF(H1507=0,"Low",IF(H1507&lt;=MarkdownP75,"Moderate","High"))</f>
        <v>High</v>
      </c>
      <c r="Q1507" s="11" t="str">
        <f aca="false">IF(ISBLANK(L1507),"Unknown",IF(L1507&gt;=4,"Good",IF(L1507&lt;=2,"Poor","Neutral")))</f>
        <v>Poor</v>
      </c>
      <c r="R1507" s="11" t="str">
        <f aca="false">IF(AND(O1507="Low",P1507="Low",Q1507="Good"),"BUY / PRIORITIZE",IF(AND(O1507="High",P1507="High",OR(Q1507="Poor",M1507=TRUE())),"HOLD / REVIEW","MONITOR"))</f>
        <v>MONITOR</v>
      </c>
      <c r="S1507" s="11" t="n">
        <f aca="false">K1507+(ROW()/10000000)</f>
        <v>19.0001507</v>
      </c>
    </row>
    <row r="1508" customFormat="false" ht="15" hidden="false" customHeight="false" outlineLevel="0" collapsed="false">
      <c r="A1508" s="11" t="s">
        <v>1832</v>
      </c>
      <c r="B1508" s="11" t="s">
        <v>26</v>
      </c>
      <c r="C1508" s="11" t="s">
        <v>130</v>
      </c>
      <c r="D1508" s="11" t="s">
        <v>35</v>
      </c>
      <c r="E1508" s="11" t="s">
        <v>102</v>
      </c>
      <c r="F1508" s="11" t="s">
        <v>82</v>
      </c>
      <c r="G1508" s="21" t="n">
        <v>25.77</v>
      </c>
      <c r="H1508" s="19" t="n">
        <v>0</v>
      </c>
      <c r="I1508" s="21" t="n">
        <v>25.77</v>
      </c>
      <c r="J1508" s="22" t="s">
        <v>80</v>
      </c>
      <c r="K1508" s="11" t="n">
        <v>5</v>
      </c>
      <c r="L1508" s="23" t="n">
        <v>3.1</v>
      </c>
      <c r="M1508" s="24" t="b">
        <f aca="false">FALSE()</f>
        <v>0</v>
      </c>
      <c r="N1508" s="11"/>
      <c r="O1508" s="11" t="str">
        <f aca="false">IF(K1508&lt;=StockP33,"Low",IF(K1508&lt;=StockP67,"Moderate","High"))</f>
        <v>Low</v>
      </c>
      <c r="P1508" s="11" t="str">
        <f aca="false">IF(H1508=0,"Low",IF(H1508&lt;=MarkdownP75,"Moderate","High"))</f>
        <v>Low</v>
      </c>
      <c r="Q1508" s="11" t="str">
        <f aca="false">IF(ISBLANK(L1508),"Unknown",IF(L1508&gt;=4,"Good",IF(L1508&lt;=2,"Poor","Neutral")))</f>
        <v>Neutral</v>
      </c>
      <c r="R1508" s="11" t="str">
        <f aca="false">IF(AND(O1508="Low",P1508="Low",Q1508="Good"),"BUY / PRIORITIZE",IF(AND(O1508="High",P1508="High",OR(Q1508="Poor",M1508=TRUE())),"HOLD / REVIEW","MONITOR"))</f>
        <v>MONITOR</v>
      </c>
      <c r="S1508" s="11" t="n">
        <f aca="false">K1508+(ROW()/10000000)</f>
        <v>5.0001508</v>
      </c>
    </row>
    <row r="1509" customFormat="false" ht="15" hidden="false" customHeight="false" outlineLevel="0" collapsed="false">
      <c r="A1509" s="11" t="s">
        <v>1833</v>
      </c>
      <c r="B1509" s="11" t="s">
        <v>29</v>
      </c>
      <c r="C1509" s="11" t="s">
        <v>130</v>
      </c>
      <c r="D1509" s="11" t="s">
        <v>37</v>
      </c>
      <c r="E1509" s="11" t="s">
        <v>113</v>
      </c>
      <c r="F1509" s="11" t="s">
        <v>118</v>
      </c>
      <c r="G1509" s="21" t="n">
        <v>180.67</v>
      </c>
      <c r="H1509" s="19" t="n">
        <v>0</v>
      </c>
      <c r="I1509" s="21" t="n">
        <v>180.67</v>
      </c>
      <c r="J1509" s="22" t="s">
        <v>80</v>
      </c>
      <c r="K1509" s="11" t="n">
        <v>31</v>
      </c>
      <c r="L1509" s="23" t="n">
        <v>4.4</v>
      </c>
      <c r="M1509" s="24" t="b">
        <f aca="false">FALSE()</f>
        <v>0</v>
      </c>
      <c r="N1509" s="11"/>
      <c r="O1509" s="11" t="str">
        <f aca="false">IF(K1509&lt;=StockP33,"Low",IF(K1509&lt;=StockP67,"Moderate","High"))</f>
        <v>Moderate</v>
      </c>
      <c r="P1509" s="11" t="str">
        <f aca="false">IF(H1509=0,"Low",IF(H1509&lt;=MarkdownP75,"Moderate","High"))</f>
        <v>Low</v>
      </c>
      <c r="Q1509" s="11" t="str">
        <f aca="false">IF(ISBLANK(L1509),"Unknown",IF(L1509&gt;=4,"Good",IF(L1509&lt;=2,"Poor","Neutral")))</f>
        <v>Good</v>
      </c>
      <c r="R1509" s="11" t="str">
        <f aca="false">IF(AND(O1509="Low",P1509="Low",Q1509="Good"),"BUY / PRIORITIZE",IF(AND(O1509="High",P1509="High",OR(Q1509="Poor",M1509=TRUE())),"HOLD / REVIEW","MONITOR"))</f>
        <v>MONITOR</v>
      </c>
      <c r="S1509" s="11" t="n">
        <f aca="false">K1509+(ROW()/10000000)</f>
        <v>31.0001509</v>
      </c>
    </row>
    <row r="1510" customFormat="false" ht="15" hidden="false" customHeight="false" outlineLevel="0" collapsed="false">
      <c r="A1510" s="11" t="s">
        <v>1834</v>
      </c>
      <c r="B1510" s="11" t="s">
        <v>29</v>
      </c>
      <c r="C1510" s="11" t="s">
        <v>130</v>
      </c>
      <c r="D1510" s="11" t="s">
        <v>34</v>
      </c>
      <c r="E1510" s="11" t="s">
        <v>78</v>
      </c>
      <c r="F1510" s="11" t="s">
        <v>98</v>
      </c>
      <c r="G1510" s="21" t="n">
        <v>198.13</v>
      </c>
      <c r="H1510" s="19" t="n">
        <v>46.1</v>
      </c>
      <c r="I1510" s="21" t="n">
        <v>106.79</v>
      </c>
      <c r="J1510" s="22" t="s">
        <v>1153</v>
      </c>
      <c r="K1510" s="11" t="n">
        <v>8</v>
      </c>
      <c r="L1510" s="23" t="n">
        <v>3.2</v>
      </c>
      <c r="M1510" s="24" t="b">
        <f aca="false">FALSE()</f>
        <v>0</v>
      </c>
      <c r="N1510" s="11"/>
      <c r="O1510" s="11" t="str">
        <f aca="false">IF(K1510&lt;=StockP33,"Low",IF(K1510&lt;=StockP67,"Moderate","High"))</f>
        <v>Low</v>
      </c>
      <c r="P1510" s="11" t="str">
        <f aca="false">IF(H1510=0,"Low",IF(H1510&lt;=MarkdownP75,"Moderate","High"))</f>
        <v>High</v>
      </c>
      <c r="Q1510" s="11" t="str">
        <f aca="false">IF(ISBLANK(L1510),"Unknown",IF(L1510&gt;=4,"Good",IF(L1510&lt;=2,"Poor","Neutral")))</f>
        <v>Neutral</v>
      </c>
      <c r="R1510" s="11" t="str">
        <f aca="false">IF(AND(O1510="Low",P1510="Low",Q1510="Good"),"BUY / PRIORITIZE",IF(AND(O1510="High",P1510="High",OR(Q1510="Poor",M1510=TRUE())),"HOLD / REVIEW","MONITOR"))</f>
        <v>MONITOR</v>
      </c>
      <c r="S1510" s="11" t="n">
        <f aca="false">K1510+(ROW()/10000000)</f>
        <v>8.000151</v>
      </c>
    </row>
    <row r="1511" customFormat="false" ht="15" hidden="false" customHeight="false" outlineLevel="0" collapsed="false">
      <c r="A1511" s="11" t="s">
        <v>1835</v>
      </c>
      <c r="B1511" s="11" t="s">
        <v>27</v>
      </c>
      <c r="C1511" s="11" t="s">
        <v>77</v>
      </c>
      <c r="D1511" s="11" t="s">
        <v>35</v>
      </c>
      <c r="E1511" s="11"/>
      <c r="F1511" s="11" t="s">
        <v>118</v>
      </c>
      <c r="G1511" s="21" t="n">
        <v>161.53</v>
      </c>
      <c r="H1511" s="19" t="n">
        <v>5.3</v>
      </c>
      <c r="I1511" s="21" t="n">
        <v>152.97</v>
      </c>
      <c r="J1511" s="22" t="s">
        <v>80</v>
      </c>
      <c r="K1511" s="11" t="n">
        <v>33</v>
      </c>
      <c r="L1511" s="23" t="n">
        <v>3.7</v>
      </c>
      <c r="M1511" s="24" t="b">
        <f aca="false">FALSE()</f>
        <v>0</v>
      </c>
      <c r="N1511" s="11"/>
      <c r="O1511" s="11" t="str">
        <f aca="false">IF(K1511&lt;=StockP33,"Low",IF(K1511&lt;=StockP67,"Moderate","High"))</f>
        <v>Moderate</v>
      </c>
      <c r="P1511" s="11" t="str">
        <f aca="false">IF(H1511=0,"Low",IF(H1511&lt;=MarkdownP75,"Moderate","High"))</f>
        <v>Moderate</v>
      </c>
      <c r="Q1511" s="11" t="str">
        <f aca="false">IF(ISBLANK(L1511),"Unknown",IF(L1511&gt;=4,"Good",IF(L1511&lt;=2,"Poor","Neutral")))</f>
        <v>Neutral</v>
      </c>
      <c r="R1511" s="11" t="str">
        <f aca="false">IF(AND(O1511="Low",P1511="Low",Q1511="Good"),"BUY / PRIORITIZE",IF(AND(O1511="High",P1511="High",OR(Q1511="Poor",M1511=TRUE())),"HOLD / REVIEW","MONITOR"))</f>
        <v>MONITOR</v>
      </c>
      <c r="S1511" s="11" t="n">
        <f aca="false">K1511+(ROW()/10000000)</f>
        <v>33.0001511</v>
      </c>
    </row>
    <row r="1512" customFormat="false" ht="15" hidden="false" customHeight="false" outlineLevel="0" collapsed="false">
      <c r="A1512" s="11" t="s">
        <v>1836</v>
      </c>
      <c r="B1512" s="11" t="s">
        <v>26</v>
      </c>
      <c r="C1512" s="11" t="s">
        <v>72</v>
      </c>
      <c r="D1512" s="11" t="s">
        <v>34</v>
      </c>
      <c r="E1512" s="11" t="s">
        <v>113</v>
      </c>
      <c r="F1512" s="11" t="s">
        <v>92</v>
      </c>
      <c r="G1512" s="21" t="n">
        <v>25.97</v>
      </c>
      <c r="H1512" s="19" t="n">
        <v>0</v>
      </c>
      <c r="I1512" s="21" t="n">
        <v>25.97</v>
      </c>
      <c r="J1512" s="22" t="s">
        <v>1238</v>
      </c>
      <c r="K1512" s="11" t="n">
        <v>31</v>
      </c>
      <c r="L1512" s="23" t="n">
        <v>1.2</v>
      </c>
      <c r="M1512" s="24" t="b">
        <f aca="false">FALSE()</f>
        <v>0</v>
      </c>
      <c r="N1512" s="11"/>
      <c r="O1512" s="11" t="str">
        <f aca="false">IF(K1512&lt;=StockP33,"Low",IF(K1512&lt;=StockP67,"Moderate","High"))</f>
        <v>Moderate</v>
      </c>
      <c r="P1512" s="11" t="str">
        <f aca="false">IF(H1512=0,"Low",IF(H1512&lt;=MarkdownP75,"Moderate","High"))</f>
        <v>Low</v>
      </c>
      <c r="Q1512" s="11" t="str">
        <f aca="false">IF(ISBLANK(L1512),"Unknown",IF(L1512&gt;=4,"Good",IF(L1512&lt;=2,"Poor","Neutral")))</f>
        <v>Poor</v>
      </c>
      <c r="R1512" s="11" t="str">
        <f aca="false">IF(AND(O1512="Low",P1512="Low",Q1512="Good"),"BUY / PRIORITIZE",IF(AND(O1512="High",P1512="High",OR(Q1512="Poor",M1512=TRUE())),"HOLD / REVIEW","MONITOR"))</f>
        <v>MONITOR</v>
      </c>
      <c r="S1512" s="11" t="n">
        <f aca="false">K1512+(ROW()/10000000)</f>
        <v>31.0001512</v>
      </c>
    </row>
    <row r="1513" customFormat="false" ht="15" hidden="false" customHeight="false" outlineLevel="0" collapsed="false">
      <c r="A1513" s="11" t="s">
        <v>1837</v>
      </c>
      <c r="B1513" s="11" t="s">
        <v>30</v>
      </c>
      <c r="C1513" s="11" t="s">
        <v>130</v>
      </c>
      <c r="D1513" s="11" t="s">
        <v>35</v>
      </c>
      <c r="E1513" s="11" t="s">
        <v>78</v>
      </c>
      <c r="F1513" s="11" t="s">
        <v>111</v>
      </c>
      <c r="G1513" s="21" t="n">
        <v>85</v>
      </c>
      <c r="H1513" s="19" t="n">
        <v>39.9</v>
      </c>
      <c r="I1513" s="21" t="n">
        <v>51.09</v>
      </c>
      <c r="J1513" s="22" t="s">
        <v>80</v>
      </c>
      <c r="K1513" s="11" t="n">
        <v>44</v>
      </c>
      <c r="L1513" s="23" t="n">
        <v>3</v>
      </c>
      <c r="M1513" s="24" t="b">
        <f aca="false">FALSE()</f>
        <v>0</v>
      </c>
      <c r="N1513" s="11"/>
      <c r="O1513" s="11" t="str">
        <f aca="false">IF(K1513&lt;=StockP33,"Low",IF(K1513&lt;=StockP67,"Moderate","High"))</f>
        <v>High</v>
      </c>
      <c r="P1513" s="11" t="str">
        <f aca="false">IF(H1513=0,"Low",IF(H1513&lt;=MarkdownP75,"Moderate","High"))</f>
        <v>High</v>
      </c>
      <c r="Q1513" s="11" t="str">
        <f aca="false">IF(ISBLANK(L1513),"Unknown",IF(L1513&gt;=4,"Good",IF(L1513&lt;=2,"Poor","Neutral")))</f>
        <v>Neutral</v>
      </c>
      <c r="R1513" s="11" t="str">
        <f aca="false">IF(AND(O1513="Low",P1513="Low",Q1513="Good"),"BUY / PRIORITIZE",IF(AND(O1513="High",P1513="High",OR(Q1513="Poor",M1513=TRUE())),"HOLD / REVIEW","MONITOR"))</f>
        <v>MONITOR</v>
      </c>
      <c r="S1513" s="11" t="n">
        <f aca="false">K1513+(ROW()/10000000)</f>
        <v>44.0001513</v>
      </c>
    </row>
    <row r="1514" customFormat="false" ht="15" hidden="false" customHeight="false" outlineLevel="0" collapsed="false">
      <c r="A1514" s="11" t="s">
        <v>1838</v>
      </c>
      <c r="B1514" s="11" t="s">
        <v>8</v>
      </c>
      <c r="C1514" s="11" t="s">
        <v>77</v>
      </c>
      <c r="D1514" s="11" t="s">
        <v>35</v>
      </c>
      <c r="E1514" s="11"/>
      <c r="F1514" s="11" t="s">
        <v>79</v>
      </c>
      <c r="G1514" s="21" t="n">
        <v>75.03</v>
      </c>
      <c r="H1514" s="19" t="n">
        <v>10.9</v>
      </c>
      <c r="I1514" s="21" t="n">
        <v>66.85</v>
      </c>
      <c r="J1514" s="22" t="s">
        <v>80</v>
      </c>
      <c r="K1514" s="11" t="n">
        <v>12</v>
      </c>
      <c r="L1514" s="23" t="n">
        <v>1.2</v>
      </c>
      <c r="M1514" s="24" t="b">
        <f aca="false">FALSE()</f>
        <v>0</v>
      </c>
      <c r="N1514" s="11"/>
      <c r="O1514" s="11" t="str">
        <f aca="false">IF(K1514&lt;=StockP33,"Low",IF(K1514&lt;=StockP67,"Moderate","High"))</f>
        <v>Low</v>
      </c>
      <c r="P1514" s="11" t="str">
        <f aca="false">IF(H1514=0,"Low",IF(H1514&lt;=MarkdownP75,"Moderate","High"))</f>
        <v>Moderate</v>
      </c>
      <c r="Q1514" s="11" t="str">
        <f aca="false">IF(ISBLANK(L1514),"Unknown",IF(L1514&gt;=4,"Good",IF(L1514&lt;=2,"Poor","Neutral")))</f>
        <v>Poor</v>
      </c>
      <c r="R1514" s="11" t="str">
        <f aca="false">IF(AND(O1514="Low",P1514="Low",Q1514="Good"),"BUY / PRIORITIZE",IF(AND(O1514="High",P1514="High",OR(Q1514="Poor",M1514=TRUE())),"HOLD / REVIEW","MONITOR"))</f>
        <v>MONITOR</v>
      </c>
      <c r="S1514" s="11" t="n">
        <f aca="false">K1514+(ROW()/10000000)</f>
        <v>12.0001514</v>
      </c>
    </row>
    <row r="1515" customFormat="false" ht="15" hidden="false" customHeight="false" outlineLevel="0" collapsed="false">
      <c r="A1515" s="11" t="s">
        <v>1839</v>
      </c>
      <c r="B1515" s="11" t="s">
        <v>8</v>
      </c>
      <c r="C1515" s="11" t="s">
        <v>107</v>
      </c>
      <c r="D1515" s="11" t="s">
        <v>37</v>
      </c>
      <c r="E1515" s="11"/>
      <c r="F1515" s="11" t="s">
        <v>111</v>
      </c>
      <c r="G1515" s="21" t="n">
        <v>33.88</v>
      </c>
      <c r="H1515" s="19" t="n">
        <v>0</v>
      </c>
      <c r="I1515" s="21" t="n">
        <v>33.88</v>
      </c>
      <c r="J1515" s="22" t="s">
        <v>80</v>
      </c>
      <c r="K1515" s="11" t="n">
        <v>9</v>
      </c>
      <c r="L1515" s="23"/>
      <c r="M1515" s="24" t="b">
        <f aca="false">FALSE()</f>
        <v>0</v>
      </c>
      <c r="N1515" s="11"/>
      <c r="O1515" s="11" t="str">
        <f aca="false">IF(K1515&lt;=StockP33,"Low",IF(K1515&lt;=StockP67,"Moderate","High"))</f>
        <v>Low</v>
      </c>
      <c r="P1515" s="11" t="str">
        <f aca="false">IF(H1515=0,"Low",IF(H1515&lt;=MarkdownP75,"Moderate","High"))</f>
        <v>Low</v>
      </c>
      <c r="Q1515" s="11" t="str">
        <f aca="false">IF(ISBLANK(L1515),"Unknown",IF(L1515&gt;=4,"Good",IF(L1515&lt;=2,"Poor","Neutral")))</f>
        <v>Unknown</v>
      </c>
      <c r="R1515" s="11" t="str">
        <f aca="false">IF(AND(O1515="Low",P1515="Low",Q1515="Good"),"BUY / PRIORITIZE",IF(AND(O1515="High",P1515="High",OR(Q1515="Poor",M1515=TRUE())),"HOLD / REVIEW","MONITOR"))</f>
        <v>MONITOR</v>
      </c>
      <c r="S1515" s="11" t="n">
        <f aca="false">K1515+(ROW()/10000000)</f>
        <v>9.0001515</v>
      </c>
    </row>
    <row r="1516" customFormat="false" ht="15" hidden="false" customHeight="false" outlineLevel="0" collapsed="false">
      <c r="A1516" s="11" t="s">
        <v>1840</v>
      </c>
      <c r="B1516" s="11" t="s">
        <v>29</v>
      </c>
      <c r="C1516" s="11" t="s">
        <v>86</v>
      </c>
      <c r="D1516" s="11" t="s">
        <v>35</v>
      </c>
      <c r="E1516" s="11" t="s">
        <v>110</v>
      </c>
      <c r="F1516" s="11" t="s">
        <v>120</v>
      </c>
      <c r="G1516" s="21" t="n">
        <v>142</v>
      </c>
      <c r="H1516" s="19" t="n">
        <v>12.3</v>
      </c>
      <c r="I1516" s="21" t="n">
        <v>124.53</v>
      </c>
      <c r="J1516" s="22" t="s">
        <v>80</v>
      </c>
      <c r="K1516" s="11" t="n">
        <v>39</v>
      </c>
      <c r="L1516" s="23" t="n">
        <v>3.3</v>
      </c>
      <c r="M1516" s="24" t="b">
        <f aca="false">FALSE()</f>
        <v>0</v>
      </c>
      <c r="N1516" s="11"/>
      <c r="O1516" s="11" t="str">
        <f aca="false">IF(K1516&lt;=StockP33,"Low",IF(K1516&lt;=StockP67,"Moderate","High"))</f>
        <v>High</v>
      </c>
      <c r="P1516" s="11" t="str">
        <f aca="false">IF(H1516=0,"Low",IF(H1516&lt;=MarkdownP75,"Moderate","High"))</f>
        <v>Moderate</v>
      </c>
      <c r="Q1516" s="11" t="str">
        <f aca="false">IF(ISBLANK(L1516),"Unknown",IF(L1516&gt;=4,"Good",IF(L1516&lt;=2,"Poor","Neutral")))</f>
        <v>Neutral</v>
      </c>
      <c r="R1516" s="11" t="str">
        <f aca="false">IF(AND(O1516="Low",P1516="Low",Q1516="Good"),"BUY / PRIORITIZE",IF(AND(O1516="High",P1516="High",OR(Q1516="Poor",M1516=TRUE())),"HOLD / REVIEW","MONITOR"))</f>
        <v>MONITOR</v>
      </c>
      <c r="S1516" s="11" t="n">
        <f aca="false">K1516+(ROW()/10000000)</f>
        <v>39.0001516</v>
      </c>
    </row>
    <row r="1517" customFormat="false" ht="15" hidden="false" customHeight="false" outlineLevel="0" collapsed="false">
      <c r="A1517" s="11" t="s">
        <v>1841</v>
      </c>
      <c r="B1517" s="11" t="s">
        <v>27</v>
      </c>
      <c r="C1517" s="11" t="s">
        <v>101</v>
      </c>
      <c r="D1517" s="11" t="s">
        <v>36</v>
      </c>
      <c r="E1517" s="11" t="s">
        <v>73</v>
      </c>
      <c r="F1517" s="11" t="s">
        <v>98</v>
      </c>
      <c r="G1517" s="21" t="n">
        <v>125.46</v>
      </c>
      <c r="H1517" s="19" t="n">
        <v>0</v>
      </c>
      <c r="I1517" s="21" t="n">
        <v>125.46</v>
      </c>
      <c r="J1517" s="22" t="s">
        <v>80</v>
      </c>
      <c r="K1517" s="11" t="n">
        <v>26</v>
      </c>
      <c r="L1517" s="23" t="n">
        <v>1.1</v>
      </c>
      <c r="M1517" s="24" t="b">
        <f aca="false">FALSE()</f>
        <v>0</v>
      </c>
      <c r="N1517" s="11"/>
      <c r="O1517" s="11" t="str">
        <f aca="false">IF(K1517&lt;=StockP33,"Low",IF(K1517&lt;=StockP67,"Moderate","High"))</f>
        <v>Moderate</v>
      </c>
      <c r="P1517" s="11" t="str">
        <f aca="false">IF(H1517=0,"Low",IF(H1517&lt;=MarkdownP75,"Moderate","High"))</f>
        <v>Low</v>
      </c>
      <c r="Q1517" s="11" t="str">
        <f aca="false">IF(ISBLANK(L1517),"Unknown",IF(L1517&gt;=4,"Good",IF(L1517&lt;=2,"Poor","Neutral")))</f>
        <v>Poor</v>
      </c>
      <c r="R1517" s="11" t="str">
        <f aca="false">IF(AND(O1517="Low",P1517="Low",Q1517="Good"),"BUY / PRIORITIZE",IF(AND(O1517="High",P1517="High",OR(Q1517="Poor",M1517=TRUE())),"HOLD / REVIEW","MONITOR"))</f>
        <v>MONITOR</v>
      </c>
      <c r="S1517" s="11" t="n">
        <f aca="false">K1517+(ROW()/10000000)</f>
        <v>26.0001517</v>
      </c>
    </row>
    <row r="1518" customFormat="false" ht="15" hidden="false" customHeight="false" outlineLevel="0" collapsed="false">
      <c r="A1518" s="11" t="s">
        <v>1842</v>
      </c>
      <c r="B1518" s="11" t="s">
        <v>29</v>
      </c>
      <c r="C1518" s="11" t="s">
        <v>101</v>
      </c>
      <c r="D1518" s="11" t="s">
        <v>37</v>
      </c>
      <c r="E1518" s="11" t="s">
        <v>78</v>
      </c>
      <c r="F1518" s="11" t="s">
        <v>96</v>
      </c>
      <c r="G1518" s="21" t="n">
        <v>138.79</v>
      </c>
      <c r="H1518" s="19" t="n">
        <v>0</v>
      </c>
      <c r="I1518" s="21" t="n">
        <v>138.79</v>
      </c>
      <c r="J1518" s="22" t="s">
        <v>80</v>
      </c>
      <c r="K1518" s="11" t="n">
        <v>16</v>
      </c>
      <c r="L1518" s="23"/>
      <c r="M1518" s="24" t="b">
        <f aca="false">TRUE()</f>
        <v>1</v>
      </c>
      <c r="N1518" s="11" t="s">
        <v>128</v>
      </c>
      <c r="O1518" s="11" t="str">
        <f aca="false">IF(K1518&lt;=StockP33,"Low",IF(K1518&lt;=StockP67,"Moderate","High"))</f>
        <v>Low</v>
      </c>
      <c r="P1518" s="11" t="str">
        <f aca="false">IF(H1518=0,"Low",IF(H1518&lt;=MarkdownP75,"Moderate","High"))</f>
        <v>Low</v>
      </c>
      <c r="Q1518" s="11" t="str">
        <f aca="false">IF(ISBLANK(L1518),"Unknown",IF(L1518&gt;=4,"Good",IF(L1518&lt;=2,"Poor","Neutral")))</f>
        <v>Unknown</v>
      </c>
      <c r="R1518" s="11" t="str">
        <f aca="false">IF(AND(O1518="Low",P1518="Low",Q1518="Good"),"BUY / PRIORITIZE",IF(AND(O1518="High",P1518="High",OR(Q1518="Poor",M1518=TRUE())),"HOLD / REVIEW","MONITOR"))</f>
        <v>MONITOR</v>
      </c>
      <c r="S1518" s="11" t="n">
        <f aca="false">K1518+(ROW()/10000000)</f>
        <v>16.0001518</v>
      </c>
    </row>
    <row r="1519" customFormat="false" ht="15" hidden="false" customHeight="false" outlineLevel="0" collapsed="false">
      <c r="A1519" s="11" t="s">
        <v>1843</v>
      </c>
      <c r="B1519" s="11" t="s">
        <v>26</v>
      </c>
      <c r="C1519" s="11" t="s">
        <v>107</v>
      </c>
      <c r="D1519" s="11" t="s">
        <v>34</v>
      </c>
      <c r="E1519" s="11" t="s">
        <v>73</v>
      </c>
      <c r="F1519" s="11" t="s">
        <v>79</v>
      </c>
      <c r="G1519" s="21" t="n">
        <v>81.81</v>
      </c>
      <c r="H1519" s="19" t="n">
        <v>37.9</v>
      </c>
      <c r="I1519" s="21" t="n">
        <v>50.8</v>
      </c>
      <c r="J1519" s="22" t="s">
        <v>1553</v>
      </c>
      <c r="K1519" s="11" t="n">
        <v>44</v>
      </c>
      <c r="L1519" s="23"/>
      <c r="M1519" s="24" t="b">
        <f aca="false">FALSE()</f>
        <v>0</v>
      </c>
      <c r="N1519" s="11"/>
      <c r="O1519" s="11" t="str">
        <f aca="false">IF(K1519&lt;=StockP33,"Low",IF(K1519&lt;=StockP67,"Moderate","High"))</f>
        <v>High</v>
      </c>
      <c r="P1519" s="11" t="str">
        <f aca="false">IF(H1519=0,"Low",IF(H1519&lt;=MarkdownP75,"Moderate","High"))</f>
        <v>High</v>
      </c>
      <c r="Q1519" s="11" t="str">
        <f aca="false">IF(ISBLANK(L1519),"Unknown",IF(L1519&gt;=4,"Good",IF(L1519&lt;=2,"Poor","Neutral")))</f>
        <v>Unknown</v>
      </c>
      <c r="R1519" s="11" t="str">
        <f aca="false">IF(AND(O1519="Low",P1519="Low",Q1519="Good"),"BUY / PRIORITIZE",IF(AND(O1519="High",P1519="High",OR(Q1519="Poor",M1519=TRUE())),"HOLD / REVIEW","MONITOR"))</f>
        <v>MONITOR</v>
      </c>
      <c r="S1519" s="11" t="n">
        <f aca="false">K1519+(ROW()/10000000)</f>
        <v>44.0001519</v>
      </c>
    </row>
    <row r="1520" customFormat="false" ht="15" hidden="false" customHeight="false" outlineLevel="0" collapsed="false">
      <c r="A1520" s="11" t="s">
        <v>1844</v>
      </c>
      <c r="B1520" s="11" t="s">
        <v>8</v>
      </c>
      <c r="C1520" s="11" t="s">
        <v>77</v>
      </c>
      <c r="D1520" s="11" t="s">
        <v>36</v>
      </c>
      <c r="E1520" s="11"/>
      <c r="F1520" s="11" t="s">
        <v>124</v>
      </c>
      <c r="G1520" s="21" t="n">
        <v>78.26</v>
      </c>
      <c r="H1520" s="19" t="n">
        <v>47.3</v>
      </c>
      <c r="I1520" s="21" t="n">
        <v>41.24</v>
      </c>
      <c r="J1520" s="22" t="s">
        <v>80</v>
      </c>
      <c r="K1520" s="11" t="n">
        <v>20</v>
      </c>
      <c r="L1520" s="23" t="n">
        <v>4</v>
      </c>
      <c r="M1520" s="24" t="b">
        <f aca="false">FALSE()</f>
        <v>0</v>
      </c>
      <c r="N1520" s="11"/>
      <c r="O1520" s="11" t="str">
        <f aca="false">IF(K1520&lt;=StockP33,"Low",IF(K1520&lt;=StockP67,"Moderate","High"))</f>
        <v>Moderate</v>
      </c>
      <c r="P1520" s="11" t="str">
        <f aca="false">IF(H1520=0,"Low",IF(H1520&lt;=MarkdownP75,"Moderate","High"))</f>
        <v>High</v>
      </c>
      <c r="Q1520" s="11" t="str">
        <f aca="false">IF(ISBLANK(L1520),"Unknown",IF(L1520&gt;=4,"Good",IF(L1520&lt;=2,"Poor","Neutral")))</f>
        <v>Good</v>
      </c>
      <c r="R1520" s="11" t="str">
        <f aca="false">IF(AND(O1520="Low",P1520="Low",Q1520="Good"),"BUY / PRIORITIZE",IF(AND(O1520="High",P1520="High",OR(Q1520="Poor",M1520=TRUE())),"HOLD / REVIEW","MONITOR"))</f>
        <v>MONITOR</v>
      </c>
      <c r="S1520" s="11" t="n">
        <f aca="false">K1520+(ROW()/10000000)</f>
        <v>20.000152</v>
      </c>
    </row>
    <row r="1521" customFormat="false" ht="15" hidden="false" customHeight="false" outlineLevel="0" collapsed="false">
      <c r="A1521" s="11" t="s">
        <v>1845</v>
      </c>
      <c r="B1521" s="11" t="s">
        <v>26</v>
      </c>
      <c r="C1521" s="11" t="s">
        <v>86</v>
      </c>
      <c r="D1521" s="11" t="s">
        <v>34</v>
      </c>
      <c r="E1521" s="11" t="s">
        <v>73</v>
      </c>
      <c r="F1521" s="11" t="s">
        <v>118</v>
      </c>
      <c r="G1521" s="21" t="n">
        <v>119.33</v>
      </c>
      <c r="H1521" s="19" t="n">
        <v>16</v>
      </c>
      <c r="I1521" s="21" t="n">
        <v>100.24</v>
      </c>
      <c r="J1521" s="22" t="s">
        <v>403</v>
      </c>
      <c r="K1521" s="11" t="n">
        <v>35</v>
      </c>
      <c r="L1521" s="23"/>
      <c r="M1521" s="24" t="b">
        <f aca="false">FALSE()</f>
        <v>0</v>
      </c>
      <c r="N1521" s="11"/>
      <c r="O1521" s="11" t="str">
        <f aca="false">IF(K1521&lt;=StockP33,"Low",IF(K1521&lt;=StockP67,"Moderate","High"))</f>
        <v>High</v>
      </c>
      <c r="P1521" s="11" t="str">
        <f aca="false">IF(H1521=0,"Low",IF(H1521&lt;=MarkdownP75,"Moderate","High"))</f>
        <v>Moderate</v>
      </c>
      <c r="Q1521" s="11" t="str">
        <f aca="false">IF(ISBLANK(L1521),"Unknown",IF(L1521&gt;=4,"Good",IF(L1521&lt;=2,"Poor","Neutral")))</f>
        <v>Unknown</v>
      </c>
      <c r="R1521" s="11" t="str">
        <f aca="false">IF(AND(O1521="Low",P1521="Low",Q1521="Good"),"BUY / PRIORITIZE",IF(AND(O1521="High",P1521="High",OR(Q1521="Poor",M1521=TRUE())),"HOLD / REVIEW","MONITOR"))</f>
        <v>MONITOR</v>
      </c>
      <c r="S1521" s="11" t="n">
        <f aca="false">K1521+(ROW()/10000000)</f>
        <v>35.0001521</v>
      </c>
    </row>
    <row r="1522" customFormat="false" ht="15" hidden="false" customHeight="false" outlineLevel="0" collapsed="false">
      <c r="A1522" s="11" t="s">
        <v>1846</v>
      </c>
      <c r="B1522" s="11" t="s">
        <v>8</v>
      </c>
      <c r="C1522" s="11" t="s">
        <v>107</v>
      </c>
      <c r="D1522" s="11" t="s">
        <v>34</v>
      </c>
      <c r="E1522" s="11"/>
      <c r="F1522" s="11" t="s">
        <v>82</v>
      </c>
      <c r="G1522" s="21" t="n">
        <v>52.97</v>
      </c>
      <c r="H1522" s="19" t="n">
        <v>0</v>
      </c>
      <c r="I1522" s="21" t="n">
        <v>52.97</v>
      </c>
      <c r="J1522" s="22" t="s">
        <v>1679</v>
      </c>
      <c r="K1522" s="11" t="n">
        <v>36</v>
      </c>
      <c r="L1522" s="23" t="n">
        <v>4.6</v>
      </c>
      <c r="M1522" s="24" t="b">
        <f aca="false">FALSE()</f>
        <v>0</v>
      </c>
      <c r="N1522" s="11"/>
      <c r="O1522" s="11" t="str">
        <f aca="false">IF(K1522&lt;=StockP33,"Low",IF(K1522&lt;=StockP67,"Moderate","High"))</f>
        <v>High</v>
      </c>
      <c r="P1522" s="11" t="str">
        <f aca="false">IF(H1522=0,"Low",IF(H1522&lt;=MarkdownP75,"Moderate","High"))</f>
        <v>Low</v>
      </c>
      <c r="Q1522" s="11" t="str">
        <f aca="false">IF(ISBLANK(L1522),"Unknown",IF(L1522&gt;=4,"Good",IF(L1522&lt;=2,"Poor","Neutral")))</f>
        <v>Good</v>
      </c>
      <c r="R1522" s="11" t="str">
        <f aca="false">IF(AND(O1522="Low",P1522="Low",Q1522="Good"),"BUY / PRIORITIZE",IF(AND(O1522="High",P1522="High",OR(Q1522="Poor",M1522=TRUE())),"HOLD / REVIEW","MONITOR"))</f>
        <v>MONITOR</v>
      </c>
      <c r="S1522" s="11" t="n">
        <f aca="false">K1522+(ROW()/10000000)</f>
        <v>36.0001522</v>
      </c>
    </row>
    <row r="1523" customFormat="false" ht="15" hidden="false" customHeight="false" outlineLevel="0" collapsed="false">
      <c r="A1523" s="11" t="s">
        <v>1847</v>
      </c>
      <c r="B1523" s="11" t="s">
        <v>8</v>
      </c>
      <c r="C1523" s="11" t="s">
        <v>95</v>
      </c>
      <c r="D1523" s="11" t="s">
        <v>37</v>
      </c>
      <c r="E1523" s="11"/>
      <c r="F1523" s="11" t="s">
        <v>96</v>
      </c>
      <c r="G1523" s="21" t="n">
        <v>69.48</v>
      </c>
      <c r="H1523" s="19" t="n">
        <v>0</v>
      </c>
      <c r="I1523" s="21" t="n">
        <v>69.48</v>
      </c>
      <c r="J1523" s="22" t="s">
        <v>80</v>
      </c>
      <c r="K1523" s="11" t="n">
        <v>17</v>
      </c>
      <c r="L1523" s="23" t="n">
        <v>3.4</v>
      </c>
      <c r="M1523" s="24" t="b">
        <f aca="false">FALSE()</f>
        <v>0</v>
      </c>
      <c r="N1523" s="11"/>
      <c r="O1523" s="11" t="str">
        <f aca="false">IF(K1523&lt;=StockP33,"Low",IF(K1523&lt;=StockP67,"Moderate","High"))</f>
        <v>Low</v>
      </c>
      <c r="P1523" s="11" t="str">
        <f aca="false">IF(H1523=0,"Low",IF(H1523&lt;=MarkdownP75,"Moderate","High"))</f>
        <v>Low</v>
      </c>
      <c r="Q1523" s="11" t="str">
        <f aca="false">IF(ISBLANK(L1523),"Unknown",IF(L1523&gt;=4,"Good",IF(L1523&lt;=2,"Poor","Neutral")))</f>
        <v>Neutral</v>
      </c>
      <c r="R1523" s="11" t="str">
        <f aca="false">IF(AND(O1523="Low",P1523="Low",Q1523="Good"),"BUY / PRIORITIZE",IF(AND(O1523="High",P1523="High",OR(Q1523="Poor",M1523=TRUE())),"HOLD / REVIEW","MONITOR"))</f>
        <v>MONITOR</v>
      </c>
      <c r="S1523" s="11" t="n">
        <f aca="false">K1523+(ROW()/10000000)</f>
        <v>17.0001523</v>
      </c>
    </row>
    <row r="1524" customFormat="false" ht="15" hidden="false" customHeight="false" outlineLevel="0" collapsed="false">
      <c r="A1524" s="11" t="s">
        <v>1848</v>
      </c>
      <c r="B1524" s="11" t="s">
        <v>28</v>
      </c>
      <c r="C1524" s="11" t="s">
        <v>86</v>
      </c>
      <c r="D1524" s="11" t="s">
        <v>35</v>
      </c>
      <c r="E1524" s="11" t="s">
        <v>78</v>
      </c>
      <c r="F1524" s="11" t="s">
        <v>92</v>
      </c>
      <c r="G1524" s="21" t="n">
        <v>177.82</v>
      </c>
      <c r="H1524" s="19" t="n">
        <v>0</v>
      </c>
      <c r="I1524" s="21" t="n">
        <v>177.82</v>
      </c>
      <c r="J1524" s="22" t="s">
        <v>80</v>
      </c>
      <c r="K1524" s="11" t="n">
        <v>9</v>
      </c>
      <c r="L1524" s="23" t="n">
        <v>1.1</v>
      </c>
      <c r="M1524" s="24" t="b">
        <f aca="false">FALSE()</f>
        <v>0</v>
      </c>
      <c r="N1524" s="11"/>
      <c r="O1524" s="11" t="str">
        <f aca="false">IF(K1524&lt;=StockP33,"Low",IF(K1524&lt;=StockP67,"Moderate","High"))</f>
        <v>Low</v>
      </c>
      <c r="P1524" s="11" t="str">
        <f aca="false">IF(H1524=0,"Low",IF(H1524&lt;=MarkdownP75,"Moderate","High"))</f>
        <v>Low</v>
      </c>
      <c r="Q1524" s="11" t="str">
        <f aca="false">IF(ISBLANK(L1524),"Unknown",IF(L1524&gt;=4,"Good",IF(L1524&lt;=2,"Poor","Neutral")))</f>
        <v>Poor</v>
      </c>
      <c r="R1524" s="11" t="str">
        <f aca="false">IF(AND(O1524="Low",P1524="Low",Q1524="Good"),"BUY / PRIORITIZE",IF(AND(O1524="High",P1524="High",OR(Q1524="Poor",M1524=TRUE())),"HOLD / REVIEW","MONITOR"))</f>
        <v>MONITOR</v>
      </c>
      <c r="S1524" s="11" t="n">
        <f aca="false">K1524+(ROW()/10000000)</f>
        <v>9.0001524</v>
      </c>
    </row>
    <row r="1525" customFormat="false" ht="15" hidden="false" customHeight="false" outlineLevel="0" collapsed="false">
      <c r="A1525" s="11" t="s">
        <v>1849</v>
      </c>
      <c r="B1525" s="11" t="s">
        <v>29</v>
      </c>
      <c r="C1525" s="11" t="s">
        <v>86</v>
      </c>
      <c r="D1525" s="11" t="s">
        <v>37</v>
      </c>
      <c r="E1525" s="11" t="s">
        <v>78</v>
      </c>
      <c r="F1525" s="11" t="s">
        <v>79</v>
      </c>
      <c r="G1525" s="21" t="n">
        <v>142.71</v>
      </c>
      <c r="H1525" s="19" t="n">
        <v>0</v>
      </c>
      <c r="I1525" s="21" t="n">
        <v>142.71</v>
      </c>
      <c r="J1525" s="22" t="s">
        <v>80</v>
      </c>
      <c r="K1525" s="11" t="n">
        <v>28</v>
      </c>
      <c r="L1525" s="23" t="n">
        <v>1</v>
      </c>
      <c r="M1525" s="24" t="b">
        <f aca="false">FALSE()</f>
        <v>0</v>
      </c>
      <c r="N1525" s="11"/>
      <c r="O1525" s="11" t="str">
        <f aca="false">IF(K1525&lt;=StockP33,"Low",IF(K1525&lt;=StockP67,"Moderate","High"))</f>
        <v>Moderate</v>
      </c>
      <c r="P1525" s="11" t="str">
        <f aca="false">IF(H1525=0,"Low",IF(H1525&lt;=MarkdownP75,"Moderate","High"))</f>
        <v>Low</v>
      </c>
      <c r="Q1525" s="11" t="str">
        <f aca="false">IF(ISBLANK(L1525),"Unknown",IF(L1525&gt;=4,"Good",IF(L1525&lt;=2,"Poor","Neutral")))</f>
        <v>Poor</v>
      </c>
      <c r="R1525" s="11" t="str">
        <f aca="false">IF(AND(O1525="Low",P1525="Low",Q1525="Good"),"BUY / PRIORITIZE",IF(AND(O1525="High",P1525="High",OR(Q1525="Poor",M1525=TRUE())),"HOLD / REVIEW","MONITOR"))</f>
        <v>MONITOR</v>
      </c>
      <c r="S1525" s="11" t="n">
        <f aca="false">K1525+(ROW()/10000000)</f>
        <v>28.0001525</v>
      </c>
    </row>
    <row r="1526" customFormat="false" ht="15" hidden="false" customHeight="false" outlineLevel="0" collapsed="false">
      <c r="A1526" s="11" t="s">
        <v>1850</v>
      </c>
      <c r="B1526" s="11" t="s">
        <v>26</v>
      </c>
      <c r="C1526" s="11" t="s">
        <v>72</v>
      </c>
      <c r="D1526" s="11" t="s">
        <v>34</v>
      </c>
      <c r="E1526" s="11" t="s">
        <v>110</v>
      </c>
      <c r="F1526" s="11" t="s">
        <v>96</v>
      </c>
      <c r="G1526" s="21" t="n">
        <v>105.21</v>
      </c>
      <c r="H1526" s="19" t="n">
        <v>0</v>
      </c>
      <c r="I1526" s="21" t="n">
        <v>105.21</v>
      </c>
      <c r="J1526" s="22" t="s">
        <v>392</v>
      </c>
      <c r="K1526" s="11" t="n">
        <v>41</v>
      </c>
      <c r="L1526" s="23" t="n">
        <v>4.9</v>
      </c>
      <c r="M1526" s="24" t="b">
        <f aca="false">FALSE()</f>
        <v>0</v>
      </c>
      <c r="N1526" s="11"/>
      <c r="O1526" s="11" t="str">
        <f aca="false">IF(K1526&lt;=StockP33,"Low",IF(K1526&lt;=StockP67,"Moderate","High"))</f>
        <v>High</v>
      </c>
      <c r="P1526" s="11" t="str">
        <f aca="false">IF(H1526=0,"Low",IF(H1526&lt;=MarkdownP75,"Moderate","High"))</f>
        <v>Low</v>
      </c>
      <c r="Q1526" s="11" t="str">
        <f aca="false">IF(ISBLANK(L1526),"Unknown",IF(L1526&gt;=4,"Good",IF(L1526&lt;=2,"Poor","Neutral")))</f>
        <v>Good</v>
      </c>
      <c r="R1526" s="11" t="str">
        <f aca="false">IF(AND(O1526="Low",P1526="Low",Q1526="Good"),"BUY / PRIORITIZE",IF(AND(O1526="High",P1526="High",OR(Q1526="Poor",M1526=TRUE())),"HOLD / REVIEW","MONITOR"))</f>
        <v>MONITOR</v>
      </c>
      <c r="S1526" s="11" t="n">
        <f aca="false">K1526+(ROW()/10000000)</f>
        <v>41.0001526</v>
      </c>
    </row>
    <row r="1527" customFormat="false" ht="15" hidden="false" customHeight="false" outlineLevel="0" collapsed="false">
      <c r="A1527" s="11" t="s">
        <v>1851</v>
      </c>
      <c r="B1527" s="11" t="s">
        <v>8</v>
      </c>
      <c r="C1527" s="11" t="s">
        <v>130</v>
      </c>
      <c r="D1527" s="11" t="s">
        <v>36</v>
      </c>
      <c r="E1527" s="11"/>
      <c r="F1527" s="11" t="s">
        <v>92</v>
      </c>
      <c r="G1527" s="21" t="n">
        <v>65.09</v>
      </c>
      <c r="H1527" s="19" t="n">
        <v>49.8</v>
      </c>
      <c r="I1527" s="21" t="n">
        <v>32.68</v>
      </c>
      <c r="J1527" s="22" t="s">
        <v>80</v>
      </c>
      <c r="K1527" s="11" t="n">
        <v>32</v>
      </c>
      <c r="L1527" s="23" t="n">
        <v>4.9</v>
      </c>
      <c r="M1527" s="24" t="b">
        <f aca="false">FALSE()</f>
        <v>0</v>
      </c>
      <c r="N1527" s="11"/>
      <c r="O1527" s="11" t="str">
        <f aca="false">IF(K1527&lt;=StockP33,"Low",IF(K1527&lt;=StockP67,"Moderate","High"))</f>
        <v>Moderate</v>
      </c>
      <c r="P1527" s="11" t="str">
        <f aca="false">IF(H1527=0,"Low",IF(H1527&lt;=MarkdownP75,"Moderate","High"))</f>
        <v>High</v>
      </c>
      <c r="Q1527" s="11" t="str">
        <f aca="false">IF(ISBLANK(L1527),"Unknown",IF(L1527&gt;=4,"Good",IF(L1527&lt;=2,"Poor","Neutral")))</f>
        <v>Good</v>
      </c>
      <c r="R1527" s="11" t="str">
        <f aca="false">IF(AND(O1527="Low",P1527="Low",Q1527="Good"),"BUY / PRIORITIZE",IF(AND(O1527="High",P1527="High",OR(Q1527="Poor",M1527=TRUE())),"HOLD / REVIEW","MONITOR"))</f>
        <v>MONITOR</v>
      </c>
      <c r="S1527" s="11" t="n">
        <f aca="false">K1527+(ROW()/10000000)</f>
        <v>32.0001527</v>
      </c>
    </row>
    <row r="1528" customFormat="false" ht="15" hidden="false" customHeight="false" outlineLevel="0" collapsed="false">
      <c r="A1528" s="11" t="s">
        <v>1852</v>
      </c>
      <c r="B1528" s="11" t="s">
        <v>28</v>
      </c>
      <c r="C1528" s="11" t="s">
        <v>77</v>
      </c>
      <c r="D1528" s="11" t="s">
        <v>37</v>
      </c>
      <c r="E1528" s="11" t="s">
        <v>113</v>
      </c>
      <c r="F1528" s="11" t="s">
        <v>118</v>
      </c>
      <c r="G1528" s="21" t="n">
        <v>167.39</v>
      </c>
      <c r="H1528" s="19" t="n">
        <v>0</v>
      </c>
      <c r="I1528" s="21" t="n">
        <v>167.39</v>
      </c>
      <c r="J1528" s="22" t="s">
        <v>80</v>
      </c>
      <c r="K1528" s="11" t="n">
        <v>43</v>
      </c>
      <c r="L1528" s="23" t="n">
        <v>1.8</v>
      </c>
      <c r="M1528" s="24" t="b">
        <f aca="false">FALSE()</f>
        <v>0</v>
      </c>
      <c r="N1528" s="11"/>
      <c r="O1528" s="11" t="str">
        <f aca="false">IF(K1528&lt;=StockP33,"Low",IF(K1528&lt;=StockP67,"Moderate","High"))</f>
        <v>High</v>
      </c>
      <c r="P1528" s="11" t="str">
        <f aca="false">IF(H1528=0,"Low",IF(H1528&lt;=MarkdownP75,"Moderate","High"))</f>
        <v>Low</v>
      </c>
      <c r="Q1528" s="11" t="str">
        <f aca="false">IF(ISBLANK(L1528),"Unknown",IF(L1528&gt;=4,"Good",IF(L1528&lt;=2,"Poor","Neutral")))</f>
        <v>Poor</v>
      </c>
      <c r="R1528" s="11" t="str">
        <f aca="false">IF(AND(O1528="Low",P1528="Low",Q1528="Good"),"BUY / PRIORITIZE",IF(AND(O1528="High",P1528="High",OR(Q1528="Poor",M1528=TRUE())),"HOLD / REVIEW","MONITOR"))</f>
        <v>MONITOR</v>
      </c>
      <c r="S1528" s="11" t="n">
        <f aca="false">K1528+(ROW()/10000000)</f>
        <v>43.0001528</v>
      </c>
    </row>
    <row r="1529" customFormat="false" ht="15" hidden="false" customHeight="false" outlineLevel="0" collapsed="false">
      <c r="A1529" s="11" t="s">
        <v>1853</v>
      </c>
      <c r="B1529" s="11" t="s">
        <v>8</v>
      </c>
      <c r="C1529" s="11" t="s">
        <v>77</v>
      </c>
      <c r="D1529" s="11" t="s">
        <v>37</v>
      </c>
      <c r="E1529" s="11"/>
      <c r="F1529" s="11" t="s">
        <v>74</v>
      </c>
      <c r="G1529" s="21" t="n">
        <v>49.89</v>
      </c>
      <c r="H1529" s="19" t="n">
        <v>0</v>
      </c>
      <c r="I1529" s="21" t="n">
        <v>49.89</v>
      </c>
      <c r="J1529" s="22" t="s">
        <v>80</v>
      </c>
      <c r="K1529" s="11" t="n">
        <v>32</v>
      </c>
      <c r="L1529" s="23" t="n">
        <v>2.4</v>
      </c>
      <c r="M1529" s="24" t="b">
        <f aca="false">FALSE()</f>
        <v>0</v>
      </c>
      <c r="N1529" s="11"/>
      <c r="O1529" s="11" t="str">
        <f aca="false">IF(K1529&lt;=StockP33,"Low",IF(K1529&lt;=StockP67,"Moderate","High"))</f>
        <v>Moderate</v>
      </c>
      <c r="P1529" s="11" t="str">
        <f aca="false">IF(H1529=0,"Low",IF(H1529&lt;=MarkdownP75,"Moderate","High"))</f>
        <v>Low</v>
      </c>
      <c r="Q1529" s="11" t="str">
        <f aca="false">IF(ISBLANK(L1529),"Unknown",IF(L1529&gt;=4,"Good",IF(L1529&lt;=2,"Poor","Neutral")))</f>
        <v>Neutral</v>
      </c>
      <c r="R1529" s="11" t="str">
        <f aca="false">IF(AND(O1529="Low",P1529="Low",Q1529="Good"),"BUY / PRIORITIZE",IF(AND(O1529="High",P1529="High",OR(Q1529="Poor",M1529=TRUE())),"HOLD / REVIEW","MONITOR"))</f>
        <v>MONITOR</v>
      </c>
      <c r="S1529" s="11" t="n">
        <f aca="false">K1529+(ROW()/10000000)</f>
        <v>32.0001529</v>
      </c>
    </row>
    <row r="1530" customFormat="false" ht="15" hidden="false" customHeight="false" outlineLevel="0" collapsed="false">
      <c r="A1530" s="11" t="s">
        <v>1854</v>
      </c>
      <c r="B1530" s="11" t="s">
        <v>28</v>
      </c>
      <c r="C1530" s="11" t="s">
        <v>86</v>
      </c>
      <c r="D1530" s="11" t="s">
        <v>36</v>
      </c>
      <c r="E1530" s="11" t="s">
        <v>91</v>
      </c>
      <c r="F1530" s="11" t="s">
        <v>88</v>
      </c>
      <c r="G1530" s="21" t="n">
        <v>218.06</v>
      </c>
      <c r="H1530" s="19" t="n">
        <v>0</v>
      </c>
      <c r="I1530" s="21" t="n">
        <v>218.06</v>
      </c>
      <c r="J1530" s="22" t="s">
        <v>80</v>
      </c>
      <c r="K1530" s="11" t="n">
        <v>32</v>
      </c>
      <c r="L1530" s="23" t="n">
        <v>4</v>
      </c>
      <c r="M1530" s="24" t="b">
        <f aca="false">FALSE()</f>
        <v>0</v>
      </c>
      <c r="N1530" s="11"/>
      <c r="O1530" s="11" t="str">
        <f aca="false">IF(K1530&lt;=StockP33,"Low",IF(K1530&lt;=StockP67,"Moderate","High"))</f>
        <v>Moderate</v>
      </c>
      <c r="P1530" s="11" t="str">
        <f aca="false">IF(H1530=0,"Low",IF(H1530&lt;=MarkdownP75,"Moderate","High"))</f>
        <v>Low</v>
      </c>
      <c r="Q1530" s="11" t="str">
        <f aca="false">IF(ISBLANK(L1530),"Unknown",IF(L1530&gt;=4,"Good",IF(L1530&lt;=2,"Poor","Neutral")))</f>
        <v>Good</v>
      </c>
      <c r="R1530" s="11" t="str">
        <f aca="false">IF(AND(O1530="Low",P1530="Low",Q1530="Good"),"BUY / PRIORITIZE",IF(AND(O1530="High",P1530="High",OR(Q1530="Poor",M1530=TRUE())),"HOLD / REVIEW","MONITOR"))</f>
        <v>MONITOR</v>
      </c>
      <c r="S1530" s="11" t="n">
        <f aca="false">K1530+(ROW()/10000000)</f>
        <v>32.000153</v>
      </c>
    </row>
    <row r="1531" customFormat="false" ht="15" hidden="false" customHeight="false" outlineLevel="0" collapsed="false">
      <c r="A1531" s="11" t="s">
        <v>1855</v>
      </c>
      <c r="B1531" s="11" t="s">
        <v>26</v>
      </c>
      <c r="C1531" s="11" t="s">
        <v>116</v>
      </c>
      <c r="D1531" s="11" t="s">
        <v>35</v>
      </c>
      <c r="E1531" s="11" t="s">
        <v>110</v>
      </c>
      <c r="F1531" s="11" t="s">
        <v>88</v>
      </c>
      <c r="G1531" s="21" t="n">
        <v>66.64</v>
      </c>
      <c r="H1531" s="19" t="n">
        <v>21.8</v>
      </c>
      <c r="I1531" s="21" t="n">
        <v>52.11</v>
      </c>
      <c r="J1531" s="22" t="s">
        <v>80</v>
      </c>
      <c r="K1531" s="11" t="n">
        <v>25</v>
      </c>
      <c r="L1531" s="23" t="n">
        <v>3.5</v>
      </c>
      <c r="M1531" s="24" t="b">
        <f aca="false">TRUE()</f>
        <v>1</v>
      </c>
      <c r="N1531" s="11" t="s">
        <v>178</v>
      </c>
      <c r="O1531" s="11" t="str">
        <f aca="false">IF(K1531&lt;=StockP33,"Low",IF(K1531&lt;=StockP67,"Moderate","High"))</f>
        <v>Moderate</v>
      </c>
      <c r="P1531" s="11" t="str">
        <f aca="false">IF(H1531=0,"Low",IF(H1531&lt;=MarkdownP75,"Moderate","High"))</f>
        <v>Moderate</v>
      </c>
      <c r="Q1531" s="11" t="str">
        <f aca="false">IF(ISBLANK(L1531),"Unknown",IF(L1531&gt;=4,"Good",IF(L1531&lt;=2,"Poor","Neutral")))</f>
        <v>Neutral</v>
      </c>
      <c r="R1531" s="11" t="str">
        <f aca="false">IF(AND(O1531="Low",P1531="Low",Q1531="Good"),"BUY / PRIORITIZE",IF(AND(O1531="High",P1531="High",OR(Q1531="Poor",M1531=TRUE())),"HOLD / REVIEW","MONITOR"))</f>
        <v>MONITOR</v>
      </c>
      <c r="S1531" s="11" t="n">
        <f aca="false">K1531+(ROW()/10000000)</f>
        <v>25.0001531</v>
      </c>
    </row>
    <row r="1532" customFormat="false" ht="15" hidden="false" customHeight="false" outlineLevel="0" collapsed="false">
      <c r="A1532" s="11" t="s">
        <v>1856</v>
      </c>
      <c r="B1532" s="11" t="s">
        <v>28</v>
      </c>
      <c r="C1532" s="11" t="s">
        <v>107</v>
      </c>
      <c r="D1532" s="11" t="s">
        <v>36</v>
      </c>
      <c r="E1532" s="11" t="s">
        <v>91</v>
      </c>
      <c r="F1532" s="11" t="s">
        <v>92</v>
      </c>
      <c r="G1532" s="21" t="n">
        <v>124.69</v>
      </c>
      <c r="H1532" s="19" t="n">
        <v>40.9</v>
      </c>
      <c r="I1532" s="21" t="n">
        <v>73.69</v>
      </c>
      <c r="J1532" s="22" t="s">
        <v>80</v>
      </c>
      <c r="K1532" s="11" t="n">
        <v>9</v>
      </c>
      <c r="L1532" s="23" t="n">
        <v>4.1</v>
      </c>
      <c r="M1532" s="24" t="b">
        <f aca="false">FALSE()</f>
        <v>0</v>
      </c>
      <c r="N1532" s="11"/>
      <c r="O1532" s="11" t="str">
        <f aca="false">IF(K1532&lt;=StockP33,"Low",IF(K1532&lt;=StockP67,"Moderate","High"))</f>
        <v>Low</v>
      </c>
      <c r="P1532" s="11" t="str">
        <f aca="false">IF(H1532=0,"Low",IF(H1532&lt;=MarkdownP75,"Moderate","High"))</f>
        <v>High</v>
      </c>
      <c r="Q1532" s="11" t="str">
        <f aca="false">IF(ISBLANK(L1532),"Unknown",IF(L1532&gt;=4,"Good",IF(L1532&lt;=2,"Poor","Neutral")))</f>
        <v>Good</v>
      </c>
      <c r="R1532" s="11" t="str">
        <f aca="false">IF(AND(O1532="Low",P1532="Low",Q1532="Good"),"BUY / PRIORITIZE",IF(AND(O1532="High",P1532="High",OR(Q1532="Poor",M1532=TRUE())),"HOLD / REVIEW","MONITOR"))</f>
        <v>MONITOR</v>
      </c>
      <c r="S1532" s="11" t="n">
        <f aca="false">K1532+(ROW()/10000000)</f>
        <v>9.0001532</v>
      </c>
    </row>
    <row r="1533" customFormat="false" ht="15" hidden="false" customHeight="false" outlineLevel="0" collapsed="false">
      <c r="A1533" s="11" t="s">
        <v>1857</v>
      </c>
      <c r="B1533" s="11" t="s">
        <v>30</v>
      </c>
      <c r="C1533" s="11" t="s">
        <v>95</v>
      </c>
      <c r="D1533" s="11" t="s">
        <v>35</v>
      </c>
      <c r="E1533" s="11" t="s">
        <v>91</v>
      </c>
      <c r="F1533" s="11" t="s">
        <v>79</v>
      </c>
      <c r="G1533" s="21" t="n">
        <v>28.24</v>
      </c>
      <c r="H1533" s="19" t="n">
        <v>48.2</v>
      </c>
      <c r="I1533" s="21" t="n">
        <v>14.63</v>
      </c>
      <c r="J1533" s="22" t="s">
        <v>80</v>
      </c>
      <c r="K1533" s="11" t="n">
        <v>20</v>
      </c>
      <c r="L1533" s="23" t="n">
        <v>4.5</v>
      </c>
      <c r="M1533" s="24" t="b">
        <f aca="false">FALSE()</f>
        <v>0</v>
      </c>
      <c r="N1533" s="11"/>
      <c r="O1533" s="11" t="str">
        <f aca="false">IF(K1533&lt;=StockP33,"Low",IF(K1533&lt;=StockP67,"Moderate","High"))</f>
        <v>Moderate</v>
      </c>
      <c r="P1533" s="11" t="str">
        <f aca="false">IF(H1533=0,"Low",IF(H1533&lt;=MarkdownP75,"Moderate","High"))</f>
        <v>High</v>
      </c>
      <c r="Q1533" s="11" t="str">
        <f aca="false">IF(ISBLANK(L1533),"Unknown",IF(L1533&gt;=4,"Good",IF(L1533&lt;=2,"Poor","Neutral")))</f>
        <v>Good</v>
      </c>
      <c r="R1533" s="11" t="str">
        <f aca="false">IF(AND(O1533="Low",P1533="Low",Q1533="Good"),"BUY / PRIORITIZE",IF(AND(O1533="High",P1533="High",OR(Q1533="Poor",M1533=TRUE())),"HOLD / REVIEW","MONITOR"))</f>
        <v>MONITOR</v>
      </c>
      <c r="S1533" s="11" t="n">
        <f aca="false">K1533+(ROW()/10000000)</f>
        <v>20.0001533</v>
      </c>
    </row>
    <row r="1534" customFormat="false" ht="15" hidden="false" customHeight="false" outlineLevel="0" collapsed="false">
      <c r="A1534" s="11" t="s">
        <v>1858</v>
      </c>
      <c r="B1534" s="11" t="s">
        <v>8</v>
      </c>
      <c r="C1534" s="11" t="s">
        <v>72</v>
      </c>
      <c r="D1534" s="11" t="s">
        <v>35</v>
      </c>
      <c r="E1534" s="11"/>
      <c r="F1534" s="11" t="s">
        <v>120</v>
      </c>
      <c r="G1534" s="21" t="n">
        <v>76.39</v>
      </c>
      <c r="H1534" s="19" t="n">
        <v>53.9</v>
      </c>
      <c r="I1534" s="21" t="n">
        <v>35.22</v>
      </c>
      <c r="J1534" s="22" t="s">
        <v>80</v>
      </c>
      <c r="K1534" s="11" t="n">
        <v>15</v>
      </c>
      <c r="L1534" s="23" t="n">
        <v>1.5</v>
      </c>
      <c r="M1534" s="24" t="b">
        <f aca="false">FALSE()</f>
        <v>0</v>
      </c>
      <c r="N1534" s="11"/>
      <c r="O1534" s="11" t="str">
        <f aca="false">IF(K1534&lt;=StockP33,"Low",IF(K1534&lt;=StockP67,"Moderate","High"))</f>
        <v>Low</v>
      </c>
      <c r="P1534" s="11" t="str">
        <f aca="false">IF(H1534=0,"Low",IF(H1534&lt;=MarkdownP75,"Moderate","High"))</f>
        <v>High</v>
      </c>
      <c r="Q1534" s="11" t="str">
        <f aca="false">IF(ISBLANK(L1534),"Unknown",IF(L1534&gt;=4,"Good",IF(L1534&lt;=2,"Poor","Neutral")))</f>
        <v>Poor</v>
      </c>
      <c r="R1534" s="11" t="str">
        <f aca="false">IF(AND(O1534="Low",P1534="Low",Q1534="Good"),"BUY / PRIORITIZE",IF(AND(O1534="High",P1534="High",OR(Q1534="Poor",M1534=TRUE())),"HOLD / REVIEW","MONITOR"))</f>
        <v>MONITOR</v>
      </c>
      <c r="S1534" s="11" t="n">
        <f aca="false">K1534+(ROW()/10000000)</f>
        <v>15.0001534</v>
      </c>
    </row>
    <row r="1535" customFormat="false" ht="15" hidden="false" customHeight="false" outlineLevel="0" collapsed="false">
      <c r="A1535" s="11" t="s">
        <v>1859</v>
      </c>
      <c r="B1535" s="11" t="s">
        <v>26</v>
      </c>
      <c r="C1535" s="11" t="s">
        <v>72</v>
      </c>
      <c r="D1535" s="11" t="s">
        <v>37</v>
      </c>
      <c r="E1535" s="11" t="s">
        <v>113</v>
      </c>
      <c r="F1535" s="11" t="s">
        <v>96</v>
      </c>
      <c r="G1535" s="21" t="n">
        <v>96.82</v>
      </c>
      <c r="H1535" s="19" t="n">
        <v>0</v>
      </c>
      <c r="I1535" s="21" t="n">
        <v>96.82</v>
      </c>
      <c r="J1535" s="22" t="s">
        <v>80</v>
      </c>
      <c r="K1535" s="11" t="n">
        <v>0</v>
      </c>
      <c r="L1535" s="23" t="n">
        <v>1.1</v>
      </c>
      <c r="M1535" s="24" t="b">
        <f aca="false">FALSE()</f>
        <v>0</v>
      </c>
      <c r="N1535" s="11"/>
      <c r="O1535" s="11" t="str">
        <f aca="false">IF(K1535&lt;=StockP33,"Low",IF(K1535&lt;=StockP67,"Moderate","High"))</f>
        <v>Low</v>
      </c>
      <c r="P1535" s="11" t="str">
        <f aca="false">IF(H1535=0,"Low",IF(H1535&lt;=MarkdownP75,"Moderate","High"))</f>
        <v>Low</v>
      </c>
      <c r="Q1535" s="11" t="str">
        <f aca="false">IF(ISBLANK(L1535),"Unknown",IF(L1535&gt;=4,"Good",IF(L1535&lt;=2,"Poor","Neutral")))</f>
        <v>Poor</v>
      </c>
      <c r="R1535" s="11" t="str">
        <f aca="false">IF(AND(O1535="Low",P1535="Low",Q1535="Good"),"BUY / PRIORITIZE",IF(AND(O1535="High",P1535="High",OR(Q1535="Poor",M1535=TRUE())),"HOLD / REVIEW","MONITOR"))</f>
        <v>MONITOR</v>
      </c>
      <c r="S1535" s="11" t="n">
        <f aca="false">K1535+(ROW()/10000000)</f>
        <v>0.0001535</v>
      </c>
    </row>
    <row r="1536" customFormat="false" ht="15" hidden="false" customHeight="false" outlineLevel="0" collapsed="false">
      <c r="A1536" s="11" t="s">
        <v>1860</v>
      </c>
      <c r="B1536" s="11" t="s">
        <v>29</v>
      </c>
      <c r="C1536" s="11" t="s">
        <v>86</v>
      </c>
      <c r="D1536" s="11" t="s">
        <v>36</v>
      </c>
      <c r="E1536" s="11" t="s">
        <v>110</v>
      </c>
      <c r="F1536" s="11" t="s">
        <v>118</v>
      </c>
      <c r="G1536" s="21" t="n">
        <v>159.25</v>
      </c>
      <c r="H1536" s="19" t="n">
        <v>28.2</v>
      </c>
      <c r="I1536" s="21" t="n">
        <v>114.34</v>
      </c>
      <c r="J1536" s="22" t="s">
        <v>80</v>
      </c>
      <c r="K1536" s="11" t="n">
        <v>1</v>
      </c>
      <c r="L1536" s="23"/>
      <c r="M1536" s="24" t="b">
        <f aca="false">TRUE()</f>
        <v>1</v>
      </c>
      <c r="N1536" s="11" t="s">
        <v>191</v>
      </c>
      <c r="O1536" s="11" t="str">
        <f aca="false">IF(K1536&lt;=StockP33,"Low",IF(K1536&lt;=StockP67,"Moderate","High"))</f>
        <v>Low</v>
      </c>
      <c r="P1536" s="11" t="str">
        <f aca="false">IF(H1536=0,"Low",IF(H1536&lt;=MarkdownP75,"Moderate","High"))</f>
        <v>High</v>
      </c>
      <c r="Q1536" s="11" t="str">
        <f aca="false">IF(ISBLANK(L1536),"Unknown",IF(L1536&gt;=4,"Good",IF(L1536&lt;=2,"Poor","Neutral")))</f>
        <v>Unknown</v>
      </c>
      <c r="R1536" s="11" t="str">
        <f aca="false">IF(AND(O1536="Low",P1536="Low",Q1536="Good"),"BUY / PRIORITIZE",IF(AND(O1536="High",P1536="High",OR(Q1536="Poor",M1536=TRUE())),"HOLD / REVIEW","MONITOR"))</f>
        <v>MONITOR</v>
      </c>
      <c r="S1536" s="11" t="n">
        <f aca="false">K1536+(ROW()/10000000)</f>
        <v>1.0001536</v>
      </c>
    </row>
    <row r="1537" customFormat="false" ht="15" hidden="false" customHeight="false" outlineLevel="0" collapsed="false">
      <c r="A1537" s="11" t="s">
        <v>1861</v>
      </c>
      <c r="B1537" s="11" t="s">
        <v>27</v>
      </c>
      <c r="C1537" s="11" t="s">
        <v>72</v>
      </c>
      <c r="D1537" s="11" t="s">
        <v>35</v>
      </c>
      <c r="E1537" s="11" t="s">
        <v>102</v>
      </c>
      <c r="F1537" s="11" t="s">
        <v>118</v>
      </c>
      <c r="G1537" s="21" t="n">
        <v>171.93</v>
      </c>
      <c r="H1537" s="19" t="n">
        <v>52.3</v>
      </c>
      <c r="I1537" s="21" t="n">
        <v>82.01</v>
      </c>
      <c r="J1537" s="22" t="s">
        <v>80</v>
      </c>
      <c r="K1537" s="11" t="n">
        <v>28</v>
      </c>
      <c r="L1537" s="23" t="n">
        <v>2.2</v>
      </c>
      <c r="M1537" s="24" t="b">
        <f aca="false">FALSE()</f>
        <v>0</v>
      </c>
      <c r="N1537" s="11"/>
      <c r="O1537" s="11" t="str">
        <f aca="false">IF(K1537&lt;=StockP33,"Low",IF(K1537&lt;=StockP67,"Moderate","High"))</f>
        <v>Moderate</v>
      </c>
      <c r="P1537" s="11" t="str">
        <f aca="false">IF(H1537=0,"Low",IF(H1537&lt;=MarkdownP75,"Moderate","High"))</f>
        <v>High</v>
      </c>
      <c r="Q1537" s="11" t="str">
        <f aca="false">IF(ISBLANK(L1537),"Unknown",IF(L1537&gt;=4,"Good",IF(L1537&lt;=2,"Poor","Neutral")))</f>
        <v>Neutral</v>
      </c>
      <c r="R1537" s="11" t="str">
        <f aca="false">IF(AND(O1537="Low",P1537="Low",Q1537="Good"),"BUY / PRIORITIZE",IF(AND(O1537="High",P1537="High",OR(Q1537="Poor",M1537=TRUE())),"HOLD / REVIEW","MONITOR"))</f>
        <v>MONITOR</v>
      </c>
      <c r="S1537" s="11" t="n">
        <f aca="false">K1537+(ROW()/10000000)</f>
        <v>28.0001537</v>
      </c>
    </row>
    <row r="1538" customFormat="false" ht="15" hidden="false" customHeight="false" outlineLevel="0" collapsed="false">
      <c r="A1538" s="11" t="s">
        <v>1862</v>
      </c>
      <c r="B1538" s="11" t="s">
        <v>30</v>
      </c>
      <c r="C1538" s="11" t="s">
        <v>72</v>
      </c>
      <c r="D1538" s="11" t="s">
        <v>35</v>
      </c>
      <c r="E1538" s="11" t="s">
        <v>110</v>
      </c>
      <c r="F1538" s="11" t="s">
        <v>124</v>
      </c>
      <c r="G1538" s="21" t="n">
        <v>85.25</v>
      </c>
      <c r="H1538" s="19" t="n">
        <v>0</v>
      </c>
      <c r="I1538" s="21" t="n">
        <v>85.25</v>
      </c>
      <c r="J1538" s="22" t="s">
        <v>80</v>
      </c>
      <c r="K1538" s="11" t="n">
        <v>11</v>
      </c>
      <c r="L1538" s="23"/>
      <c r="M1538" s="24" t="b">
        <f aca="false">FALSE()</f>
        <v>0</v>
      </c>
      <c r="N1538" s="11"/>
      <c r="O1538" s="11" t="str">
        <f aca="false">IF(K1538&lt;=StockP33,"Low",IF(K1538&lt;=StockP67,"Moderate","High"))</f>
        <v>Low</v>
      </c>
      <c r="P1538" s="11" t="str">
        <f aca="false">IF(H1538=0,"Low",IF(H1538&lt;=MarkdownP75,"Moderate","High"))</f>
        <v>Low</v>
      </c>
      <c r="Q1538" s="11" t="str">
        <f aca="false">IF(ISBLANK(L1538),"Unknown",IF(L1538&gt;=4,"Good",IF(L1538&lt;=2,"Poor","Neutral")))</f>
        <v>Unknown</v>
      </c>
      <c r="R1538" s="11" t="str">
        <f aca="false">IF(AND(O1538="Low",P1538="Low",Q1538="Good"),"BUY / PRIORITIZE",IF(AND(O1538="High",P1538="High",OR(Q1538="Poor",M1538=TRUE())),"HOLD / REVIEW","MONITOR"))</f>
        <v>MONITOR</v>
      </c>
      <c r="S1538" s="11" t="n">
        <f aca="false">K1538+(ROW()/10000000)</f>
        <v>11.0001538</v>
      </c>
    </row>
    <row r="1539" customFormat="false" ht="15" hidden="false" customHeight="false" outlineLevel="0" collapsed="false">
      <c r="A1539" s="11" t="s">
        <v>1863</v>
      </c>
      <c r="B1539" s="11" t="s">
        <v>30</v>
      </c>
      <c r="C1539" s="11" t="s">
        <v>86</v>
      </c>
      <c r="D1539" s="11" t="s">
        <v>34</v>
      </c>
      <c r="E1539" s="11" t="s">
        <v>102</v>
      </c>
      <c r="F1539" s="11" t="s">
        <v>79</v>
      </c>
      <c r="G1539" s="21" t="n">
        <v>70.48</v>
      </c>
      <c r="H1539" s="19" t="n">
        <v>0</v>
      </c>
      <c r="I1539" s="21" t="n">
        <v>70.48</v>
      </c>
      <c r="J1539" s="22" t="s">
        <v>753</v>
      </c>
      <c r="K1539" s="11" t="n">
        <v>22</v>
      </c>
      <c r="L1539" s="23" t="n">
        <v>1.2</v>
      </c>
      <c r="M1539" s="24" t="b">
        <f aca="false">FALSE()</f>
        <v>0</v>
      </c>
      <c r="N1539" s="11"/>
      <c r="O1539" s="11" t="str">
        <f aca="false">IF(K1539&lt;=StockP33,"Low",IF(K1539&lt;=StockP67,"Moderate","High"))</f>
        <v>Moderate</v>
      </c>
      <c r="P1539" s="11" t="str">
        <f aca="false">IF(H1539=0,"Low",IF(H1539&lt;=MarkdownP75,"Moderate","High"))</f>
        <v>Low</v>
      </c>
      <c r="Q1539" s="11" t="str">
        <f aca="false">IF(ISBLANK(L1539),"Unknown",IF(L1539&gt;=4,"Good",IF(L1539&lt;=2,"Poor","Neutral")))</f>
        <v>Poor</v>
      </c>
      <c r="R1539" s="11" t="str">
        <f aca="false">IF(AND(O1539="Low",P1539="Low",Q1539="Good"),"BUY / PRIORITIZE",IF(AND(O1539="High",P1539="High",OR(Q1539="Poor",M1539=TRUE())),"HOLD / REVIEW","MONITOR"))</f>
        <v>MONITOR</v>
      </c>
      <c r="S1539" s="11" t="n">
        <f aca="false">K1539+(ROW()/10000000)</f>
        <v>22.0001539</v>
      </c>
    </row>
    <row r="1540" customFormat="false" ht="15" hidden="false" customHeight="false" outlineLevel="0" collapsed="false">
      <c r="A1540" s="11" t="s">
        <v>1864</v>
      </c>
      <c r="B1540" s="11" t="s">
        <v>28</v>
      </c>
      <c r="C1540" s="11" t="s">
        <v>86</v>
      </c>
      <c r="D1540" s="11" t="s">
        <v>34</v>
      </c>
      <c r="E1540" s="11" t="s">
        <v>91</v>
      </c>
      <c r="F1540" s="11" t="s">
        <v>124</v>
      </c>
      <c r="G1540" s="21" t="n">
        <v>203.02</v>
      </c>
      <c r="H1540" s="19" t="n">
        <v>0</v>
      </c>
      <c r="I1540" s="21" t="n">
        <v>203.02</v>
      </c>
      <c r="J1540" s="22" t="s">
        <v>1865</v>
      </c>
      <c r="K1540" s="11" t="n">
        <v>23</v>
      </c>
      <c r="L1540" s="23" t="n">
        <v>3.5</v>
      </c>
      <c r="M1540" s="24" t="b">
        <f aca="false">TRUE()</f>
        <v>1</v>
      </c>
      <c r="N1540" s="11" t="s">
        <v>140</v>
      </c>
      <c r="O1540" s="11" t="str">
        <f aca="false">IF(K1540&lt;=StockP33,"Low",IF(K1540&lt;=StockP67,"Moderate","High"))</f>
        <v>Moderate</v>
      </c>
      <c r="P1540" s="11" t="str">
        <f aca="false">IF(H1540=0,"Low",IF(H1540&lt;=MarkdownP75,"Moderate","High"))</f>
        <v>Low</v>
      </c>
      <c r="Q1540" s="11" t="str">
        <f aca="false">IF(ISBLANK(L1540),"Unknown",IF(L1540&gt;=4,"Good",IF(L1540&lt;=2,"Poor","Neutral")))</f>
        <v>Neutral</v>
      </c>
      <c r="R1540" s="11" t="str">
        <f aca="false">IF(AND(O1540="Low",P1540="Low",Q1540="Good"),"BUY / PRIORITIZE",IF(AND(O1540="High",P1540="High",OR(Q1540="Poor",M1540=TRUE())),"HOLD / REVIEW","MONITOR"))</f>
        <v>MONITOR</v>
      </c>
      <c r="S1540" s="11" t="n">
        <f aca="false">K1540+(ROW()/10000000)</f>
        <v>23.000154</v>
      </c>
    </row>
    <row r="1541" customFormat="false" ht="15" hidden="false" customHeight="false" outlineLevel="0" collapsed="false">
      <c r="A1541" s="11" t="s">
        <v>1866</v>
      </c>
      <c r="B1541" s="11" t="s">
        <v>27</v>
      </c>
      <c r="C1541" s="11" t="s">
        <v>107</v>
      </c>
      <c r="D1541" s="11" t="s">
        <v>36</v>
      </c>
      <c r="E1541" s="11" t="s">
        <v>102</v>
      </c>
      <c r="F1541" s="11" t="s">
        <v>79</v>
      </c>
      <c r="G1541" s="21" t="n">
        <v>115.39</v>
      </c>
      <c r="H1541" s="19" t="n">
        <v>11.2</v>
      </c>
      <c r="I1541" s="21" t="n">
        <v>102.47</v>
      </c>
      <c r="J1541" s="22" t="s">
        <v>80</v>
      </c>
      <c r="K1541" s="11" t="n">
        <v>4</v>
      </c>
      <c r="L1541" s="23" t="n">
        <v>3.8</v>
      </c>
      <c r="M1541" s="24" t="b">
        <f aca="false">FALSE()</f>
        <v>0</v>
      </c>
      <c r="N1541" s="11"/>
      <c r="O1541" s="11" t="str">
        <f aca="false">IF(K1541&lt;=StockP33,"Low",IF(K1541&lt;=StockP67,"Moderate","High"))</f>
        <v>Low</v>
      </c>
      <c r="P1541" s="11" t="str">
        <f aca="false">IF(H1541=0,"Low",IF(H1541&lt;=MarkdownP75,"Moderate","High"))</f>
        <v>Moderate</v>
      </c>
      <c r="Q1541" s="11" t="str">
        <f aca="false">IF(ISBLANK(L1541),"Unknown",IF(L1541&gt;=4,"Good",IF(L1541&lt;=2,"Poor","Neutral")))</f>
        <v>Neutral</v>
      </c>
      <c r="R1541" s="11" t="str">
        <f aca="false">IF(AND(O1541="Low",P1541="Low",Q1541="Good"),"BUY / PRIORITIZE",IF(AND(O1541="High",P1541="High",OR(Q1541="Poor",M1541=TRUE())),"HOLD / REVIEW","MONITOR"))</f>
        <v>MONITOR</v>
      </c>
      <c r="S1541" s="11" t="n">
        <f aca="false">K1541+(ROW()/10000000)</f>
        <v>4.0001541</v>
      </c>
    </row>
    <row r="1542" customFormat="false" ht="15" hidden="false" customHeight="false" outlineLevel="0" collapsed="false">
      <c r="A1542" s="11" t="s">
        <v>1867</v>
      </c>
      <c r="B1542" s="11" t="s">
        <v>8</v>
      </c>
      <c r="C1542" s="11" t="s">
        <v>95</v>
      </c>
      <c r="D1542" s="11" t="s">
        <v>34</v>
      </c>
      <c r="E1542" s="11"/>
      <c r="F1542" s="11" t="s">
        <v>79</v>
      </c>
      <c r="G1542" s="21" t="n">
        <v>27.91</v>
      </c>
      <c r="H1542" s="19" t="n">
        <v>49.8</v>
      </c>
      <c r="I1542" s="21" t="n">
        <v>14.01</v>
      </c>
      <c r="J1542" s="22" t="s">
        <v>1868</v>
      </c>
      <c r="K1542" s="11" t="n">
        <v>12</v>
      </c>
      <c r="L1542" s="23" t="n">
        <v>2.6</v>
      </c>
      <c r="M1542" s="24" t="b">
        <f aca="false">FALSE()</f>
        <v>0</v>
      </c>
      <c r="N1542" s="11"/>
      <c r="O1542" s="11" t="str">
        <f aca="false">IF(K1542&lt;=StockP33,"Low",IF(K1542&lt;=StockP67,"Moderate","High"))</f>
        <v>Low</v>
      </c>
      <c r="P1542" s="11" t="str">
        <f aca="false">IF(H1542=0,"Low",IF(H1542&lt;=MarkdownP75,"Moderate","High"))</f>
        <v>High</v>
      </c>
      <c r="Q1542" s="11" t="str">
        <f aca="false">IF(ISBLANK(L1542),"Unknown",IF(L1542&gt;=4,"Good",IF(L1542&lt;=2,"Poor","Neutral")))</f>
        <v>Neutral</v>
      </c>
      <c r="R1542" s="11" t="str">
        <f aca="false">IF(AND(O1542="Low",P1542="Low",Q1542="Good"),"BUY / PRIORITIZE",IF(AND(O1542="High",P1542="High",OR(Q1542="Poor",M1542=TRUE())),"HOLD / REVIEW","MONITOR"))</f>
        <v>MONITOR</v>
      </c>
      <c r="S1542" s="11" t="n">
        <f aca="false">K1542+(ROW()/10000000)</f>
        <v>12.0001542</v>
      </c>
    </row>
    <row r="1543" customFormat="false" ht="15" hidden="false" customHeight="false" outlineLevel="0" collapsed="false">
      <c r="A1543" s="11" t="s">
        <v>1869</v>
      </c>
      <c r="B1543" s="11" t="s">
        <v>8</v>
      </c>
      <c r="C1543" s="11" t="s">
        <v>101</v>
      </c>
      <c r="D1543" s="11" t="s">
        <v>37</v>
      </c>
      <c r="E1543" s="11"/>
      <c r="F1543" s="11" t="s">
        <v>118</v>
      </c>
      <c r="G1543" s="21" t="n">
        <v>79.69</v>
      </c>
      <c r="H1543" s="19" t="n">
        <v>0</v>
      </c>
      <c r="I1543" s="21" t="n">
        <v>79.69</v>
      </c>
      <c r="J1543" s="22" t="s">
        <v>80</v>
      </c>
      <c r="K1543" s="11" t="n">
        <v>44</v>
      </c>
      <c r="L1543" s="23" t="n">
        <v>1.6</v>
      </c>
      <c r="M1543" s="24" t="b">
        <f aca="false">FALSE()</f>
        <v>0</v>
      </c>
      <c r="N1543" s="11"/>
      <c r="O1543" s="11" t="str">
        <f aca="false">IF(K1543&lt;=StockP33,"Low",IF(K1543&lt;=StockP67,"Moderate","High"))</f>
        <v>High</v>
      </c>
      <c r="P1543" s="11" t="str">
        <f aca="false">IF(H1543=0,"Low",IF(H1543&lt;=MarkdownP75,"Moderate","High"))</f>
        <v>Low</v>
      </c>
      <c r="Q1543" s="11" t="str">
        <f aca="false">IF(ISBLANK(L1543),"Unknown",IF(L1543&gt;=4,"Good",IF(L1543&lt;=2,"Poor","Neutral")))</f>
        <v>Poor</v>
      </c>
      <c r="R1543" s="11" t="str">
        <f aca="false">IF(AND(O1543="Low",P1543="Low",Q1543="Good"),"BUY / PRIORITIZE",IF(AND(O1543="High",P1543="High",OR(Q1543="Poor",M1543=TRUE())),"HOLD / REVIEW","MONITOR"))</f>
        <v>MONITOR</v>
      </c>
      <c r="S1543" s="11" t="n">
        <f aca="false">K1543+(ROW()/10000000)</f>
        <v>44.0001543</v>
      </c>
    </row>
    <row r="1544" customFormat="false" ht="15" hidden="false" customHeight="false" outlineLevel="0" collapsed="false">
      <c r="A1544" s="11" t="s">
        <v>1870</v>
      </c>
      <c r="B1544" s="11" t="s">
        <v>26</v>
      </c>
      <c r="C1544" s="11" t="s">
        <v>130</v>
      </c>
      <c r="D1544" s="11" t="s">
        <v>36</v>
      </c>
      <c r="E1544" s="11" t="s">
        <v>91</v>
      </c>
      <c r="F1544" s="11" t="s">
        <v>124</v>
      </c>
      <c r="G1544" s="21" t="n">
        <v>47.22</v>
      </c>
      <c r="H1544" s="19" t="n">
        <v>0</v>
      </c>
      <c r="I1544" s="21" t="n">
        <v>47.22</v>
      </c>
      <c r="J1544" s="22" t="s">
        <v>80</v>
      </c>
      <c r="K1544" s="11" t="n">
        <v>19</v>
      </c>
      <c r="L1544" s="23" t="n">
        <v>1.9</v>
      </c>
      <c r="M1544" s="24" t="b">
        <f aca="false">FALSE()</f>
        <v>0</v>
      </c>
      <c r="N1544" s="11"/>
      <c r="O1544" s="11" t="str">
        <f aca="false">IF(K1544&lt;=StockP33,"Low",IF(K1544&lt;=StockP67,"Moderate","High"))</f>
        <v>Moderate</v>
      </c>
      <c r="P1544" s="11" t="str">
        <f aca="false">IF(H1544=0,"Low",IF(H1544&lt;=MarkdownP75,"Moderate","High"))</f>
        <v>Low</v>
      </c>
      <c r="Q1544" s="11" t="str">
        <f aca="false">IF(ISBLANK(L1544),"Unknown",IF(L1544&gt;=4,"Good",IF(L1544&lt;=2,"Poor","Neutral")))</f>
        <v>Poor</v>
      </c>
      <c r="R1544" s="11" t="str">
        <f aca="false">IF(AND(O1544="Low",P1544="Low",Q1544="Good"),"BUY / PRIORITIZE",IF(AND(O1544="High",P1544="High",OR(Q1544="Poor",M1544=TRUE())),"HOLD / REVIEW","MONITOR"))</f>
        <v>MONITOR</v>
      </c>
      <c r="S1544" s="11" t="n">
        <f aca="false">K1544+(ROW()/10000000)</f>
        <v>19.0001544</v>
      </c>
    </row>
    <row r="1545" customFormat="false" ht="15" hidden="false" customHeight="false" outlineLevel="0" collapsed="false">
      <c r="A1545" s="11" t="s">
        <v>1871</v>
      </c>
      <c r="B1545" s="11" t="s">
        <v>29</v>
      </c>
      <c r="C1545" s="11" t="s">
        <v>101</v>
      </c>
      <c r="D1545" s="11" t="s">
        <v>36</v>
      </c>
      <c r="E1545" s="11"/>
      <c r="F1545" s="11" t="s">
        <v>124</v>
      </c>
      <c r="G1545" s="21" t="n">
        <v>172.27</v>
      </c>
      <c r="H1545" s="19" t="n">
        <v>14.9</v>
      </c>
      <c r="I1545" s="21" t="n">
        <v>146.6</v>
      </c>
      <c r="J1545" s="22" t="s">
        <v>80</v>
      </c>
      <c r="K1545" s="11" t="n">
        <v>8</v>
      </c>
      <c r="L1545" s="23" t="n">
        <v>3.7</v>
      </c>
      <c r="M1545" s="24" t="b">
        <f aca="false">FALSE()</f>
        <v>0</v>
      </c>
      <c r="N1545" s="11"/>
      <c r="O1545" s="11" t="str">
        <f aca="false">IF(K1545&lt;=StockP33,"Low",IF(K1545&lt;=StockP67,"Moderate","High"))</f>
        <v>Low</v>
      </c>
      <c r="P1545" s="11" t="str">
        <f aca="false">IF(H1545=0,"Low",IF(H1545&lt;=MarkdownP75,"Moderate","High"))</f>
        <v>Moderate</v>
      </c>
      <c r="Q1545" s="11" t="str">
        <f aca="false">IF(ISBLANK(L1545),"Unknown",IF(L1545&gt;=4,"Good",IF(L1545&lt;=2,"Poor","Neutral")))</f>
        <v>Neutral</v>
      </c>
      <c r="R1545" s="11" t="str">
        <f aca="false">IF(AND(O1545="Low",P1545="Low",Q1545="Good"),"BUY / PRIORITIZE",IF(AND(O1545="High",P1545="High",OR(Q1545="Poor",M1545=TRUE())),"HOLD / REVIEW","MONITOR"))</f>
        <v>MONITOR</v>
      </c>
      <c r="S1545" s="11" t="n">
        <f aca="false">K1545+(ROW()/10000000)</f>
        <v>8.0001545</v>
      </c>
    </row>
    <row r="1546" customFormat="false" ht="15" hidden="false" customHeight="false" outlineLevel="0" collapsed="false">
      <c r="A1546" s="11" t="s">
        <v>1872</v>
      </c>
      <c r="B1546" s="11" t="s">
        <v>8</v>
      </c>
      <c r="C1546" s="11" t="s">
        <v>72</v>
      </c>
      <c r="D1546" s="11" t="s">
        <v>37</v>
      </c>
      <c r="E1546" s="11"/>
      <c r="F1546" s="11" t="s">
        <v>82</v>
      </c>
      <c r="G1546" s="21" t="n">
        <v>27.9</v>
      </c>
      <c r="H1546" s="19" t="n">
        <v>0</v>
      </c>
      <c r="I1546" s="21" t="n">
        <v>27.9</v>
      </c>
      <c r="J1546" s="22" t="s">
        <v>80</v>
      </c>
      <c r="K1546" s="11" t="n">
        <v>27</v>
      </c>
      <c r="L1546" s="23" t="n">
        <v>3</v>
      </c>
      <c r="M1546" s="24" t="b">
        <f aca="false">TRUE()</f>
        <v>1</v>
      </c>
      <c r="N1546" s="11" t="s">
        <v>178</v>
      </c>
      <c r="O1546" s="11" t="str">
        <f aca="false">IF(K1546&lt;=StockP33,"Low",IF(K1546&lt;=StockP67,"Moderate","High"))</f>
        <v>Moderate</v>
      </c>
      <c r="P1546" s="11" t="str">
        <f aca="false">IF(H1546=0,"Low",IF(H1546&lt;=MarkdownP75,"Moderate","High"))</f>
        <v>Low</v>
      </c>
      <c r="Q1546" s="11" t="str">
        <f aca="false">IF(ISBLANK(L1546),"Unknown",IF(L1546&gt;=4,"Good",IF(L1546&lt;=2,"Poor","Neutral")))</f>
        <v>Neutral</v>
      </c>
      <c r="R1546" s="11" t="str">
        <f aca="false">IF(AND(O1546="Low",P1546="Low",Q1546="Good"),"BUY / PRIORITIZE",IF(AND(O1546="High",P1546="High",OR(Q1546="Poor",M1546=TRUE())),"HOLD / REVIEW","MONITOR"))</f>
        <v>MONITOR</v>
      </c>
      <c r="S1546" s="11" t="n">
        <f aca="false">K1546+(ROW()/10000000)</f>
        <v>27.0001546</v>
      </c>
    </row>
    <row r="1547" customFormat="false" ht="15" hidden="false" customHeight="false" outlineLevel="0" collapsed="false">
      <c r="A1547" s="11" t="s">
        <v>1873</v>
      </c>
      <c r="B1547" s="11" t="s">
        <v>27</v>
      </c>
      <c r="C1547" s="11" t="s">
        <v>72</v>
      </c>
      <c r="D1547" s="11" t="s">
        <v>34</v>
      </c>
      <c r="E1547" s="11" t="s">
        <v>91</v>
      </c>
      <c r="F1547" s="11" t="s">
        <v>111</v>
      </c>
      <c r="G1547" s="21" t="n">
        <v>139.26</v>
      </c>
      <c r="H1547" s="19" t="n">
        <v>0</v>
      </c>
      <c r="I1547" s="21" t="n">
        <v>139.26</v>
      </c>
      <c r="J1547" s="22" t="s">
        <v>1874</v>
      </c>
      <c r="K1547" s="11" t="n">
        <v>32</v>
      </c>
      <c r="L1547" s="23" t="n">
        <v>3.4</v>
      </c>
      <c r="M1547" s="24" t="b">
        <f aca="false">FALSE()</f>
        <v>0</v>
      </c>
      <c r="N1547" s="11"/>
      <c r="O1547" s="11" t="str">
        <f aca="false">IF(K1547&lt;=StockP33,"Low",IF(K1547&lt;=StockP67,"Moderate","High"))</f>
        <v>Moderate</v>
      </c>
      <c r="P1547" s="11" t="str">
        <f aca="false">IF(H1547=0,"Low",IF(H1547&lt;=MarkdownP75,"Moderate","High"))</f>
        <v>Low</v>
      </c>
      <c r="Q1547" s="11" t="str">
        <f aca="false">IF(ISBLANK(L1547),"Unknown",IF(L1547&gt;=4,"Good",IF(L1547&lt;=2,"Poor","Neutral")))</f>
        <v>Neutral</v>
      </c>
      <c r="R1547" s="11" t="str">
        <f aca="false">IF(AND(O1547="Low",P1547="Low",Q1547="Good"),"BUY / PRIORITIZE",IF(AND(O1547="High",P1547="High",OR(Q1547="Poor",M1547=TRUE())),"HOLD / REVIEW","MONITOR"))</f>
        <v>MONITOR</v>
      </c>
      <c r="S1547" s="11" t="n">
        <f aca="false">K1547+(ROW()/10000000)</f>
        <v>32.0001547</v>
      </c>
    </row>
    <row r="1548" customFormat="false" ht="15" hidden="false" customHeight="false" outlineLevel="0" collapsed="false">
      <c r="A1548" s="11" t="s">
        <v>1875</v>
      </c>
      <c r="B1548" s="11" t="s">
        <v>8</v>
      </c>
      <c r="C1548" s="11" t="s">
        <v>107</v>
      </c>
      <c r="D1548" s="11" t="s">
        <v>35</v>
      </c>
      <c r="E1548" s="11"/>
      <c r="F1548" s="11" t="s">
        <v>92</v>
      </c>
      <c r="G1548" s="21" t="n">
        <v>30.47</v>
      </c>
      <c r="H1548" s="19" t="n">
        <v>0</v>
      </c>
      <c r="I1548" s="21" t="n">
        <v>30.47</v>
      </c>
      <c r="J1548" s="22" t="s">
        <v>80</v>
      </c>
      <c r="K1548" s="11" t="n">
        <v>34</v>
      </c>
      <c r="L1548" s="23" t="n">
        <v>4.2</v>
      </c>
      <c r="M1548" s="24" t="b">
        <f aca="false">FALSE()</f>
        <v>0</v>
      </c>
      <c r="N1548" s="11"/>
      <c r="O1548" s="11" t="str">
        <f aca="false">IF(K1548&lt;=StockP33,"Low",IF(K1548&lt;=StockP67,"Moderate","High"))</f>
        <v>High</v>
      </c>
      <c r="P1548" s="11" t="str">
        <f aca="false">IF(H1548=0,"Low",IF(H1548&lt;=MarkdownP75,"Moderate","High"))</f>
        <v>Low</v>
      </c>
      <c r="Q1548" s="11" t="str">
        <f aca="false">IF(ISBLANK(L1548),"Unknown",IF(L1548&gt;=4,"Good",IF(L1548&lt;=2,"Poor","Neutral")))</f>
        <v>Good</v>
      </c>
      <c r="R1548" s="11" t="str">
        <f aca="false">IF(AND(O1548="Low",P1548="Low",Q1548="Good"),"BUY / PRIORITIZE",IF(AND(O1548="High",P1548="High",OR(Q1548="Poor",M1548=TRUE())),"HOLD / REVIEW","MONITOR"))</f>
        <v>MONITOR</v>
      </c>
      <c r="S1548" s="11" t="n">
        <f aca="false">K1548+(ROW()/10000000)</f>
        <v>34.0001548</v>
      </c>
    </row>
    <row r="1549" customFormat="false" ht="15" hidden="false" customHeight="false" outlineLevel="0" collapsed="false">
      <c r="A1549" s="11" t="s">
        <v>1876</v>
      </c>
      <c r="B1549" s="11" t="s">
        <v>28</v>
      </c>
      <c r="C1549" s="11" t="s">
        <v>116</v>
      </c>
      <c r="D1549" s="11" t="s">
        <v>36</v>
      </c>
      <c r="E1549" s="11" t="s">
        <v>113</v>
      </c>
      <c r="F1549" s="11" t="s">
        <v>120</v>
      </c>
      <c r="G1549" s="21" t="n">
        <v>141.53</v>
      </c>
      <c r="H1549" s="19" t="n">
        <v>39.8</v>
      </c>
      <c r="I1549" s="21" t="n">
        <v>85.2</v>
      </c>
      <c r="J1549" s="22" t="s">
        <v>80</v>
      </c>
      <c r="K1549" s="11" t="n">
        <v>47</v>
      </c>
      <c r="L1549" s="23" t="n">
        <v>3.5</v>
      </c>
      <c r="M1549" s="24" t="b">
        <f aca="false">FALSE()</f>
        <v>0</v>
      </c>
      <c r="N1549" s="11"/>
      <c r="O1549" s="11" t="str">
        <f aca="false">IF(K1549&lt;=StockP33,"Low",IF(K1549&lt;=StockP67,"Moderate","High"))</f>
        <v>High</v>
      </c>
      <c r="P1549" s="11" t="str">
        <f aca="false">IF(H1549=0,"Low",IF(H1549&lt;=MarkdownP75,"Moderate","High"))</f>
        <v>High</v>
      </c>
      <c r="Q1549" s="11" t="str">
        <f aca="false">IF(ISBLANK(L1549),"Unknown",IF(L1549&gt;=4,"Good",IF(L1549&lt;=2,"Poor","Neutral")))</f>
        <v>Neutral</v>
      </c>
      <c r="R1549" s="11" t="str">
        <f aca="false">IF(AND(O1549="Low",P1549="Low",Q1549="Good"),"BUY / PRIORITIZE",IF(AND(O1549="High",P1549="High",OR(Q1549="Poor",M1549=TRUE())),"HOLD / REVIEW","MONITOR"))</f>
        <v>MONITOR</v>
      </c>
      <c r="S1549" s="11" t="n">
        <f aca="false">K1549+(ROW()/10000000)</f>
        <v>47.0001549</v>
      </c>
    </row>
    <row r="1550" customFormat="false" ht="15" hidden="false" customHeight="false" outlineLevel="0" collapsed="false">
      <c r="A1550" s="11" t="s">
        <v>1877</v>
      </c>
      <c r="B1550" s="11" t="s">
        <v>27</v>
      </c>
      <c r="C1550" s="11" t="s">
        <v>116</v>
      </c>
      <c r="D1550" s="11" t="s">
        <v>34</v>
      </c>
      <c r="E1550" s="11" t="s">
        <v>73</v>
      </c>
      <c r="F1550" s="11" t="s">
        <v>92</v>
      </c>
      <c r="G1550" s="21" t="n">
        <v>47.45</v>
      </c>
      <c r="H1550" s="19" t="n">
        <v>24.4</v>
      </c>
      <c r="I1550" s="21" t="n">
        <v>35.87</v>
      </c>
      <c r="J1550" s="22" t="s">
        <v>1878</v>
      </c>
      <c r="K1550" s="11" t="n">
        <v>42</v>
      </c>
      <c r="L1550" s="23" t="n">
        <v>2.8</v>
      </c>
      <c r="M1550" s="24" t="b">
        <f aca="false">FALSE()</f>
        <v>0</v>
      </c>
      <c r="N1550" s="11"/>
      <c r="O1550" s="11" t="str">
        <f aca="false">IF(K1550&lt;=StockP33,"Low",IF(K1550&lt;=StockP67,"Moderate","High"))</f>
        <v>High</v>
      </c>
      <c r="P1550" s="11" t="str">
        <f aca="false">IF(H1550=0,"Low",IF(H1550&lt;=MarkdownP75,"Moderate","High"))</f>
        <v>High</v>
      </c>
      <c r="Q1550" s="11" t="str">
        <f aca="false">IF(ISBLANK(L1550),"Unknown",IF(L1550&gt;=4,"Good",IF(L1550&lt;=2,"Poor","Neutral")))</f>
        <v>Neutral</v>
      </c>
      <c r="R1550" s="11" t="str">
        <f aca="false">IF(AND(O1550="Low",P1550="Low",Q1550="Good"),"BUY / PRIORITIZE",IF(AND(O1550="High",P1550="High",OR(Q1550="Poor",M1550=TRUE())),"HOLD / REVIEW","MONITOR"))</f>
        <v>MONITOR</v>
      </c>
      <c r="S1550" s="11" t="n">
        <f aca="false">K1550+(ROW()/10000000)</f>
        <v>42.000155</v>
      </c>
    </row>
    <row r="1551" customFormat="false" ht="15" hidden="false" customHeight="false" outlineLevel="0" collapsed="false">
      <c r="A1551" s="11" t="s">
        <v>1879</v>
      </c>
      <c r="B1551" s="11" t="s">
        <v>26</v>
      </c>
      <c r="C1551" s="11" t="s">
        <v>116</v>
      </c>
      <c r="D1551" s="11" t="s">
        <v>37</v>
      </c>
      <c r="E1551" s="11" t="s">
        <v>110</v>
      </c>
      <c r="F1551" s="11" t="s">
        <v>118</v>
      </c>
      <c r="G1551" s="21" t="n">
        <v>51.39</v>
      </c>
      <c r="H1551" s="19" t="n">
        <v>6.3</v>
      </c>
      <c r="I1551" s="21" t="n">
        <v>48.15</v>
      </c>
      <c r="J1551" s="22" t="s">
        <v>80</v>
      </c>
      <c r="K1551" s="11" t="n">
        <v>46</v>
      </c>
      <c r="L1551" s="23"/>
      <c r="M1551" s="24" t="b">
        <f aca="false">FALSE()</f>
        <v>0</v>
      </c>
      <c r="N1551" s="11"/>
      <c r="O1551" s="11" t="str">
        <f aca="false">IF(K1551&lt;=StockP33,"Low",IF(K1551&lt;=StockP67,"Moderate","High"))</f>
        <v>High</v>
      </c>
      <c r="P1551" s="11" t="str">
        <f aca="false">IF(H1551=0,"Low",IF(H1551&lt;=MarkdownP75,"Moderate","High"))</f>
        <v>Moderate</v>
      </c>
      <c r="Q1551" s="11" t="str">
        <f aca="false">IF(ISBLANK(L1551),"Unknown",IF(L1551&gt;=4,"Good",IF(L1551&lt;=2,"Poor","Neutral")))</f>
        <v>Unknown</v>
      </c>
      <c r="R1551" s="11" t="str">
        <f aca="false">IF(AND(O1551="Low",P1551="Low",Q1551="Good"),"BUY / PRIORITIZE",IF(AND(O1551="High",P1551="High",OR(Q1551="Poor",M1551=TRUE())),"HOLD / REVIEW","MONITOR"))</f>
        <v>MONITOR</v>
      </c>
      <c r="S1551" s="11" t="n">
        <f aca="false">K1551+(ROW()/10000000)</f>
        <v>46.0001551</v>
      </c>
    </row>
    <row r="1552" customFormat="false" ht="15" hidden="false" customHeight="false" outlineLevel="0" collapsed="false">
      <c r="A1552" s="11" t="s">
        <v>1880</v>
      </c>
      <c r="B1552" s="11" t="s">
        <v>30</v>
      </c>
      <c r="C1552" s="11" t="s">
        <v>116</v>
      </c>
      <c r="D1552" s="11" t="s">
        <v>34</v>
      </c>
      <c r="E1552" s="11"/>
      <c r="F1552" s="11" t="s">
        <v>88</v>
      </c>
      <c r="G1552" s="21" t="n">
        <v>74.13</v>
      </c>
      <c r="H1552" s="19" t="n">
        <v>0</v>
      </c>
      <c r="I1552" s="21" t="n">
        <v>74.13</v>
      </c>
      <c r="J1552" s="22" t="s">
        <v>1881</v>
      </c>
      <c r="K1552" s="11" t="n">
        <v>23</v>
      </c>
      <c r="L1552" s="23"/>
      <c r="M1552" s="24" t="b">
        <f aca="false">FALSE()</f>
        <v>0</v>
      </c>
      <c r="N1552" s="11"/>
      <c r="O1552" s="11" t="str">
        <f aca="false">IF(K1552&lt;=StockP33,"Low",IF(K1552&lt;=StockP67,"Moderate","High"))</f>
        <v>Moderate</v>
      </c>
      <c r="P1552" s="11" t="str">
        <f aca="false">IF(H1552=0,"Low",IF(H1552&lt;=MarkdownP75,"Moderate","High"))</f>
        <v>Low</v>
      </c>
      <c r="Q1552" s="11" t="str">
        <f aca="false">IF(ISBLANK(L1552),"Unknown",IF(L1552&gt;=4,"Good",IF(L1552&lt;=2,"Poor","Neutral")))</f>
        <v>Unknown</v>
      </c>
      <c r="R1552" s="11" t="str">
        <f aca="false">IF(AND(O1552="Low",P1552="Low",Q1552="Good"),"BUY / PRIORITIZE",IF(AND(O1552="High",P1552="High",OR(Q1552="Poor",M1552=TRUE())),"HOLD / REVIEW","MONITOR"))</f>
        <v>MONITOR</v>
      </c>
      <c r="S1552" s="11" t="n">
        <f aca="false">K1552+(ROW()/10000000)</f>
        <v>23.0001552</v>
      </c>
    </row>
    <row r="1553" customFormat="false" ht="15" hidden="false" customHeight="false" outlineLevel="0" collapsed="false">
      <c r="A1553" s="11" t="s">
        <v>1882</v>
      </c>
      <c r="B1553" s="11" t="s">
        <v>27</v>
      </c>
      <c r="C1553" s="11" t="s">
        <v>72</v>
      </c>
      <c r="D1553" s="11" t="s">
        <v>36</v>
      </c>
      <c r="E1553" s="11" t="s">
        <v>73</v>
      </c>
      <c r="F1553" s="11" t="s">
        <v>120</v>
      </c>
      <c r="G1553" s="21" t="n">
        <v>156.14</v>
      </c>
      <c r="H1553" s="19" t="n">
        <v>5</v>
      </c>
      <c r="I1553" s="21" t="n">
        <v>148.33</v>
      </c>
      <c r="J1553" s="22" t="s">
        <v>80</v>
      </c>
      <c r="K1553" s="11" t="n">
        <v>39</v>
      </c>
      <c r="L1553" s="23"/>
      <c r="M1553" s="24" t="b">
        <f aca="false">FALSE()</f>
        <v>0</v>
      </c>
      <c r="N1553" s="11"/>
      <c r="O1553" s="11" t="str">
        <f aca="false">IF(K1553&lt;=StockP33,"Low",IF(K1553&lt;=StockP67,"Moderate","High"))</f>
        <v>High</v>
      </c>
      <c r="P1553" s="11" t="str">
        <f aca="false">IF(H1553=0,"Low",IF(H1553&lt;=MarkdownP75,"Moderate","High"))</f>
        <v>Moderate</v>
      </c>
      <c r="Q1553" s="11" t="str">
        <f aca="false">IF(ISBLANK(L1553),"Unknown",IF(L1553&gt;=4,"Good",IF(L1553&lt;=2,"Poor","Neutral")))</f>
        <v>Unknown</v>
      </c>
      <c r="R1553" s="11" t="str">
        <f aca="false">IF(AND(O1553="Low",P1553="Low",Q1553="Good"),"BUY / PRIORITIZE",IF(AND(O1553="High",P1553="High",OR(Q1553="Poor",M1553=TRUE())),"HOLD / REVIEW","MONITOR"))</f>
        <v>MONITOR</v>
      </c>
      <c r="S1553" s="11" t="n">
        <f aca="false">K1553+(ROW()/10000000)</f>
        <v>39.0001553</v>
      </c>
    </row>
    <row r="1554" customFormat="false" ht="15" hidden="false" customHeight="false" outlineLevel="0" collapsed="false">
      <c r="A1554" s="11" t="s">
        <v>1883</v>
      </c>
      <c r="B1554" s="11" t="s">
        <v>28</v>
      </c>
      <c r="C1554" s="11" t="s">
        <v>86</v>
      </c>
      <c r="D1554" s="11" t="s">
        <v>35</v>
      </c>
      <c r="E1554" s="11" t="s">
        <v>110</v>
      </c>
      <c r="F1554" s="11" t="s">
        <v>98</v>
      </c>
      <c r="G1554" s="21" t="n">
        <v>105.3</v>
      </c>
      <c r="H1554" s="19" t="n">
        <v>0</v>
      </c>
      <c r="I1554" s="21" t="n">
        <v>105.3</v>
      </c>
      <c r="J1554" s="22" t="s">
        <v>80</v>
      </c>
      <c r="K1554" s="11" t="n">
        <v>1</v>
      </c>
      <c r="L1554" s="23" t="n">
        <v>3</v>
      </c>
      <c r="M1554" s="24" t="b">
        <f aca="false">FALSE()</f>
        <v>0</v>
      </c>
      <c r="N1554" s="11"/>
      <c r="O1554" s="11" t="str">
        <f aca="false">IF(K1554&lt;=StockP33,"Low",IF(K1554&lt;=StockP67,"Moderate","High"))</f>
        <v>Low</v>
      </c>
      <c r="P1554" s="11" t="str">
        <f aca="false">IF(H1554=0,"Low",IF(H1554&lt;=MarkdownP75,"Moderate","High"))</f>
        <v>Low</v>
      </c>
      <c r="Q1554" s="11" t="str">
        <f aca="false">IF(ISBLANK(L1554),"Unknown",IF(L1554&gt;=4,"Good",IF(L1554&lt;=2,"Poor","Neutral")))</f>
        <v>Neutral</v>
      </c>
      <c r="R1554" s="11" t="str">
        <f aca="false">IF(AND(O1554="Low",P1554="Low",Q1554="Good"),"BUY / PRIORITIZE",IF(AND(O1554="High",P1554="High",OR(Q1554="Poor",M1554=TRUE())),"HOLD / REVIEW","MONITOR"))</f>
        <v>MONITOR</v>
      </c>
      <c r="S1554" s="11" t="n">
        <f aca="false">K1554+(ROW()/10000000)</f>
        <v>1.0001554</v>
      </c>
    </row>
    <row r="1555" customFormat="false" ht="15" hidden="false" customHeight="false" outlineLevel="0" collapsed="false">
      <c r="A1555" s="11" t="s">
        <v>1884</v>
      </c>
      <c r="B1555" s="11" t="s">
        <v>27</v>
      </c>
      <c r="C1555" s="11" t="s">
        <v>101</v>
      </c>
      <c r="D1555" s="11" t="s">
        <v>37</v>
      </c>
      <c r="E1555" s="11" t="s">
        <v>91</v>
      </c>
      <c r="F1555" s="11" t="s">
        <v>118</v>
      </c>
      <c r="G1555" s="21" t="n">
        <v>126.76</v>
      </c>
      <c r="H1555" s="19" t="n">
        <v>0</v>
      </c>
      <c r="I1555" s="21" t="n">
        <v>126.76</v>
      </c>
      <c r="J1555" s="22" t="s">
        <v>80</v>
      </c>
      <c r="K1555" s="11" t="n">
        <v>24</v>
      </c>
      <c r="L1555" s="23" t="n">
        <v>2.2</v>
      </c>
      <c r="M1555" s="24" t="b">
        <f aca="false">FALSE()</f>
        <v>0</v>
      </c>
      <c r="N1555" s="11"/>
      <c r="O1555" s="11" t="str">
        <f aca="false">IF(K1555&lt;=StockP33,"Low",IF(K1555&lt;=StockP67,"Moderate","High"))</f>
        <v>Moderate</v>
      </c>
      <c r="P1555" s="11" t="str">
        <f aca="false">IF(H1555=0,"Low",IF(H1555&lt;=MarkdownP75,"Moderate","High"))</f>
        <v>Low</v>
      </c>
      <c r="Q1555" s="11" t="str">
        <f aca="false">IF(ISBLANK(L1555),"Unknown",IF(L1555&gt;=4,"Good",IF(L1555&lt;=2,"Poor","Neutral")))</f>
        <v>Neutral</v>
      </c>
      <c r="R1555" s="11" t="str">
        <f aca="false">IF(AND(O1555="Low",P1555="Low",Q1555="Good"),"BUY / PRIORITIZE",IF(AND(O1555="High",P1555="High",OR(Q1555="Poor",M1555=TRUE())),"HOLD / REVIEW","MONITOR"))</f>
        <v>MONITOR</v>
      </c>
      <c r="S1555" s="11" t="n">
        <f aca="false">K1555+(ROW()/10000000)</f>
        <v>24.0001555</v>
      </c>
    </row>
    <row r="1556" customFormat="false" ht="15" hidden="false" customHeight="false" outlineLevel="0" collapsed="false">
      <c r="A1556" s="11" t="s">
        <v>1885</v>
      </c>
      <c r="B1556" s="11" t="s">
        <v>30</v>
      </c>
      <c r="C1556" s="11" t="s">
        <v>116</v>
      </c>
      <c r="D1556" s="11" t="s">
        <v>37</v>
      </c>
      <c r="E1556" s="11" t="s">
        <v>78</v>
      </c>
      <c r="F1556" s="11" t="s">
        <v>118</v>
      </c>
      <c r="G1556" s="21" t="n">
        <v>35.41</v>
      </c>
      <c r="H1556" s="19" t="n">
        <v>0</v>
      </c>
      <c r="I1556" s="21" t="n">
        <v>35.41</v>
      </c>
      <c r="J1556" s="22" t="s">
        <v>80</v>
      </c>
      <c r="K1556" s="11" t="n">
        <v>48</v>
      </c>
      <c r="L1556" s="23" t="n">
        <v>4.3</v>
      </c>
      <c r="M1556" s="24" t="b">
        <f aca="false">TRUE()</f>
        <v>1</v>
      </c>
      <c r="N1556" s="11" t="s">
        <v>134</v>
      </c>
      <c r="O1556" s="11" t="str">
        <f aca="false">IF(K1556&lt;=StockP33,"Low",IF(K1556&lt;=StockP67,"Moderate","High"))</f>
        <v>High</v>
      </c>
      <c r="P1556" s="11" t="str">
        <f aca="false">IF(H1556=0,"Low",IF(H1556&lt;=MarkdownP75,"Moderate","High"))</f>
        <v>Low</v>
      </c>
      <c r="Q1556" s="11" t="str">
        <f aca="false">IF(ISBLANK(L1556),"Unknown",IF(L1556&gt;=4,"Good",IF(L1556&lt;=2,"Poor","Neutral")))</f>
        <v>Good</v>
      </c>
      <c r="R1556" s="11" t="str">
        <f aca="false">IF(AND(O1556="Low",P1556="Low",Q1556="Good"),"BUY / PRIORITIZE",IF(AND(O1556="High",P1556="High",OR(Q1556="Poor",M1556=TRUE())),"HOLD / REVIEW","MONITOR"))</f>
        <v>MONITOR</v>
      </c>
      <c r="S1556" s="11" t="n">
        <f aca="false">K1556+(ROW()/10000000)</f>
        <v>48.0001556</v>
      </c>
    </row>
    <row r="1557" customFormat="false" ht="15" hidden="false" customHeight="false" outlineLevel="0" collapsed="false">
      <c r="A1557" s="11" t="s">
        <v>1886</v>
      </c>
      <c r="B1557" s="11" t="s">
        <v>28</v>
      </c>
      <c r="C1557" s="11" t="s">
        <v>107</v>
      </c>
      <c r="D1557" s="11" t="s">
        <v>37</v>
      </c>
      <c r="E1557" s="11" t="s">
        <v>113</v>
      </c>
      <c r="F1557" s="11" t="s">
        <v>88</v>
      </c>
      <c r="G1557" s="21" t="n">
        <v>80.04</v>
      </c>
      <c r="H1557" s="19" t="n">
        <v>0</v>
      </c>
      <c r="I1557" s="21" t="n">
        <v>80.04</v>
      </c>
      <c r="J1557" s="22" t="s">
        <v>80</v>
      </c>
      <c r="K1557" s="11" t="n">
        <v>13</v>
      </c>
      <c r="L1557" s="23" t="n">
        <v>2.3</v>
      </c>
      <c r="M1557" s="24" t="b">
        <f aca="false">FALSE()</f>
        <v>0</v>
      </c>
      <c r="N1557" s="11"/>
      <c r="O1557" s="11" t="str">
        <f aca="false">IF(K1557&lt;=StockP33,"Low",IF(K1557&lt;=StockP67,"Moderate","High"))</f>
        <v>Low</v>
      </c>
      <c r="P1557" s="11" t="str">
        <f aca="false">IF(H1557=0,"Low",IF(H1557&lt;=MarkdownP75,"Moderate","High"))</f>
        <v>Low</v>
      </c>
      <c r="Q1557" s="11" t="str">
        <f aca="false">IF(ISBLANK(L1557),"Unknown",IF(L1557&gt;=4,"Good",IF(L1557&lt;=2,"Poor","Neutral")))</f>
        <v>Neutral</v>
      </c>
      <c r="R1557" s="11" t="str">
        <f aca="false">IF(AND(O1557="Low",P1557="Low",Q1557="Good"),"BUY / PRIORITIZE",IF(AND(O1557="High",P1557="High",OR(Q1557="Poor",M1557=TRUE())),"HOLD / REVIEW","MONITOR"))</f>
        <v>MONITOR</v>
      </c>
      <c r="S1557" s="11" t="n">
        <f aca="false">K1557+(ROW()/10000000)</f>
        <v>13.0001557</v>
      </c>
    </row>
    <row r="1558" customFormat="false" ht="15" hidden="false" customHeight="false" outlineLevel="0" collapsed="false">
      <c r="A1558" s="11" t="s">
        <v>1887</v>
      </c>
      <c r="B1558" s="11" t="s">
        <v>26</v>
      </c>
      <c r="C1558" s="11" t="s">
        <v>116</v>
      </c>
      <c r="D1558" s="11" t="s">
        <v>36</v>
      </c>
      <c r="E1558" s="11"/>
      <c r="F1558" s="11" t="s">
        <v>118</v>
      </c>
      <c r="G1558" s="21" t="n">
        <v>68.16</v>
      </c>
      <c r="H1558" s="19" t="n">
        <v>0</v>
      </c>
      <c r="I1558" s="21" t="n">
        <v>68.16</v>
      </c>
      <c r="J1558" s="22" t="s">
        <v>80</v>
      </c>
      <c r="K1558" s="11" t="n">
        <v>34</v>
      </c>
      <c r="L1558" s="23" t="n">
        <v>2.7</v>
      </c>
      <c r="M1558" s="24" t="b">
        <f aca="false">FALSE()</f>
        <v>0</v>
      </c>
      <c r="N1558" s="11"/>
      <c r="O1558" s="11" t="str">
        <f aca="false">IF(K1558&lt;=StockP33,"Low",IF(K1558&lt;=StockP67,"Moderate","High"))</f>
        <v>High</v>
      </c>
      <c r="P1558" s="11" t="str">
        <f aca="false">IF(H1558=0,"Low",IF(H1558&lt;=MarkdownP75,"Moderate","High"))</f>
        <v>Low</v>
      </c>
      <c r="Q1558" s="11" t="str">
        <f aca="false">IF(ISBLANK(L1558),"Unknown",IF(L1558&gt;=4,"Good",IF(L1558&lt;=2,"Poor","Neutral")))</f>
        <v>Neutral</v>
      </c>
      <c r="R1558" s="11" t="str">
        <f aca="false">IF(AND(O1558="Low",P1558="Low",Q1558="Good"),"BUY / PRIORITIZE",IF(AND(O1558="High",P1558="High",OR(Q1558="Poor",M1558=TRUE())),"HOLD / REVIEW","MONITOR"))</f>
        <v>MONITOR</v>
      </c>
      <c r="S1558" s="11" t="n">
        <f aca="false">K1558+(ROW()/10000000)</f>
        <v>34.0001558</v>
      </c>
    </row>
    <row r="1559" customFormat="false" ht="15" hidden="false" customHeight="false" outlineLevel="0" collapsed="false">
      <c r="A1559" s="11" t="s">
        <v>1888</v>
      </c>
      <c r="B1559" s="11" t="s">
        <v>27</v>
      </c>
      <c r="C1559" s="11" t="s">
        <v>107</v>
      </c>
      <c r="D1559" s="11" t="s">
        <v>36</v>
      </c>
      <c r="E1559" s="11" t="s">
        <v>73</v>
      </c>
      <c r="F1559" s="11" t="s">
        <v>88</v>
      </c>
      <c r="G1559" s="21" t="n">
        <v>60.87</v>
      </c>
      <c r="H1559" s="19" t="n">
        <v>0</v>
      </c>
      <c r="I1559" s="21" t="n">
        <v>60.87</v>
      </c>
      <c r="J1559" s="22" t="s">
        <v>80</v>
      </c>
      <c r="K1559" s="11" t="n">
        <v>35</v>
      </c>
      <c r="L1559" s="23"/>
      <c r="M1559" s="24" t="b">
        <f aca="false">FALSE()</f>
        <v>0</v>
      </c>
      <c r="N1559" s="11"/>
      <c r="O1559" s="11" t="str">
        <f aca="false">IF(K1559&lt;=StockP33,"Low",IF(K1559&lt;=StockP67,"Moderate","High"))</f>
        <v>High</v>
      </c>
      <c r="P1559" s="11" t="str">
        <f aca="false">IF(H1559=0,"Low",IF(H1559&lt;=MarkdownP75,"Moderate","High"))</f>
        <v>Low</v>
      </c>
      <c r="Q1559" s="11" t="str">
        <f aca="false">IF(ISBLANK(L1559),"Unknown",IF(L1559&gt;=4,"Good",IF(L1559&lt;=2,"Poor","Neutral")))</f>
        <v>Unknown</v>
      </c>
      <c r="R1559" s="11" t="str">
        <f aca="false">IF(AND(O1559="Low",P1559="Low",Q1559="Good"),"BUY / PRIORITIZE",IF(AND(O1559="High",P1559="High",OR(Q1559="Poor",M1559=TRUE())),"HOLD / REVIEW","MONITOR"))</f>
        <v>MONITOR</v>
      </c>
      <c r="S1559" s="11" t="n">
        <f aca="false">K1559+(ROW()/10000000)</f>
        <v>35.0001559</v>
      </c>
    </row>
    <row r="1560" customFormat="false" ht="15" hidden="false" customHeight="false" outlineLevel="0" collapsed="false">
      <c r="A1560" s="11" t="s">
        <v>1889</v>
      </c>
      <c r="B1560" s="11" t="s">
        <v>30</v>
      </c>
      <c r="C1560" s="11" t="s">
        <v>101</v>
      </c>
      <c r="D1560" s="11" t="s">
        <v>34</v>
      </c>
      <c r="E1560" s="11" t="s">
        <v>78</v>
      </c>
      <c r="F1560" s="11" t="s">
        <v>124</v>
      </c>
      <c r="G1560" s="21" t="n">
        <v>59.8</v>
      </c>
      <c r="H1560" s="19" t="n">
        <v>0</v>
      </c>
      <c r="I1560" s="21" t="n">
        <v>59.8</v>
      </c>
      <c r="J1560" s="22" t="s">
        <v>504</v>
      </c>
      <c r="K1560" s="11" t="n">
        <v>50</v>
      </c>
      <c r="L1560" s="23" t="n">
        <v>2.2</v>
      </c>
      <c r="M1560" s="24" t="b">
        <f aca="false">TRUE()</f>
        <v>1</v>
      </c>
      <c r="N1560" s="11" t="s">
        <v>128</v>
      </c>
      <c r="O1560" s="11" t="str">
        <f aca="false">IF(K1560&lt;=StockP33,"Low",IF(K1560&lt;=StockP67,"Moderate","High"))</f>
        <v>High</v>
      </c>
      <c r="P1560" s="11" t="str">
        <f aca="false">IF(H1560=0,"Low",IF(H1560&lt;=MarkdownP75,"Moderate","High"))</f>
        <v>Low</v>
      </c>
      <c r="Q1560" s="11" t="str">
        <f aca="false">IF(ISBLANK(L1560),"Unknown",IF(L1560&gt;=4,"Good",IF(L1560&lt;=2,"Poor","Neutral")))</f>
        <v>Neutral</v>
      </c>
      <c r="R1560" s="11" t="str">
        <f aca="false">IF(AND(O1560="Low",P1560="Low",Q1560="Good"),"BUY / PRIORITIZE",IF(AND(O1560="High",P1560="High",OR(Q1560="Poor",M1560=TRUE())),"HOLD / REVIEW","MONITOR"))</f>
        <v>MONITOR</v>
      </c>
      <c r="S1560" s="11" t="n">
        <f aca="false">K1560+(ROW()/10000000)</f>
        <v>50.000156</v>
      </c>
    </row>
    <row r="1561" customFormat="false" ht="15" hidden="false" customHeight="false" outlineLevel="0" collapsed="false">
      <c r="A1561" s="11" t="s">
        <v>1890</v>
      </c>
      <c r="B1561" s="11" t="s">
        <v>8</v>
      </c>
      <c r="C1561" s="11" t="s">
        <v>116</v>
      </c>
      <c r="D1561" s="11" t="s">
        <v>36</v>
      </c>
      <c r="E1561" s="11"/>
      <c r="F1561" s="11" t="s">
        <v>82</v>
      </c>
      <c r="G1561" s="21" t="n">
        <v>75.83</v>
      </c>
      <c r="H1561" s="19" t="n">
        <v>0</v>
      </c>
      <c r="I1561" s="21" t="n">
        <v>75.83</v>
      </c>
      <c r="J1561" s="22" t="s">
        <v>80</v>
      </c>
      <c r="K1561" s="11" t="n">
        <v>8</v>
      </c>
      <c r="L1561" s="23" t="n">
        <v>2</v>
      </c>
      <c r="M1561" s="24" t="b">
        <f aca="false">FALSE()</f>
        <v>0</v>
      </c>
      <c r="N1561" s="11"/>
      <c r="O1561" s="11" t="str">
        <f aca="false">IF(K1561&lt;=StockP33,"Low",IF(K1561&lt;=StockP67,"Moderate","High"))</f>
        <v>Low</v>
      </c>
      <c r="P1561" s="11" t="str">
        <f aca="false">IF(H1561=0,"Low",IF(H1561&lt;=MarkdownP75,"Moderate","High"))</f>
        <v>Low</v>
      </c>
      <c r="Q1561" s="11" t="str">
        <f aca="false">IF(ISBLANK(L1561),"Unknown",IF(L1561&gt;=4,"Good",IF(L1561&lt;=2,"Poor","Neutral")))</f>
        <v>Poor</v>
      </c>
      <c r="R1561" s="11" t="str">
        <f aca="false">IF(AND(O1561="Low",P1561="Low",Q1561="Good"),"BUY / PRIORITIZE",IF(AND(O1561="High",P1561="High",OR(Q1561="Poor",M1561=TRUE())),"HOLD / REVIEW","MONITOR"))</f>
        <v>MONITOR</v>
      </c>
      <c r="S1561" s="11" t="n">
        <f aca="false">K1561+(ROW()/10000000)</f>
        <v>8.0001561</v>
      </c>
    </row>
    <row r="1562" customFormat="false" ht="15" hidden="false" customHeight="false" outlineLevel="0" collapsed="false">
      <c r="A1562" s="11" t="s">
        <v>1891</v>
      </c>
      <c r="B1562" s="11" t="s">
        <v>30</v>
      </c>
      <c r="C1562" s="11" t="s">
        <v>101</v>
      </c>
      <c r="D1562" s="11" t="s">
        <v>35</v>
      </c>
      <c r="E1562" s="11" t="s">
        <v>78</v>
      </c>
      <c r="F1562" s="11" t="s">
        <v>111</v>
      </c>
      <c r="G1562" s="21" t="n">
        <v>55.97</v>
      </c>
      <c r="H1562" s="19" t="n">
        <v>0</v>
      </c>
      <c r="I1562" s="21" t="n">
        <v>55.97</v>
      </c>
      <c r="J1562" s="22" t="s">
        <v>80</v>
      </c>
      <c r="K1562" s="11" t="n">
        <v>30</v>
      </c>
      <c r="L1562" s="23"/>
      <c r="M1562" s="24" t="b">
        <f aca="false">FALSE()</f>
        <v>0</v>
      </c>
      <c r="N1562" s="11"/>
      <c r="O1562" s="11" t="str">
        <f aca="false">IF(K1562&lt;=StockP33,"Low",IF(K1562&lt;=StockP67,"Moderate","High"))</f>
        <v>Moderate</v>
      </c>
      <c r="P1562" s="11" t="str">
        <f aca="false">IF(H1562=0,"Low",IF(H1562&lt;=MarkdownP75,"Moderate","High"))</f>
        <v>Low</v>
      </c>
      <c r="Q1562" s="11" t="str">
        <f aca="false">IF(ISBLANK(L1562),"Unknown",IF(L1562&gt;=4,"Good",IF(L1562&lt;=2,"Poor","Neutral")))</f>
        <v>Unknown</v>
      </c>
      <c r="R1562" s="11" t="str">
        <f aca="false">IF(AND(O1562="Low",P1562="Low",Q1562="Good"),"BUY / PRIORITIZE",IF(AND(O1562="High",P1562="High",OR(Q1562="Poor",M1562=TRUE())),"HOLD / REVIEW","MONITOR"))</f>
        <v>MONITOR</v>
      </c>
      <c r="S1562" s="11" t="n">
        <f aca="false">K1562+(ROW()/10000000)</f>
        <v>30.0001562</v>
      </c>
    </row>
    <row r="1563" customFormat="false" ht="15" hidden="false" customHeight="false" outlineLevel="0" collapsed="false">
      <c r="A1563" s="11" t="s">
        <v>1892</v>
      </c>
      <c r="B1563" s="11" t="s">
        <v>29</v>
      </c>
      <c r="C1563" s="11" t="s">
        <v>116</v>
      </c>
      <c r="D1563" s="11" t="s">
        <v>37</v>
      </c>
      <c r="E1563" s="11" t="s">
        <v>73</v>
      </c>
      <c r="F1563" s="11" t="s">
        <v>111</v>
      </c>
      <c r="G1563" s="21" t="n">
        <v>190.52</v>
      </c>
      <c r="H1563" s="19" t="n">
        <v>45.2</v>
      </c>
      <c r="I1563" s="21" t="n">
        <v>104.4</v>
      </c>
      <c r="J1563" s="22" t="s">
        <v>80</v>
      </c>
      <c r="K1563" s="11" t="n">
        <v>2</v>
      </c>
      <c r="L1563" s="23" t="n">
        <v>1.1</v>
      </c>
      <c r="M1563" s="24" t="b">
        <f aca="false">FALSE()</f>
        <v>0</v>
      </c>
      <c r="N1563" s="11"/>
      <c r="O1563" s="11" t="str">
        <f aca="false">IF(K1563&lt;=StockP33,"Low",IF(K1563&lt;=StockP67,"Moderate","High"))</f>
        <v>Low</v>
      </c>
      <c r="P1563" s="11" t="str">
        <f aca="false">IF(H1563=0,"Low",IF(H1563&lt;=MarkdownP75,"Moderate","High"))</f>
        <v>High</v>
      </c>
      <c r="Q1563" s="11" t="str">
        <f aca="false">IF(ISBLANK(L1563),"Unknown",IF(L1563&gt;=4,"Good",IF(L1563&lt;=2,"Poor","Neutral")))</f>
        <v>Poor</v>
      </c>
      <c r="R1563" s="11" t="str">
        <f aca="false">IF(AND(O1563="Low",P1563="Low",Q1563="Good"),"BUY / PRIORITIZE",IF(AND(O1563="High",P1563="High",OR(Q1563="Poor",M1563=TRUE())),"HOLD / REVIEW","MONITOR"))</f>
        <v>MONITOR</v>
      </c>
      <c r="S1563" s="11" t="n">
        <f aca="false">K1563+(ROW()/10000000)</f>
        <v>2.0001563</v>
      </c>
    </row>
    <row r="1564" customFormat="false" ht="15" hidden="false" customHeight="false" outlineLevel="0" collapsed="false">
      <c r="A1564" s="11" t="s">
        <v>1893</v>
      </c>
      <c r="B1564" s="11" t="s">
        <v>26</v>
      </c>
      <c r="C1564" s="11" t="s">
        <v>72</v>
      </c>
      <c r="D1564" s="11" t="s">
        <v>35</v>
      </c>
      <c r="E1564" s="11" t="s">
        <v>113</v>
      </c>
      <c r="F1564" s="11" t="s">
        <v>79</v>
      </c>
      <c r="G1564" s="21" t="n">
        <v>89.19</v>
      </c>
      <c r="H1564" s="19" t="n">
        <v>10.3</v>
      </c>
      <c r="I1564" s="21" t="n">
        <v>80</v>
      </c>
      <c r="J1564" s="22" t="s">
        <v>80</v>
      </c>
      <c r="K1564" s="11" t="n">
        <v>4</v>
      </c>
      <c r="L1564" s="23"/>
      <c r="M1564" s="24" t="b">
        <f aca="false">FALSE()</f>
        <v>0</v>
      </c>
      <c r="N1564" s="11"/>
      <c r="O1564" s="11" t="str">
        <f aca="false">IF(K1564&lt;=StockP33,"Low",IF(K1564&lt;=StockP67,"Moderate","High"))</f>
        <v>Low</v>
      </c>
      <c r="P1564" s="11" t="str">
        <f aca="false">IF(H1564=0,"Low",IF(H1564&lt;=MarkdownP75,"Moderate","High"))</f>
        <v>Moderate</v>
      </c>
      <c r="Q1564" s="11" t="str">
        <f aca="false">IF(ISBLANK(L1564),"Unknown",IF(L1564&gt;=4,"Good",IF(L1564&lt;=2,"Poor","Neutral")))</f>
        <v>Unknown</v>
      </c>
      <c r="R1564" s="11" t="str">
        <f aca="false">IF(AND(O1564="Low",P1564="Low",Q1564="Good"),"BUY / PRIORITIZE",IF(AND(O1564="High",P1564="High",OR(Q1564="Poor",M1564=TRUE())),"HOLD / REVIEW","MONITOR"))</f>
        <v>MONITOR</v>
      </c>
      <c r="S1564" s="11" t="n">
        <f aca="false">K1564+(ROW()/10000000)</f>
        <v>4.0001564</v>
      </c>
    </row>
    <row r="1565" customFormat="false" ht="15" hidden="false" customHeight="false" outlineLevel="0" collapsed="false">
      <c r="A1565" s="11" t="s">
        <v>1894</v>
      </c>
      <c r="B1565" s="11" t="s">
        <v>29</v>
      </c>
      <c r="C1565" s="11" t="s">
        <v>86</v>
      </c>
      <c r="D1565" s="11" t="s">
        <v>35</v>
      </c>
      <c r="E1565" s="11"/>
      <c r="F1565" s="11" t="s">
        <v>88</v>
      </c>
      <c r="G1565" s="21" t="n">
        <v>79.59</v>
      </c>
      <c r="H1565" s="19" t="n">
        <v>8.9</v>
      </c>
      <c r="I1565" s="21" t="n">
        <v>72.51</v>
      </c>
      <c r="J1565" s="22" t="s">
        <v>80</v>
      </c>
      <c r="K1565" s="11" t="n">
        <v>16</v>
      </c>
      <c r="L1565" s="23" t="n">
        <v>4.6</v>
      </c>
      <c r="M1565" s="24" t="b">
        <f aca="false">TRUE()</f>
        <v>1</v>
      </c>
      <c r="N1565" s="11" t="s">
        <v>191</v>
      </c>
      <c r="O1565" s="11" t="str">
        <f aca="false">IF(K1565&lt;=StockP33,"Low",IF(K1565&lt;=StockP67,"Moderate","High"))</f>
        <v>Low</v>
      </c>
      <c r="P1565" s="11" t="str">
        <f aca="false">IF(H1565=0,"Low",IF(H1565&lt;=MarkdownP75,"Moderate","High"))</f>
        <v>Moderate</v>
      </c>
      <c r="Q1565" s="11" t="str">
        <f aca="false">IF(ISBLANK(L1565),"Unknown",IF(L1565&gt;=4,"Good",IF(L1565&lt;=2,"Poor","Neutral")))</f>
        <v>Good</v>
      </c>
      <c r="R1565" s="11" t="str">
        <f aca="false">IF(AND(O1565="Low",P1565="Low",Q1565="Good"),"BUY / PRIORITIZE",IF(AND(O1565="High",P1565="High",OR(Q1565="Poor",M1565=TRUE())),"HOLD / REVIEW","MONITOR"))</f>
        <v>MONITOR</v>
      </c>
      <c r="S1565" s="11" t="n">
        <f aca="false">K1565+(ROW()/10000000)</f>
        <v>16.0001565</v>
      </c>
    </row>
    <row r="1566" customFormat="false" ht="15" hidden="false" customHeight="false" outlineLevel="0" collapsed="false">
      <c r="A1566" s="11" t="s">
        <v>1895</v>
      </c>
      <c r="B1566" s="11" t="s">
        <v>26</v>
      </c>
      <c r="C1566" s="11" t="s">
        <v>95</v>
      </c>
      <c r="D1566" s="11" t="s">
        <v>34</v>
      </c>
      <c r="E1566" s="11" t="s">
        <v>102</v>
      </c>
      <c r="F1566" s="11" t="s">
        <v>92</v>
      </c>
      <c r="G1566" s="21" t="n">
        <v>84.8</v>
      </c>
      <c r="H1566" s="19" t="n">
        <v>0</v>
      </c>
      <c r="I1566" s="21" t="n">
        <v>84.8</v>
      </c>
      <c r="J1566" s="22" t="s">
        <v>1304</v>
      </c>
      <c r="K1566" s="11" t="n">
        <v>46</v>
      </c>
      <c r="L1566" s="23" t="n">
        <v>4.6</v>
      </c>
      <c r="M1566" s="24" t="b">
        <f aca="false">FALSE()</f>
        <v>0</v>
      </c>
      <c r="N1566" s="11"/>
      <c r="O1566" s="11" t="str">
        <f aca="false">IF(K1566&lt;=StockP33,"Low",IF(K1566&lt;=StockP67,"Moderate","High"))</f>
        <v>High</v>
      </c>
      <c r="P1566" s="11" t="str">
        <f aca="false">IF(H1566=0,"Low",IF(H1566&lt;=MarkdownP75,"Moderate","High"))</f>
        <v>Low</v>
      </c>
      <c r="Q1566" s="11" t="str">
        <f aca="false">IF(ISBLANK(L1566),"Unknown",IF(L1566&gt;=4,"Good",IF(L1566&lt;=2,"Poor","Neutral")))</f>
        <v>Good</v>
      </c>
      <c r="R1566" s="11" t="str">
        <f aca="false">IF(AND(O1566="Low",P1566="Low",Q1566="Good"),"BUY / PRIORITIZE",IF(AND(O1566="High",P1566="High",OR(Q1566="Poor",M1566=TRUE())),"HOLD / REVIEW","MONITOR"))</f>
        <v>MONITOR</v>
      </c>
      <c r="S1566" s="11" t="n">
        <f aca="false">K1566+(ROW()/10000000)</f>
        <v>46.0001566</v>
      </c>
    </row>
    <row r="1567" customFormat="false" ht="15" hidden="false" customHeight="false" outlineLevel="0" collapsed="false">
      <c r="A1567" s="11" t="s">
        <v>1896</v>
      </c>
      <c r="B1567" s="11" t="s">
        <v>26</v>
      </c>
      <c r="C1567" s="11" t="s">
        <v>130</v>
      </c>
      <c r="D1567" s="11" t="s">
        <v>36</v>
      </c>
      <c r="E1567" s="11" t="s">
        <v>113</v>
      </c>
      <c r="F1567" s="11" t="s">
        <v>82</v>
      </c>
      <c r="G1567" s="21" t="n">
        <v>69.21</v>
      </c>
      <c r="H1567" s="19" t="n">
        <v>0</v>
      </c>
      <c r="I1567" s="21" t="n">
        <v>69.21</v>
      </c>
      <c r="J1567" s="22" t="s">
        <v>80</v>
      </c>
      <c r="K1567" s="11" t="n">
        <v>41</v>
      </c>
      <c r="L1567" s="23"/>
      <c r="M1567" s="24" t="b">
        <f aca="false">FALSE()</f>
        <v>0</v>
      </c>
      <c r="N1567" s="11"/>
      <c r="O1567" s="11" t="str">
        <f aca="false">IF(K1567&lt;=StockP33,"Low",IF(K1567&lt;=StockP67,"Moderate","High"))</f>
        <v>High</v>
      </c>
      <c r="P1567" s="11" t="str">
        <f aca="false">IF(H1567=0,"Low",IF(H1567&lt;=MarkdownP75,"Moderate","High"))</f>
        <v>Low</v>
      </c>
      <c r="Q1567" s="11" t="str">
        <f aca="false">IF(ISBLANK(L1567),"Unknown",IF(L1567&gt;=4,"Good",IF(L1567&lt;=2,"Poor","Neutral")))</f>
        <v>Unknown</v>
      </c>
      <c r="R1567" s="11" t="str">
        <f aca="false">IF(AND(O1567="Low",P1567="Low",Q1567="Good"),"BUY / PRIORITIZE",IF(AND(O1567="High",P1567="High",OR(Q1567="Poor",M1567=TRUE())),"HOLD / REVIEW","MONITOR"))</f>
        <v>MONITOR</v>
      </c>
      <c r="S1567" s="11" t="n">
        <f aca="false">K1567+(ROW()/10000000)</f>
        <v>41.0001567</v>
      </c>
    </row>
    <row r="1568" customFormat="false" ht="15" hidden="false" customHeight="false" outlineLevel="0" collapsed="false">
      <c r="A1568" s="11" t="s">
        <v>1897</v>
      </c>
      <c r="B1568" s="11" t="s">
        <v>28</v>
      </c>
      <c r="C1568" s="11" t="s">
        <v>86</v>
      </c>
      <c r="D1568" s="11" t="s">
        <v>34</v>
      </c>
      <c r="E1568" s="11" t="s">
        <v>110</v>
      </c>
      <c r="F1568" s="11" t="s">
        <v>118</v>
      </c>
      <c r="G1568" s="21" t="n">
        <v>229.17</v>
      </c>
      <c r="H1568" s="19" t="n">
        <v>0</v>
      </c>
      <c r="I1568" s="21" t="n">
        <v>229.17</v>
      </c>
      <c r="J1568" s="22" t="s">
        <v>372</v>
      </c>
      <c r="K1568" s="11" t="n">
        <v>37</v>
      </c>
      <c r="L1568" s="23" t="n">
        <v>2</v>
      </c>
      <c r="M1568" s="24" t="b">
        <f aca="false">FALSE()</f>
        <v>0</v>
      </c>
      <c r="N1568" s="11"/>
      <c r="O1568" s="11" t="str">
        <f aca="false">IF(K1568&lt;=StockP33,"Low",IF(K1568&lt;=StockP67,"Moderate","High"))</f>
        <v>High</v>
      </c>
      <c r="P1568" s="11" t="str">
        <f aca="false">IF(H1568=0,"Low",IF(H1568&lt;=MarkdownP75,"Moderate","High"))</f>
        <v>Low</v>
      </c>
      <c r="Q1568" s="11" t="str">
        <f aca="false">IF(ISBLANK(L1568),"Unknown",IF(L1568&gt;=4,"Good",IF(L1568&lt;=2,"Poor","Neutral")))</f>
        <v>Poor</v>
      </c>
      <c r="R1568" s="11" t="str">
        <f aca="false">IF(AND(O1568="Low",P1568="Low",Q1568="Good"),"BUY / PRIORITIZE",IF(AND(O1568="High",P1568="High",OR(Q1568="Poor",M1568=TRUE())),"HOLD / REVIEW","MONITOR"))</f>
        <v>MONITOR</v>
      </c>
      <c r="S1568" s="11" t="n">
        <f aca="false">K1568+(ROW()/10000000)</f>
        <v>37.0001568</v>
      </c>
    </row>
    <row r="1569" customFormat="false" ht="15" hidden="false" customHeight="false" outlineLevel="0" collapsed="false">
      <c r="A1569" s="11" t="s">
        <v>1898</v>
      </c>
      <c r="B1569" s="11" t="s">
        <v>27</v>
      </c>
      <c r="C1569" s="11" t="s">
        <v>86</v>
      </c>
      <c r="D1569" s="11" t="s">
        <v>37</v>
      </c>
      <c r="E1569" s="11" t="s">
        <v>78</v>
      </c>
      <c r="F1569" s="11" t="s">
        <v>88</v>
      </c>
      <c r="G1569" s="21" t="n">
        <v>103.9</v>
      </c>
      <c r="H1569" s="19" t="n">
        <v>0</v>
      </c>
      <c r="I1569" s="21" t="n">
        <v>103.9</v>
      </c>
      <c r="J1569" s="22" t="s">
        <v>80</v>
      </c>
      <c r="K1569" s="11" t="n">
        <v>40</v>
      </c>
      <c r="L1569" s="23" t="n">
        <v>4.4</v>
      </c>
      <c r="M1569" s="24" t="b">
        <f aca="false">FALSE()</f>
        <v>0</v>
      </c>
      <c r="N1569" s="11"/>
      <c r="O1569" s="11" t="str">
        <f aca="false">IF(K1569&lt;=StockP33,"Low",IF(K1569&lt;=StockP67,"Moderate","High"))</f>
        <v>High</v>
      </c>
      <c r="P1569" s="11" t="str">
        <f aca="false">IF(H1569=0,"Low",IF(H1569&lt;=MarkdownP75,"Moderate","High"))</f>
        <v>Low</v>
      </c>
      <c r="Q1569" s="11" t="str">
        <f aca="false">IF(ISBLANK(L1569),"Unknown",IF(L1569&gt;=4,"Good",IF(L1569&lt;=2,"Poor","Neutral")))</f>
        <v>Good</v>
      </c>
      <c r="R1569" s="11" t="str">
        <f aca="false">IF(AND(O1569="Low",P1569="Low",Q1569="Good"),"BUY / PRIORITIZE",IF(AND(O1569="High",P1569="High",OR(Q1569="Poor",M1569=TRUE())),"HOLD / REVIEW","MONITOR"))</f>
        <v>MONITOR</v>
      </c>
      <c r="S1569" s="11" t="n">
        <f aca="false">K1569+(ROW()/10000000)</f>
        <v>40.0001569</v>
      </c>
    </row>
    <row r="1570" customFormat="false" ht="15" hidden="false" customHeight="false" outlineLevel="0" collapsed="false">
      <c r="A1570" s="11" t="s">
        <v>1899</v>
      </c>
      <c r="B1570" s="11" t="s">
        <v>28</v>
      </c>
      <c r="C1570" s="11" t="s">
        <v>72</v>
      </c>
      <c r="D1570" s="11" t="s">
        <v>34</v>
      </c>
      <c r="E1570" s="11" t="s">
        <v>110</v>
      </c>
      <c r="F1570" s="11" t="s">
        <v>111</v>
      </c>
      <c r="G1570" s="21" t="n">
        <v>228.46</v>
      </c>
      <c r="H1570" s="19" t="n">
        <v>0</v>
      </c>
      <c r="I1570" s="21" t="n">
        <v>228.46</v>
      </c>
      <c r="J1570" s="22" t="s">
        <v>1533</v>
      </c>
      <c r="K1570" s="11" t="n">
        <v>7</v>
      </c>
      <c r="L1570" s="23" t="n">
        <v>2.5</v>
      </c>
      <c r="M1570" s="24" t="b">
        <f aca="false">TRUE()</f>
        <v>1</v>
      </c>
      <c r="N1570" s="11" t="s">
        <v>140</v>
      </c>
      <c r="O1570" s="11" t="str">
        <f aca="false">IF(K1570&lt;=StockP33,"Low",IF(K1570&lt;=StockP67,"Moderate","High"))</f>
        <v>Low</v>
      </c>
      <c r="P1570" s="11" t="str">
        <f aca="false">IF(H1570=0,"Low",IF(H1570&lt;=MarkdownP75,"Moderate","High"))</f>
        <v>Low</v>
      </c>
      <c r="Q1570" s="11" t="str">
        <f aca="false">IF(ISBLANK(L1570),"Unknown",IF(L1570&gt;=4,"Good",IF(L1570&lt;=2,"Poor","Neutral")))</f>
        <v>Neutral</v>
      </c>
      <c r="R1570" s="11" t="str">
        <f aca="false">IF(AND(O1570="Low",P1570="Low",Q1570="Good"),"BUY / PRIORITIZE",IF(AND(O1570="High",P1570="High",OR(Q1570="Poor",M1570=TRUE())),"HOLD / REVIEW","MONITOR"))</f>
        <v>MONITOR</v>
      </c>
      <c r="S1570" s="11" t="n">
        <f aca="false">K1570+(ROW()/10000000)</f>
        <v>7.000157</v>
      </c>
    </row>
    <row r="1571" customFormat="false" ht="15" hidden="false" customHeight="false" outlineLevel="0" collapsed="false">
      <c r="A1571" s="11" t="s">
        <v>1900</v>
      </c>
      <c r="B1571" s="11" t="s">
        <v>8</v>
      </c>
      <c r="C1571" s="11" t="s">
        <v>72</v>
      </c>
      <c r="D1571" s="11" t="s">
        <v>35</v>
      </c>
      <c r="E1571" s="11"/>
      <c r="F1571" s="11" t="s">
        <v>88</v>
      </c>
      <c r="G1571" s="21" t="n">
        <v>44.35</v>
      </c>
      <c r="H1571" s="19" t="n">
        <v>29.2</v>
      </c>
      <c r="I1571" s="21" t="n">
        <v>31.4</v>
      </c>
      <c r="J1571" s="22" t="s">
        <v>80</v>
      </c>
      <c r="K1571" s="11" t="n">
        <v>20</v>
      </c>
      <c r="L1571" s="23" t="n">
        <v>4.9</v>
      </c>
      <c r="M1571" s="24" t="b">
        <f aca="false">FALSE()</f>
        <v>0</v>
      </c>
      <c r="N1571" s="11"/>
      <c r="O1571" s="11" t="str">
        <f aca="false">IF(K1571&lt;=StockP33,"Low",IF(K1571&lt;=StockP67,"Moderate","High"))</f>
        <v>Moderate</v>
      </c>
      <c r="P1571" s="11" t="str">
        <f aca="false">IF(H1571=0,"Low",IF(H1571&lt;=MarkdownP75,"Moderate","High"))</f>
        <v>High</v>
      </c>
      <c r="Q1571" s="11" t="str">
        <f aca="false">IF(ISBLANK(L1571),"Unknown",IF(L1571&gt;=4,"Good",IF(L1571&lt;=2,"Poor","Neutral")))</f>
        <v>Good</v>
      </c>
      <c r="R1571" s="11" t="str">
        <f aca="false">IF(AND(O1571="Low",P1571="Low",Q1571="Good"),"BUY / PRIORITIZE",IF(AND(O1571="High",P1571="High",OR(Q1571="Poor",M1571=TRUE())),"HOLD / REVIEW","MONITOR"))</f>
        <v>MONITOR</v>
      </c>
      <c r="S1571" s="11" t="n">
        <f aca="false">K1571+(ROW()/10000000)</f>
        <v>20.0001571</v>
      </c>
    </row>
    <row r="1572" customFormat="false" ht="15" hidden="false" customHeight="false" outlineLevel="0" collapsed="false">
      <c r="A1572" s="11" t="s">
        <v>1901</v>
      </c>
      <c r="B1572" s="11" t="s">
        <v>26</v>
      </c>
      <c r="C1572" s="11" t="s">
        <v>77</v>
      </c>
      <c r="D1572" s="11" t="s">
        <v>34</v>
      </c>
      <c r="E1572" s="11"/>
      <c r="F1572" s="11" t="s">
        <v>92</v>
      </c>
      <c r="G1572" s="21" t="n">
        <v>28.76</v>
      </c>
      <c r="H1572" s="19" t="n">
        <v>54.7</v>
      </c>
      <c r="I1572" s="21" t="n">
        <v>13.03</v>
      </c>
      <c r="J1572" s="22" t="s">
        <v>1902</v>
      </c>
      <c r="K1572" s="11" t="n">
        <v>2</v>
      </c>
      <c r="L1572" s="23" t="n">
        <v>4.4</v>
      </c>
      <c r="M1572" s="24" t="b">
        <f aca="false">TRUE()</f>
        <v>1</v>
      </c>
      <c r="N1572" s="11" t="s">
        <v>89</v>
      </c>
      <c r="O1572" s="11" t="str">
        <f aca="false">IF(K1572&lt;=StockP33,"Low",IF(K1572&lt;=StockP67,"Moderate","High"))</f>
        <v>Low</v>
      </c>
      <c r="P1572" s="11" t="str">
        <f aca="false">IF(H1572=0,"Low",IF(H1572&lt;=MarkdownP75,"Moderate","High"))</f>
        <v>High</v>
      </c>
      <c r="Q1572" s="11" t="str">
        <f aca="false">IF(ISBLANK(L1572),"Unknown",IF(L1572&gt;=4,"Good",IF(L1572&lt;=2,"Poor","Neutral")))</f>
        <v>Good</v>
      </c>
      <c r="R1572" s="11" t="str">
        <f aca="false">IF(AND(O1572="Low",P1572="Low",Q1572="Good"),"BUY / PRIORITIZE",IF(AND(O1572="High",P1572="High",OR(Q1572="Poor",M1572=TRUE())),"HOLD / REVIEW","MONITOR"))</f>
        <v>MONITOR</v>
      </c>
      <c r="S1572" s="11" t="n">
        <f aca="false">K1572+(ROW()/10000000)</f>
        <v>2.0001572</v>
      </c>
    </row>
    <row r="1573" customFormat="false" ht="15" hidden="false" customHeight="false" outlineLevel="0" collapsed="false">
      <c r="A1573" s="11" t="s">
        <v>1903</v>
      </c>
      <c r="B1573" s="11" t="s">
        <v>28</v>
      </c>
      <c r="C1573" s="11" t="s">
        <v>95</v>
      </c>
      <c r="D1573" s="11" t="s">
        <v>34</v>
      </c>
      <c r="E1573" s="11" t="s">
        <v>102</v>
      </c>
      <c r="F1573" s="11" t="s">
        <v>74</v>
      </c>
      <c r="G1573" s="21" t="n">
        <v>158.34</v>
      </c>
      <c r="H1573" s="19" t="n">
        <v>36.6</v>
      </c>
      <c r="I1573" s="21" t="n">
        <v>100.39</v>
      </c>
      <c r="J1573" s="22" t="s">
        <v>1083</v>
      </c>
      <c r="K1573" s="11" t="n">
        <v>11</v>
      </c>
      <c r="L1573" s="23" t="n">
        <v>4.5</v>
      </c>
      <c r="M1573" s="24" t="b">
        <f aca="false">FALSE()</f>
        <v>0</v>
      </c>
      <c r="N1573" s="11"/>
      <c r="O1573" s="11" t="str">
        <f aca="false">IF(K1573&lt;=StockP33,"Low",IF(K1573&lt;=StockP67,"Moderate","High"))</f>
        <v>Low</v>
      </c>
      <c r="P1573" s="11" t="str">
        <f aca="false">IF(H1573=0,"Low",IF(H1573&lt;=MarkdownP75,"Moderate","High"))</f>
        <v>High</v>
      </c>
      <c r="Q1573" s="11" t="str">
        <f aca="false">IF(ISBLANK(L1573),"Unknown",IF(L1573&gt;=4,"Good",IF(L1573&lt;=2,"Poor","Neutral")))</f>
        <v>Good</v>
      </c>
      <c r="R1573" s="11" t="str">
        <f aca="false">IF(AND(O1573="Low",P1573="Low",Q1573="Good"),"BUY / PRIORITIZE",IF(AND(O1573="High",P1573="High",OR(Q1573="Poor",M1573=TRUE())),"HOLD / REVIEW","MONITOR"))</f>
        <v>MONITOR</v>
      </c>
      <c r="S1573" s="11" t="n">
        <f aca="false">K1573+(ROW()/10000000)</f>
        <v>11.0001573</v>
      </c>
    </row>
    <row r="1574" customFormat="false" ht="15" hidden="false" customHeight="false" outlineLevel="0" collapsed="false">
      <c r="A1574" s="11" t="s">
        <v>1904</v>
      </c>
      <c r="B1574" s="11" t="s">
        <v>8</v>
      </c>
      <c r="C1574" s="11" t="s">
        <v>72</v>
      </c>
      <c r="D1574" s="11" t="s">
        <v>34</v>
      </c>
      <c r="E1574" s="11"/>
      <c r="F1574" s="11" t="s">
        <v>124</v>
      </c>
      <c r="G1574" s="21" t="n">
        <v>39.05</v>
      </c>
      <c r="H1574" s="19" t="n">
        <v>12</v>
      </c>
      <c r="I1574" s="21" t="n">
        <v>34.36</v>
      </c>
      <c r="J1574" s="22" t="s">
        <v>1905</v>
      </c>
      <c r="K1574" s="11" t="n">
        <v>0</v>
      </c>
      <c r="L1574" s="23" t="n">
        <v>3.1</v>
      </c>
      <c r="M1574" s="24" t="b">
        <f aca="false">FALSE()</f>
        <v>0</v>
      </c>
      <c r="N1574" s="11"/>
      <c r="O1574" s="11" t="str">
        <f aca="false">IF(K1574&lt;=StockP33,"Low",IF(K1574&lt;=StockP67,"Moderate","High"))</f>
        <v>Low</v>
      </c>
      <c r="P1574" s="11" t="str">
        <f aca="false">IF(H1574=0,"Low",IF(H1574&lt;=MarkdownP75,"Moderate","High"))</f>
        <v>Moderate</v>
      </c>
      <c r="Q1574" s="11" t="str">
        <f aca="false">IF(ISBLANK(L1574),"Unknown",IF(L1574&gt;=4,"Good",IF(L1574&lt;=2,"Poor","Neutral")))</f>
        <v>Neutral</v>
      </c>
      <c r="R1574" s="11" t="str">
        <f aca="false">IF(AND(O1574="Low",P1574="Low",Q1574="Good"),"BUY / PRIORITIZE",IF(AND(O1574="High",P1574="High",OR(Q1574="Poor",M1574=TRUE())),"HOLD / REVIEW","MONITOR"))</f>
        <v>MONITOR</v>
      </c>
      <c r="S1574" s="11" t="n">
        <f aca="false">K1574+(ROW()/10000000)</f>
        <v>0.0001574</v>
      </c>
    </row>
    <row r="1575" customFormat="false" ht="15" hidden="false" customHeight="false" outlineLevel="0" collapsed="false">
      <c r="A1575" s="11" t="s">
        <v>1906</v>
      </c>
      <c r="B1575" s="11" t="s">
        <v>30</v>
      </c>
      <c r="C1575" s="11" t="s">
        <v>107</v>
      </c>
      <c r="D1575" s="11" t="s">
        <v>34</v>
      </c>
      <c r="E1575" s="11" t="s">
        <v>91</v>
      </c>
      <c r="F1575" s="11" t="s">
        <v>96</v>
      </c>
      <c r="G1575" s="21" t="n">
        <v>52.46</v>
      </c>
      <c r="H1575" s="19" t="n">
        <v>12.2</v>
      </c>
      <c r="I1575" s="21" t="n">
        <v>46.06</v>
      </c>
      <c r="J1575" s="22" t="s">
        <v>318</v>
      </c>
      <c r="K1575" s="11" t="n">
        <v>39</v>
      </c>
      <c r="L1575" s="23" t="n">
        <v>2.3</v>
      </c>
      <c r="M1575" s="24" t="b">
        <f aca="false">FALSE()</f>
        <v>0</v>
      </c>
      <c r="N1575" s="11"/>
      <c r="O1575" s="11" t="str">
        <f aca="false">IF(K1575&lt;=StockP33,"Low",IF(K1575&lt;=StockP67,"Moderate","High"))</f>
        <v>High</v>
      </c>
      <c r="P1575" s="11" t="str">
        <f aca="false">IF(H1575=0,"Low",IF(H1575&lt;=MarkdownP75,"Moderate","High"))</f>
        <v>Moderate</v>
      </c>
      <c r="Q1575" s="11" t="str">
        <f aca="false">IF(ISBLANK(L1575),"Unknown",IF(L1575&gt;=4,"Good",IF(L1575&lt;=2,"Poor","Neutral")))</f>
        <v>Neutral</v>
      </c>
      <c r="R1575" s="11" t="str">
        <f aca="false">IF(AND(O1575="Low",P1575="Low",Q1575="Good"),"BUY / PRIORITIZE",IF(AND(O1575="High",P1575="High",OR(Q1575="Poor",M1575=TRUE())),"HOLD / REVIEW","MONITOR"))</f>
        <v>MONITOR</v>
      </c>
      <c r="S1575" s="11" t="n">
        <f aca="false">K1575+(ROW()/10000000)</f>
        <v>39.0001575</v>
      </c>
    </row>
    <row r="1576" customFormat="false" ht="15" hidden="false" customHeight="false" outlineLevel="0" collapsed="false">
      <c r="A1576" s="11" t="s">
        <v>1907</v>
      </c>
      <c r="B1576" s="11" t="s">
        <v>26</v>
      </c>
      <c r="C1576" s="11" t="s">
        <v>116</v>
      </c>
      <c r="D1576" s="11" t="s">
        <v>34</v>
      </c>
      <c r="E1576" s="11" t="s">
        <v>91</v>
      </c>
      <c r="F1576" s="11" t="s">
        <v>74</v>
      </c>
      <c r="G1576" s="21" t="n">
        <v>70.31</v>
      </c>
      <c r="H1576" s="19" t="n">
        <v>34.4</v>
      </c>
      <c r="I1576" s="21" t="n">
        <v>46.12</v>
      </c>
      <c r="J1576" s="22" t="s">
        <v>1908</v>
      </c>
      <c r="K1576" s="11" t="n">
        <v>28</v>
      </c>
      <c r="L1576" s="23" t="n">
        <v>3.1</v>
      </c>
      <c r="M1576" s="24" t="b">
        <f aca="false">FALSE()</f>
        <v>0</v>
      </c>
      <c r="N1576" s="11"/>
      <c r="O1576" s="11" t="str">
        <f aca="false">IF(K1576&lt;=StockP33,"Low",IF(K1576&lt;=StockP67,"Moderate","High"))</f>
        <v>Moderate</v>
      </c>
      <c r="P1576" s="11" t="str">
        <f aca="false">IF(H1576=0,"Low",IF(H1576&lt;=MarkdownP75,"Moderate","High"))</f>
        <v>High</v>
      </c>
      <c r="Q1576" s="11" t="str">
        <f aca="false">IF(ISBLANK(L1576),"Unknown",IF(L1576&gt;=4,"Good",IF(L1576&lt;=2,"Poor","Neutral")))</f>
        <v>Neutral</v>
      </c>
      <c r="R1576" s="11" t="str">
        <f aca="false">IF(AND(O1576="Low",P1576="Low",Q1576="Good"),"BUY / PRIORITIZE",IF(AND(O1576="High",P1576="High",OR(Q1576="Poor",M1576=TRUE())),"HOLD / REVIEW","MONITOR"))</f>
        <v>MONITOR</v>
      </c>
      <c r="S1576" s="11" t="n">
        <f aca="false">K1576+(ROW()/10000000)</f>
        <v>28.0001576</v>
      </c>
    </row>
    <row r="1577" customFormat="false" ht="15" hidden="false" customHeight="false" outlineLevel="0" collapsed="false">
      <c r="A1577" s="11" t="s">
        <v>1909</v>
      </c>
      <c r="B1577" s="11" t="s">
        <v>28</v>
      </c>
      <c r="C1577" s="11" t="s">
        <v>130</v>
      </c>
      <c r="D1577" s="11" t="s">
        <v>35</v>
      </c>
      <c r="E1577" s="11" t="s">
        <v>91</v>
      </c>
      <c r="F1577" s="11" t="s">
        <v>111</v>
      </c>
      <c r="G1577" s="21" t="n">
        <v>123.27</v>
      </c>
      <c r="H1577" s="19" t="n">
        <v>0</v>
      </c>
      <c r="I1577" s="21" t="n">
        <v>123.27</v>
      </c>
      <c r="J1577" s="22" t="s">
        <v>80</v>
      </c>
      <c r="K1577" s="11" t="n">
        <v>13</v>
      </c>
      <c r="L1577" s="23" t="n">
        <v>2.8</v>
      </c>
      <c r="M1577" s="24" t="b">
        <f aca="false">FALSE()</f>
        <v>0</v>
      </c>
      <c r="N1577" s="11"/>
      <c r="O1577" s="11" t="str">
        <f aca="false">IF(K1577&lt;=StockP33,"Low",IF(K1577&lt;=StockP67,"Moderate","High"))</f>
        <v>Low</v>
      </c>
      <c r="P1577" s="11" t="str">
        <f aca="false">IF(H1577=0,"Low",IF(H1577&lt;=MarkdownP75,"Moderate","High"))</f>
        <v>Low</v>
      </c>
      <c r="Q1577" s="11" t="str">
        <f aca="false">IF(ISBLANK(L1577),"Unknown",IF(L1577&gt;=4,"Good",IF(L1577&lt;=2,"Poor","Neutral")))</f>
        <v>Neutral</v>
      </c>
      <c r="R1577" s="11" t="str">
        <f aca="false">IF(AND(O1577="Low",P1577="Low",Q1577="Good"),"BUY / PRIORITIZE",IF(AND(O1577="High",P1577="High",OR(Q1577="Poor",M1577=TRUE())),"HOLD / REVIEW","MONITOR"))</f>
        <v>MONITOR</v>
      </c>
      <c r="S1577" s="11" t="n">
        <f aca="false">K1577+(ROW()/10000000)</f>
        <v>13.0001577</v>
      </c>
    </row>
    <row r="1578" customFormat="false" ht="15" hidden="false" customHeight="false" outlineLevel="0" collapsed="false">
      <c r="A1578" s="11" t="s">
        <v>1910</v>
      </c>
      <c r="B1578" s="11" t="s">
        <v>28</v>
      </c>
      <c r="C1578" s="11" t="s">
        <v>95</v>
      </c>
      <c r="D1578" s="11" t="s">
        <v>35</v>
      </c>
      <c r="E1578" s="11" t="s">
        <v>78</v>
      </c>
      <c r="F1578" s="11" t="s">
        <v>118</v>
      </c>
      <c r="G1578" s="21" t="n">
        <v>215.82</v>
      </c>
      <c r="H1578" s="19" t="n">
        <v>16.5</v>
      </c>
      <c r="I1578" s="21" t="n">
        <v>180.21</v>
      </c>
      <c r="J1578" s="22" t="s">
        <v>80</v>
      </c>
      <c r="K1578" s="11" t="n">
        <v>9</v>
      </c>
      <c r="L1578" s="23" t="n">
        <v>2.4</v>
      </c>
      <c r="M1578" s="24" t="b">
        <f aca="false">FALSE()</f>
        <v>0</v>
      </c>
      <c r="N1578" s="11"/>
      <c r="O1578" s="11" t="str">
        <f aca="false">IF(K1578&lt;=StockP33,"Low",IF(K1578&lt;=StockP67,"Moderate","High"))</f>
        <v>Low</v>
      </c>
      <c r="P1578" s="11" t="str">
        <f aca="false">IF(H1578=0,"Low",IF(H1578&lt;=MarkdownP75,"Moderate","High"))</f>
        <v>Moderate</v>
      </c>
      <c r="Q1578" s="11" t="str">
        <f aca="false">IF(ISBLANK(L1578),"Unknown",IF(L1578&gt;=4,"Good",IF(L1578&lt;=2,"Poor","Neutral")))</f>
        <v>Neutral</v>
      </c>
      <c r="R1578" s="11" t="str">
        <f aca="false">IF(AND(O1578="Low",P1578="Low",Q1578="Good"),"BUY / PRIORITIZE",IF(AND(O1578="High",P1578="High",OR(Q1578="Poor",M1578=TRUE())),"HOLD / REVIEW","MONITOR"))</f>
        <v>MONITOR</v>
      </c>
      <c r="S1578" s="11" t="n">
        <f aca="false">K1578+(ROW()/10000000)</f>
        <v>9.0001578</v>
      </c>
    </row>
    <row r="1579" customFormat="false" ht="15" hidden="false" customHeight="false" outlineLevel="0" collapsed="false">
      <c r="A1579" s="11" t="s">
        <v>1911</v>
      </c>
      <c r="B1579" s="11" t="s">
        <v>28</v>
      </c>
      <c r="C1579" s="11" t="s">
        <v>116</v>
      </c>
      <c r="D1579" s="11" t="s">
        <v>35</v>
      </c>
      <c r="E1579" s="11" t="s">
        <v>110</v>
      </c>
      <c r="F1579" s="11" t="s">
        <v>96</v>
      </c>
      <c r="G1579" s="21" t="n">
        <v>82.91</v>
      </c>
      <c r="H1579" s="19" t="n">
        <v>0.7</v>
      </c>
      <c r="I1579" s="21" t="n">
        <v>82.33</v>
      </c>
      <c r="J1579" s="22" t="s">
        <v>80</v>
      </c>
      <c r="K1579" s="11" t="n">
        <v>24</v>
      </c>
      <c r="L1579" s="23"/>
      <c r="M1579" s="24" t="b">
        <f aca="false">TRUE()</f>
        <v>1</v>
      </c>
      <c r="N1579" s="11" t="s">
        <v>134</v>
      </c>
      <c r="O1579" s="11" t="str">
        <f aca="false">IF(K1579&lt;=StockP33,"Low",IF(K1579&lt;=StockP67,"Moderate","High"))</f>
        <v>Moderate</v>
      </c>
      <c r="P1579" s="11" t="str">
        <f aca="false">IF(H1579=0,"Low",IF(H1579&lt;=MarkdownP75,"Moderate","High"))</f>
        <v>Moderate</v>
      </c>
      <c r="Q1579" s="11" t="str">
        <f aca="false">IF(ISBLANK(L1579),"Unknown",IF(L1579&gt;=4,"Good",IF(L1579&lt;=2,"Poor","Neutral")))</f>
        <v>Unknown</v>
      </c>
      <c r="R1579" s="11" t="str">
        <f aca="false">IF(AND(O1579="Low",P1579="Low",Q1579="Good"),"BUY / PRIORITIZE",IF(AND(O1579="High",P1579="High",OR(Q1579="Poor",M1579=TRUE())),"HOLD / REVIEW","MONITOR"))</f>
        <v>MONITOR</v>
      </c>
      <c r="S1579" s="11" t="n">
        <f aca="false">K1579+(ROW()/10000000)</f>
        <v>24.0001579</v>
      </c>
    </row>
    <row r="1580" customFormat="false" ht="15" hidden="false" customHeight="false" outlineLevel="0" collapsed="false">
      <c r="A1580" s="11" t="s">
        <v>1912</v>
      </c>
      <c r="B1580" s="11" t="s">
        <v>30</v>
      </c>
      <c r="C1580" s="11" t="s">
        <v>116</v>
      </c>
      <c r="D1580" s="11" t="s">
        <v>37</v>
      </c>
      <c r="E1580" s="11" t="s">
        <v>73</v>
      </c>
      <c r="F1580" s="11" t="s">
        <v>120</v>
      </c>
      <c r="G1580" s="21" t="n">
        <v>33.46</v>
      </c>
      <c r="H1580" s="19" t="n">
        <v>0</v>
      </c>
      <c r="I1580" s="21" t="n">
        <v>33.46</v>
      </c>
      <c r="J1580" s="22" t="s">
        <v>80</v>
      </c>
      <c r="K1580" s="11" t="n">
        <v>36</v>
      </c>
      <c r="L1580" s="23" t="n">
        <v>3.6</v>
      </c>
      <c r="M1580" s="24" t="b">
        <f aca="false">FALSE()</f>
        <v>0</v>
      </c>
      <c r="N1580" s="11"/>
      <c r="O1580" s="11" t="str">
        <f aca="false">IF(K1580&lt;=StockP33,"Low",IF(K1580&lt;=StockP67,"Moderate","High"))</f>
        <v>High</v>
      </c>
      <c r="P1580" s="11" t="str">
        <f aca="false">IF(H1580=0,"Low",IF(H1580&lt;=MarkdownP75,"Moderate","High"))</f>
        <v>Low</v>
      </c>
      <c r="Q1580" s="11" t="str">
        <f aca="false">IF(ISBLANK(L1580),"Unknown",IF(L1580&gt;=4,"Good",IF(L1580&lt;=2,"Poor","Neutral")))</f>
        <v>Neutral</v>
      </c>
      <c r="R1580" s="11" t="str">
        <f aca="false">IF(AND(O1580="Low",P1580="Low",Q1580="Good"),"BUY / PRIORITIZE",IF(AND(O1580="High",P1580="High",OR(Q1580="Poor",M1580=TRUE())),"HOLD / REVIEW","MONITOR"))</f>
        <v>MONITOR</v>
      </c>
      <c r="S1580" s="11" t="n">
        <f aca="false">K1580+(ROW()/10000000)</f>
        <v>36.000158</v>
      </c>
    </row>
    <row r="1581" customFormat="false" ht="15" hidden="false" customHeight="false" outlineLevel="0" collapsed="false">
      <c r="A1581" s="11" t="s">
        <v>1913</v>
      </c>
      <c r="B1581" s="11" t="s">
        <v>26</v>
      </c>
      <c r="C1581" s="11" t="s">
        <v>86</v>
      </c>
      <c r="D1581" s="11" t="s">
        <v>34</v>
      </c>
      <c r="E1581" s="11" t="s">
        <v>78</v>
      </c>
      <c r="F1581" s="11" t="s">
        <v>92</v>
      </c>
      <c r="G1581" s="21" t="n">
        <v>37.21</v>
      </c>
      <c r="H1581" s="19" t="n">
        <v>53.9</v>
      </c>
      <c r="I1581" s="21" t="n">
        <v>17.15</v>
      </c>
      <c r="J1581" s="22" t="s">
        <v>436</v>
      </c>
      <c r="K1581" s="11" t="n">
        <v>48</v>
      </c>
      <c r="L1581" s="23" t="n">
        <v>3.8</v>
      </c>
      <c r="M1581" s="24" t="b">
        <f aca="false">FALSE()</f>
        <v>0</v>
      </c>
      <c r="N1581" s="11"/>
      <c r="O1581" s="11" t="str">
        <f aca="false">IF(K1581&lt;=StockP33,"Low",IF(K1581&lt;=StockP67,"Moderate","High"))</f>
        <v>High</v>
      </c>
      <c r="P1581" s="11" t="str">
        <f aca="false">IF(H1581=0,"Low",IF(H1581&lt;=MarkdownP75,"Moderate","High"))</f>
        <v>High</v>
      </c>
      <c r="Q1581" s="11" t="str">
        <f aca="false">IF(ISBLANK(L1581),"Unknown",IF(L1581&gt;=4,"Good",IF(L1581&lt;=2,"Poor","Neutral")))</f>
        <v>Neutral</v>
      </c>
      <c r="R1581" s="11" t="str">
        <f aca="false">IF(AND(O1581="Low",P1581="Low",Q1581="Good"),"BUY / PRIORITIZE",IF(AND(O1581="High",P1581="High",OR(Q1581="Poor",M1581=TRUE())),"HOLD / REVIEW","MONITOR"))</f>
        <v>MONITOR</v>
      </c>
      <c r="S1581" s="11" t="n">
        <f aca="false">K1581+(ROW()/10000000)</f>
        <v>48.0001581</v>
      </c>
    </row>
    <row r="1582" customFormat="false" ht="15" hidden="false" customHeight="false" outlineLevel="0" collapsed="false">
      <c r="A1582" s="11" t="s">
        <v>1914</v>
      </c>
      <c r="B1582" s="11" t="s">
        <v>26</v>
      </c>
      <c r="C1582" s="11" t="s">
        <v>95</v>
      </c>
      <c r="D1582" s="11" t="s">
        <v>37</v>
      </c>
      <c r="E1582" s="11"/>
      <c r="F1582" s="11" t="s">
        <v>74</v>
      </c>
      <c r="G1582" s="21" t="n">
        <v>76.86</v>
      </c>
      <c r="H1582" s="19" t="n">
        <v>48.9</v>
      </c>
      <c r="I1582" s="21" t="n">
        <v>39.28</v>
      </c>
      <c r="J1582" s="22" t="s">
        <v>80</v>
      </c>
      <c r="K1582" s="11" t="n">
        <v>5</v>
      </c>
      <c r="L1582" s="23" t="n">
        <v>1.2</v>
      </c>
      <c r="M1582" s="24" t="b">
        <f aca="false">FALSE()</f>
        <v>0</v>
      </c>
      <c r="N1582" s="11"/>
      <c r="O1582" s="11" t="str">
        <f aca="false">IF(K1582&lt;=StockP33,"Low",IF(K1582&lt;=StockP67,"Moderate","High"))</f>
        <v>Low</v>
      </c>
      <c r="P1582" s="11" t="str">
        <f aca="false">IF(H1582=0,"Low",IF(H1582&lt;=MarkdownP75,"Moderate","High"))</f>
        <v>High</v>
      </c>
      <c r="Q1582" s="11" t="str">
        <f aca="false">IF(ISBLANK(L1582),"Unknown",IF(L1582&gt;=4,"Good",IF(L1582&lt;=2,"Poor","Neutral")))</f>
        <v>Poor</v>
      </c>
      <c r="R1582" s="11" t="str">
        <f aca="false">IF(AND(O1582="Low",P1582="Low",Q1582="Good"),"BUY / PRIORITIZE",IF(AND(O1582="High",P1582="High",OR(Q1582="Poor",M1582=TRUE())),"HOLD / REVIEW","MONITOR"))</f>
        <v>MONITOR</v>
      </c>
      <c r="S1582" s="11" t="n">
        <f aca="false">K1582+(ROW()/10000000)</f>
        <v>5.0001582</v>
      </c>
    </row>
    <row r="1583" customFormat="false" ht="15" hidden="false" customHeight="false" outlineLevel="0" collapsed="false">
      <c r="A1583" s="11" t="s">
        <v>1915</v>
      </c>
      <c r="B1583" s="11" t="s">
        <v>28</v>
      </c>
      <c r="C1583" s="11" t="s">
        <v>101</v>
      </c>
      <c r="D1583" s="11" t="s">
        <v>37</v>
      </c>
      <c r="E1583" s="11" t="s">
        <v>91</v>
      </c>
      <c r="F1583" s="11" t="s">
        <v>111</v>
      </c>
      <c r="G1583" s="21" t="n">
        <v>208.57</v>
      </c>
      <c r="H1583" s="19" t="n">
        <v>0</v>
      </c>
      <c r="I1583" s="21" t="n">
        <v>208.57</v>
      </c>
      <c r="J1583" s="22" t="s">
        <v>80</v>
      </c>
      <c r="K1583" s="11" t="n">
        <v>24</v>
      </c>
      <c r="L1583" s="23" t="n">
        <v>3.6</v>
      </c>
      <c r="M1583" s="24" t="b">
        <f aca="false">FALSE()</f>
        <v>0</v>
      </c>
      <c r="N1583" s="11"/>
      <c r="O1583" s="11" t="str">
        <f aca="false">IF(K1583&lt;=StockP33,"Low",IF(K1583&lt;=StockP67,"Moderate","High"))</f>
        <v>Moderate</v>
      </c>
      <c r="P1583" s="11" t="str">
        <f aca="false">IF(H1583=0,"Low",IF(H1583&lt;=MarkdownP75,"Moderate","High"))</f>
        <v>Low</v>
      </c>
      <c r="Q1583" s="11" t="str">
        <f aca="false">IF(ISBLANK(L1583),"Unknown",IF(L1583&gt;=4,"Good",IF(L1583&lt;=2,"Poor","Neutral")))</f>
        <v>Neutral</v>
      </c>
      <c r="R1583" s="11" t="str">
        <f aca="false">IF(AND(O1583="Low",P1583="Low",Q1583="Good"),"BUY / PRIORITIZE",IF(AND(O1583="High",P1583="High",OR(Q1583="Poor",M1583=TRUE())),"HOLD / REVIEW","MONITOR"))</f>
        <v>MONITOR</v>
      </c>
      <c r="S1583" s="11" t="n">
        <f aca="false">K1583+(ROW()/10000000)</f>
        <v>24.0001583</v>
      </c>
    </row>
    <row r="1584" customFormat="false" ht="15" hidden="false" customHeight="false" outlineLevel="0" collapsed="false">
      <c r="A1584" s="11" t="s">
        <v>1916</v>
      </c>
      <c r="B1584" s="11" t="s">
        <v>27</v>
      </c>
      <c r="C1584" s="11" t="s">
        <v>116</v>
      </c>
      <c r="D1584" s="11" t="s">
        <v>34</v>
      </c>
      <c r="E1584" s="11" t="s">
        <v>73</v>
      </c>
      <c r="F1584" s="11" t="s">
        <v>74</v>
      </c>
      <c r="G1584" s="21" t="n">
        <v>131.7</v>
      </c>
      <c r="H1584" s="19" t="n">
        <v>15.8</v>
      </c>
      <c r="I1584" s="21" t="n">
        <v>110.89</v>
      </c>
      <c r="J1584" s="22" t="s">
        <v>1575</v>
      </c>
      <c r="K1584" s="11" t="n">
        <v>49</v>
      </c>
      <c r="L1584" s="23" t="n">
        <v>1.4</v>
      </c>
      <c r="M1584" s="24" t="b">
        <f aca="false">TRUE()</f>
        <v>1</v>
      </c>
      <c r="N1584" s="11" t="s">
        <v>134</v>
      </c>
      <c r="O1584" s="11" t="str">
        <f aca="false">IF(K1584&lt;=StockP33,"Low",IF(K1584&lt;=StockP67,"Moderate","High"))</f>
        <v>High</v>
      </c>
      <c r="P1584" s="11" t="str">
        <f aca="false">IF(H1584=0,"Low",IF(H1584&lt;=MarkdownP75,"Moderate","High"))</f>
        <v>Moderate</v>
      </c>
      <c r="Q1584" s="11" t="str">
        <f aca="false">IF(ISBLANK(L1584),"Unknown",IF(L1584&gt;=4,"Good",IF(L1584&lt;=2,"Poor","Neutral")))</f>
        <v>Poor</v>
      </c>
      <c r="R1584" s="11" t="str">
        <f aca="false">IF(AND(O1584="Low",P1584="Low",Q1584="Good"),"BUY / PRIORITIZE",IF(AND(O1584="High",P1584="High",OR(Q1584="Poor",M1584=TRUE())),"HOLD / REVIEW","MONITOR"))</f>
        <v>MONITOR</v>
      </c>
      <c r="S1584" s="11" t="n">
        <f aca="false">K1584+(ROW()/10000000)</f>
        <v>49.0001584</v>
      </c>
    </row>
    <row r="1585" customFormat="false" ht="15" hidden="false" customHeight="false" outlineLevel="0" collapsed="false">
      <c r="A1585" s="11" t="s">
        <v>1917</v>
      </c>
      <c r="B1585" s="11" t="s">
        <v>26</v>
      </c>
      <c r="C1585" s="11" t="s">
        <v>95</v>
      </c>
      <c r="D1585" s="11" t="s">
        <v>35</v>
      </c>
      <c r="E1585" s="11" t="s">
        <v>102</v>
      </c>
      <c r="F1585" s="11" t="s">
        <v>96</v>
      </c>
      <c r="G1585" s="21" t="n">
        <v>117.21</v>
      </c>
      <c r="H1585" s="19" t="n">
        <v>0</v>
      </c>
      <c r="I1585" s="21" t="n">
        <v>117.21</v>
      </c>
      <c r="J1585" s="22" t="s">
        <v>80</v>
      </c>
      <c r="K1585" s="11" t="n">
        <v>14</v>
      </c>
      <c r="L1585" s="23" t="n">
        <v>3.2</v>
      </c>
      <c r="M1585" s="24" t="b">
        <f aca="false">FALSE()</f>
        <v>0</v>
      </c>
      <c r="N1585" s="11"/>
      <c r="O1585" s="11" t="str">
        <f aca="false">IF(K1585&lt;=StockP33,"Low",IF(K1585&lt;=StockP67,"Moderate","High"))</f>
        <v>Low</v>
      </c>
      <c r="P1585" s="11" t="str">
        <f aca="false">IF(H1585=0,"Low",IF(H1585&lt;=MarkdownP75,"Moderate","High"))</f>
        <v>Low</v>
      </c>
      <c r="Q1585" s="11" t="str">
        <f aca="false">IF(ISBLANK(L1585),"Unknown",IF(L1585&gt;=4,"Good",IF(L1585&lt;=2,"Poor","Neutral")))</f>
        <v>Neutral</v>
      </c>
      <c r="R1585" s="11" t="str">
        <f aca="false">IF(AND(O1585="Low",P1585="Low",Q1585="Good"),"BUY / PRIORITIZE",IF(AND(O1585="High",P1585="High",OR(Q1585="Poor",M1585=TRUE())),"HOLD / REVIEW","MONITOR"))</f>
        <v>MONITOR</v>
      </c>
      <c r="S1585" s="11" t="n">
        <f aca="false">K1585+(ROW()/10000000)</f>
        <v>14.0001585</v>
      </c>
    </row>
    <row r="1586" customFormat="false" ht="15" hidden="false" customHeight="false" outlineLevel="0" collapsed="false">
      <c r="A1586" s="11" t="s">
        <v>1918</v>
      </c>
      <c r="B1586" s="11" t="s">
        <v>8</v>
      </c>
      <c r="C1586" s="11" t="s">
        <v>95</v>
      </c>
      <c r="D1586" s="11" t="s">
        <v>35</v>
      </c>
      <c r="E1586" s="11"/>
      <c r="F1586" s="11" t="s">
        <v>98</v>
      </c>
      <c r="G1586" s="21" t="n">
        <v>23.01</v>
      </c>
      <c r="H1586" s="19" t="n">
        <v>48.8</v>
      </c>
      <c r="I1586" s="21" t="n">
        <v>11.78</v>
      </c>
      <c r="J1586" s="22" t="s">
        <v>80</v>
      </c>
      <c r="K1586" s="11" t="n">
        <v>13</v>
      </c>
      <c r="L1586" s="23" t="n">
        <v>3.6</v>
      </c>
      <c r="M1586" s="24" t="b">
        <f aca="false">FALSE()</f>
        <v>0</v>
      </c>
      <c r="N1586" s="11"/>
      <c r="O1586" s="11" t="str">
        <f aca="false">IF(K1586&lt;=StockP33,"Low",IF(K1586&lt;=StockP67,"Moderate","High"))</f>
        <v>Low</v>
      </c>
      <c r="P1586" s="11" t="str">
        <f aca="false">IF(H1586=0,"Low",IF(H1586&lt;=MarkdownP75,"Moderate","High"))</f>
        <v>High</v>
      </c>
      <c r="Q1586" s="11" t="str">
        <f aca="false">IF(ISBLANK(L1586),"Unknown",IF(L1586&gt;=4,"Good",IF(L1586&lt;=2,"Poor","Neutral")))</f>
        <v>Neutral</v>
      </c>
      <c r="R1586" s="11" t="str">
        <f aca="false">IF(AND(O1586="Low",P1586="Low",Q1586="Good"),"BUY / PRIORITIZE",IF(AND(O1586="High",P1586="High",OR(Q1586="Poor",M1586=TRUE())),"HOLD / REVIEW","MONITOR"))</f>
        <v>MONITOR</v>
      </c>
      <c r="S1586" s="11" t="n">
        <f aca="false">K1586+(ROW()/10000000)</f>
        <v>13.0001586</v>
      </c>
    </row>
    <row r="1587" customFormat="false" ht="15" hidden="false" customHeight="false" outlineLevel="0" collapsed="false">
      <c r="A1587" s="11" t="s">
        <v>1919</v>
      </c>
      <c r="B1587" s="11" t="s">
        <v>8</v>
      </c>
      <c r="C1587" s="11" t="s">
        <v>130</v>
      </c>
      <c r="D1587" s="11" t="s">
        <v>35</v>
      </c>
      <c r="E1587" s="11"/>
      <c r="F1587" s="11" t="s">
        <v>74</v>
      </c>
      <c r="G1587" s="21" t="n">
        <v>47.6</v>
      </c>
      <c r="H1587" s="19" t="n">
        <v>0</v>
      </c>
      <c r="I1587" s="21" t="n">
        <v>47.6</v>
      </c>
      <c r="J1587" s="22" t="s">
        <v>80</v>
      </c>
      <c r="K1587" s="11" t="n">
        <v>24</v>
      </c>
      <c r="L1587" s="23" t="n">
        <v>4.4</v>
      </c>
      <c r="M1587" s="24" t="b">
        <f aca="false">TRUE()</f>
        <v>1</v>
      </c>
      <c r="N1587" s="11" t="s">
        <v>191</v>
      </c>
      <c r="O1587" s="11" t="str">
        <f aca="false">IF(K1587&lt;=StockP33,"Low",IF(K1587&lt;=StockP67,"Moderate","High"))</f>
        <v>Moderate</v>
      </c>
      <c r="P1587" s="11" t="str">
        <f aca="false">IF(H1587=0,"Low",IF(H1587&lt;=MarkdownP75,"Moderate","High"))</f>
        <v>Low</v>
      </c>
      <c r="Q1587" s="11" t="str">
        <f aca="false">IF(ISBLANK(L1587),"Unknown",IF(L1587&gt;=4,"Good",IF(L1587&lt;=2,"Poor","Neutral")))</f>
        <v>Good</v>
      </c>
      <c r="R1587" s="11" t="str">
        <f aca="false">IF(AND(O1587="Low",P1587="Low",Q1587="Good"),"BUY / PRIORITIZE",IF(AND(O1587="High",P1587="High",OR(Q1587="Poor",M1587=TRUE())),"HOLD / REVIEW","MONITOR"))</f>
        <v>MONITOR</v>
      </c>
      <c r="S1587" s="11" t="n">
        <f aca="false">K1587+(ROW()/10000000)</f>
        <v>24.0001587</v>
      </c>
    </row>
    <row r="1588" customFormat="false" ht="15" hidden="false" customHeight="false" outlineLevel="0" collapsed="false">
      <c r="A1588" s="11" t="s">
        <v>1920</v>
      </c>
      <c r="B1588" s="11" t="s">
        <v>26</v>
      </c>
      <c r="C1588" s="11" t="s">
        <v>72</v>
      </c>
      <c r="D1588" s="11" t="s">
        <v>36</v>
      </c>
      <c r="E1588" s="11" t="s">
        <v>78</v>
      </c>
      <c r="F1588" s="11" t="s">
        <v>79</v>
      </c>
      <c r="G1588" s="21" t="n">
        <v>33.22</v>
      </c>
      <c r="H1588" s="19" t="n">
        <v>38.4</v>
      </c>
      <c r="I1588" s="21" t="n">
        <v>20.46</v>
      </c>
      <c r="J1588" s="22" t="s">
        <v>80</v>
      </c>
      <c r="K1588" s="11" t="n">
        <v>11</v>
      </c>
      <c r="L1588" s="23" t="n">
        <v>2.9</v>
      </c>
      <c r="M1588" s="24" t="b">
        <f aca="false">FALSE()</f>
        <v>0</v>
      </c>
      <c r="N1588" s="11"/>
      <c r="O1588" s="11" t="str">
        <f aca="false">IF(K1588&lt;=StockP33,"Low",IF(K1588&lt;=StockP67,"Moderate","High"))</f>
        <v>Low</v>
      </c>
      <c r="P1588" s="11" t="str">
        <f aca="false">IF(H1588=0,"Low",IF(H1588&lt;=MarkdownP75,"Moderate","High"))</f>
        <v>High</v>
      </c>
      <c r="Q1588" s="11" t="str">
        <f aca="false">IF(ISBLANK(L1588),"Unknown",IF(L1588&gt;=4,"Good",IF(L1588&lt;=2,"Poor","Neutral")))</f>
        <v>Neutral</v>
      </c>
      <c r="R1588" s="11" t="str">
        <f aca="false">IF(AND(O1588="Low",P1588="Low",Q1588="Good"),"BUY / PRIORITIZE",IF(AND(O1588="High",P1588="High",OR(Q1588="Poor",M1588=TRUE())),"HOLD / REVIEW","MONITOR"))</f>
        <v>MONITOR</v>
      </c>
      <c r="S1588" s="11" t="n">
        <f aca="false">K1588+(ROW()/10000000)</f>
        <v>11.0001588</v>
      </c>
    </row>
    <row r="1589" customFormat="false" ht="15" hidden="false" customHeight="false" outlineLevel="0" collapsed="false">
      <c r="A1589" s="11" t="s">
        <v>1921</v>
      </c>
      <c r="B1589" s="11" t="s">
        <v>8</v>
      </c>
      <c r="C1589" s="11" t="s">
        <v>77</v>
      </c>
      <c r="D1589" s="11" t="s">
        <v>37</v>
      </c>
      <c r="E1589" s="11"/>
      <c r="F1589" s="11" t="s">
        <v>118</v>
      </c>
      <c r="G1589" s="21" t="n">
        <v>65.97</v>
      </c>
      <c r="H1589" s="19" t="n">
        <v>6.8</v>
      </c>
      <c r="I1589" s="21" t="n">
        <v>61.48</v>
      </c>
      <c r="J1589" s="22" t="s">
        <v>80</v>
      </c>
      <c r="K1589" s="11" t="n">
        <v>41</v>
      </c>
      <c r="L1589" s="23" t="n">
        <v>4.3</v>
      </c>
      <c r="M1589" s="24" t="b">
        <f aca="false">FALSE()</f>
        <v>0</v>
      </c>
      <c r="N1589" s="11"/>
      <c r="O1589" s="11" t="str">
        <f aca="false">IF(K1589&lt;=StockP33,"Low",IF(K1589&lt;=StockP67,"Moderate","High"))</f>
        <v>High</v>
      </c>
      <c r="P1589" s="11" t="str">
        <f aca="false">IF(H1589=0,"Low",IF(H1589&lt;=MarkdownP75,"Moderate","High"))</f>
        <v>Moderate</v>
      </c>
      <c r="Q1589" s="11" t="str">
        <f aca="false">IF(ISBLANK(L1589),"Unknown",IF(L1589&gt;=4,"Good",IF(L1589&lt;=2,"Poor","Neutral")))</f>
        <v>Good</v>
      </c>
      <c r="R1589" s="11" t="str">
        <f aca="false">IF(AND(O1589="Low",P1589="Low",Q1589="Good"),"BUY / PRIORITIZE",IF(AND(O1589="High",P1589="High",OR(Q1589="Poor",M1589=TRUE())),"HOLD / REVIEW","MONITOR"))</f>
        <v>MONITOR</v>
      </c>
      <c r="S1589" s="11" t="n">
        <f aca="false">K1589+(ROW()/10000000)</f>
        <v>41.0001589</v>
      </c>
    </row>
    <row r="1590" customFormat="false" ht="15" hidden="false" customHeight="false" outlineLevel="0" collapsed="false">
      <c r="A1590" s="11" t="s">
        <v>1922</v>
      </c>
      <c r="B1590" s="11" t="s">
        <v>30</v>
      </c>
      <c r="C1590" s="11" t="s">
        <v>101</v>
      </c>
      <c r="D1590" s="11" t="s">
        <v>34</v>
      </c>
      <c r="E1590" s="11" t="s">
        <v>78</v>
      </c>
      <c r="F1590" s="11" t="s">
        <v>98</v>
      </c>
      <c r="G1590" s="21" t="n">
        <v>47.25</v>
      </c>
      <c r="H1590" s="19" t="n">
        <v>29</v>
      </c>
      <c r="I1590" s="21" t="n">
        <v>33.55</v>
      </c>
      <c r="J1590" s="22" t="s">
        <v>312</v>
      </c>
      <c r="K1590" s="11" t="n">
        <v>38</v>
      </c>
      <c r="L1590" s="23" t="n">
        <v>5</v>
      </c>
      <c r="M1590" s="24" t="b">
        <f aca="false">FALSE()</f>
        <v>0</v>
      </c>
      <c r="N1590" s="11"/>
      <c r="O1590" s="11" t="str">
        <f aca="false">IF(K1590&lt;=StockP33,"Low",IF(K1590&lt;=StockP67,"Moderate","High"))</f>
        <v>High</v>
      </c>
      <c r="P1590" s="11" t="str">
        <f aca="false">IF(H1590=0,"Low",IF(H1590&lt;=MarkdownP75,"Moderate","High"))</f>
        <v>High</v>
      </c>
      <c r="Q1590" s="11" t="str">
        <f aca="false">IF(ISBLANK(L1590),"Unknown",IF(L1590&gt;=4,"Good",IF(L1590&lt;=2,"Poor","Neutral")))</f>
        <v>Good</v>
      </c>
      <c r="R1590" s="11" t="str">
        <f aca="false">IF(AND(O1590="Low",P1590="Low",Q1590="Good"),"BUY / PRIORITIZE",IF(AND(O1590="High",P1590="High",OR(Q1590="Poor",M1590=TRUE())),"HOLD / REVIEW","MONITOR"))</f>
        <v>MONITOR</v>
      </c>
      <c r="S1590" s="11" t="n">
        <f aca="false">K1590+(ROW()/10000000)</f>
        <v>38.000159</v>
      </c>
    </row>
    <row r="1591" customFormat="false" ht="15" hidden="false" customHeight="false" outlineLevel="0" collapsed="false">
      <c r="A1591" s="11" t="s">
        <v>1923</v>
      </c>
      <c r="B1591" s="11" t="s">
        <v>30</v>
      </c>
      <c r="C1591" s="11" t="s">
        <v>130</v>
      </c>
      <c r="D1591" s="11" t="s">
        <v>34</v>
      </c>
      <c r="E1591" s="11" t="s">
        <v>110</v>
      </c>
      <c r="F1591" s="11" t="s">
        <v>98</v>
      </c>
      <c r="G1591" s="21" t="n">
        <v>93.74</v>
      </c>
      <c r="H1591" s="19" t="n">
        <v>0</v>
      </c>
      <c r="I1591" s="21" t="n">
        <v>93.74</v>
      </c>
      <c r="J1591" s="22" t="s">
        <v>389</v>
      </c>
      <c r="K1591" s="11" t="n">
        <v>39</v>
      </c>
      <c r="L1591" s="23" t="n">
        <v>4</v>
      </c>
      <c r="M1591" s="24" t="b">
        <f aca="false">FALSE()</f>
        <v>0</v>
      </c>
      <c r="N1591" s="11"/>
      <c r="O1591" s="11" t="str">
        <f aca="false">IF(K1591&lt;=StockP33,"Low",IF(K1591&lt;=StockP67,"Moderate","High"))</f>
        <v>High</v>
      </c>
      <c r="P1591" s="11" t="str">
        <f aca="false">IF(H1591=0,"Low",IF(H1591&lt;=MarkdownP75,"Moderate","High"))</f>
        <v>Low</v>
      </c>
      <c r="Q1591" s="11" t="str">
        <f aca="false">IF(ISBLANK(L1591),"Unknown",IF(L1591&gt;=4,"Good",IF(L1591&lt;=2,"Poor","Neutral")))</f>
        <v>Good</v>
      </c>
      <c r="R1591" s="11" t="str">
        <f aca="false">IF(AND(O1591="Low",P1591="Low",Q1591="Good"),"BUY / PRIORITIZE",IF(AND(O1591="High",P1591="High",OR(Q1591="Poor",M1591=TRUE())),"HOLD / REVIEW","MONITOR"))</f>
        <v>MONITOR</v>
      </c>
      <c r="S1591" s="11" t="n">
        <f aca="false">K1591+(ROW()/10000000)</f>
        <v>39.0001591</v>
      </c>
    </row>
    <row r="1592" customFormat="false" ht="15" hidden="false" customHeight="false" outlineLevel="0" collapsed="false">
      <c r="A1592" s="11" t="s">
        <v>1924</v>
      </c>
      <c r="B1592" s="11" t="s">
        <v>26</v>
      </c>
      <c r="C1592" s="11" t="s">
        <v>130</v>
      </c>
      <c r="D1592" s="11" t="s">
        <v>35</v>
      </c>
      <c r="E1592" s="11" t="s">
        <v>102</v>
      </c>
      <c r="F1592" s="11" t="s">
        <v>88</v>
      </c>
      <c r="G1592" s="21" t="n">
        <v>31.57</v>
      </c>
      <c r="H1592" s="19" t="n">
        <v>0</v>
      </c>
      <c r="I1592" s="21" t="n">
        <v>31.57</v>
      </c>
      <c r="J1592" s="22" t="s">
        <v>80</v>
      </c>
      <c r="K1592" s="11" t="n">
        <v>2</v>
      </c>
      <c r="L1592" s="23"/>
      <c r="M1592" s="24" t="b">
        <f aca="false">FALSE()</f>
        <v>0</v>
      </c>
      <c r="N1592" s="11"/>
      <c r="O1592" s="11" t="str">
        <f aca="false">IF(K1592&lt;=StockP33,"Low",IF(K1592&lt;=StockP67,"Moderate","High"))</f>
        <v>Low</v>
      </c>
      <c r="P1592" s="11" t="str">
        <f aca="false">IF(H1592=0,"Low",IF(H1592&lt;=MarkdownP75,"Moderate","High"))</f>
        <v>Low</v>
      </c>
      <c r="Q1592" s="11" t="str">
        <f aca="false">IF(ISBLANK(L1592),"Unknown",IF(L1592&gt;=4,"Good",IF(L1592&lt;=2,"Poor","Neutral")))</f>
        <v>Unknown</v>
      </c>
      <c r="R1592" s="11" t="str">
        <f aca="false">IF(AND(O1592="Low",P1592="Low",Q1592="Good"),"BUY / PRIORITIZE",IF(AND(O1592="High",P1592="High",OR(Q1592="Poor",M1592=TRUE())),"HOLD / REVIEW","MONITOR"))</f>
        <v>MONITOR</v>
      </c>
      <c r="S1592" s="11" t="n">
        <f aca="false">K1592+(ROW()/10000000)</f>
        <v>2.0001592</v>
      </c>
    </row>
    <row r="1593" customFormat="false" ht="15" hidden="false" customHeight="false" outlineLevel="0" collapsed="false">
      <c r="A1593" s="11" t="s">
        <v>1925</v>
      </c>
      <c r="B1593" s="11" t="s">
        <v>26</v>
      </c>
      <c r="C1593" s="11" t="s">
        <v>86</v>
      </c>
      <c r="D1593" s="11" t="s">
        <v>37</v>
      </c>
      <c r="E1593" s="11" t="s">
        <v>102</v>
      </c>
      <c r="F1593" s="11" t="s">
        <v>124</v>
      </c>
      <c r="G1593" s="21" t="n">
        <v>64.21</v>
      </c>
      <c r="H1593" s="19" t="n">
        <v>0</v>
      </c>
      <c r="I1593" s="21" t="n">
        <v>64.21</v>
      </c>
      <c r="J1593" s="22" t="s">
        <v>80</v>
      </c>
      <c r="K1593" s="11" t="n">
        <v>3</v>
      </c>
      <c r="L1593" s="23" t="n">
        <v>2.8</v>
      </c>
      <c r="M1593" s="24" t="b">
        <f aca="false">FALSE()</f>
        <v>0</v>
      </c>
      <c r="N1593" s="11"/>
      <c r="O1593" s="11" t="str">
        <f aca="false">IF(K1593&lt;=StockP33,"Low",IF(K1593&lt;=StockP67,"Moderate","High"))</f>
        <v>Low</v>
      </c>
      <c r="P1593" s="11" t="str">
        <f aca="false">IF(H1593=0,"Low",IF(H1593&lt;=MarkdownP75,"Moderate","High"))</f>
        <v>Low</v>
      </c>
      <c r="Q1593" s="11" t="str">
        <f aca="false">IF(ISBLANK(L1593),"Unknown",IF(L1593&gt;=4,"Good",IF(L1593&lt;=2,"Poor","Neutral")))</f>
        <v>Neutral</v>
      </c>
      <c r="R1593" s="11" t="str">
        <f aca="false">IF(AND(O1593="Low",P1593="Low",Q1593="Good"),"BUY / PRIORITIZE",IF(AND(O1593="High",P1593="High",OR(Q1593="Poor",M1593=TRUE())),"HOLD / REVIEW","MONITOR"))</f>
        <v>MONITOR</v>
      </c>
      <c r="S1593" s="11" t="n">
        <f aca="false">K1593+(ROW()/10000000)</f>
        <v>3.0001593</v>
      </c>
    </row>
    <row r="1594" customFormat="false" ht="15" hidden="false" customHeight="false" outlineLevel="0" collapsed="false">
      <c r="A1594" s="11" t="s">
        <v>1926</v>
      </c>
      <c r="B1594" s="11" t="s">
        <v>8</v>
      </c>
      <c r="C1594" s="11" t="s">
        <v>86</v>
      </c>
      <c r="D1594" s="11" t="s">
        <v>37</v>
      </c>
      <c r="E1594" s="11"/>
      <c r="F1594" s="11" t="s">
        <v>98</v>
      </c>
      <c r="G1594" s="21" t="n">
        <v>56.13</v>
      </c>
      <c r="H1594" s="19" t="n">
        <v>8.1</v>
      </c>
      <c r="I1594" s="21" t="n">
        <v>51.58</v>
      </c>
      <c r="J1594" s="22" t="s">
        <v>80</v>
      </c>
      <c r="K1594" s="11" t="n">
        <v>12</v>
      </c>
      <c r="L1594" s="23" t="n">
        <v>3.8</v>
      </c>
      <c r="M1594" s="24" t="b">
        <f aca="false">FALSE()</f>
        <v>0</v>
      </c>
      <c r="N1594" s="11"/>
      <c r="O1594" s="11" t="str">
        <f aca="false">IF(K1594&lt;=StockP33,"Low",IF(K1594&lt;=StockP67,"Moderate","High"))</f>
        <v>Low</v>
      </c>
      <c r="P1594" s="11" t="str">
        <f aca="false">IF(H1594=0,"Low",IF(H1594&lt;=MarkdownP75,"Moderate","High"))</f>
        <v>Moderate</v>
      </c>
      <c r="Q1594" s="11" t="str">
        <f aca="false">IF(ISBLANK(L1594),"Unknown",IF(L1594&gt;=4,"Good",IF(L1594&lt;=2,"Poor","Neutral")))</f>
        <v>Neutral</v>
      </c>
      <c r="R1594" s="11" t="str">
        <f aca="false">IF(AND(O1594="Low",P1594="Low",Q1594="Good"),"BUY / PRIORITIZE",IF(AND(O1594="High",P1594="High",OR(Q1594="Poor",M1594=TRUE())),"HOLD / REVIEW","MONITOR"))</f>
        <v>MONITOR</v>
      </c>
      <c r="S1594" s="11" t="n">
        <f aca="false">K1594+(ROW()/10000000)</f>
        <v>12.0001594</v>
      </c>
    </row>
    <row r="1595" customFormat="false" ht="15" hidden="false" customHeight="false" outlineLevel="0" collapsed="false">
      <c r="A1595" s="11" t="s">
        <v>1927</v>
      </c>
      <c r="B1595" s="11" t="s">
        <v>30</v>
      </c>
      <c r="C1595" s="11" t="s">
        <v>77</v>
      </c>
      <c r="D1595" s="11" t="s">
        <v>35</v>
      </c>
      <c r="E1595" s="11" t="s">
        <v>102</v>
      </c>
      <c r="F1595" s="11" t="s">
        <v>111</v>
      </c>
      <c r="G1595" s="21" t="n">
        <v>70.89</v>
      </c>
      <c r="H1595" s="19" t="n">
        <v>0</v>
      </c>
      <c r="I1595" s="21" t="n">
        <v>70.89</v>
      </c>
      <c r="J1595" s="22" t="s">
        <v>80</v>
      </c>
      <c r="K1595" s="11" t="n">
        <v>14</v>
      </c>
      <c r="L1595" s="23" t="n">
        <v>4.7</v>
      </c>
      <c r="M1595" s="24" t="b">
        <f aca="false">TRUE()</f>
        <v>1</v>
      </c>
      <c r="N1595" s="11" t="s">
        <v>128</v>
      </c>
      <c r="O1595" s="11" t="str">
        <f aca="false">IF(K1595&lt;=StockP33,"Low",IF(K1595&lt;=StockP67,"Moderate","High"))</f>
        <v>Low</v>
      </c>
      <c r="P1595" s="11" t="str">
        <f aca="false">IF(H1595=0,"Low",IF(H1595&lt;=MarkdownP75,"Moderate","High"))</f>
        <v>Low</v>
      </c>
      <c r="Q1595" s="11" t="str">
        <f aca="false">IF(ISBLANK(L1595),"Unknown",IF(L1595&gt;=4,"Good",IF(L1595&lt;=2,"Poor","Neutral")))</f>
        <v>Good</v>
      </c>
      <c r="R1595" s="11" t="str">
        <f aca="false">IF(AND(O1595="Low",P1595="Low",Q1595="Good"),"BUY / PRIORITIZE",IF(AND(O1595="High",P1595="High",OR(Q1595="Poor",M1595=TRUE())),"HOLD / REVIEW","MONITOR"))</f>
        <v>BUY / PRIORITIZE</v>
      </c>
      <c r="S1595" s="11" t="n">
        <f aca="false">K1595+(ROW()/10000000)</f>
        <v>14.0001595</v>
      </c>
    </row>
    <row r="1596" customFormat="false" ht="15" hidden="false" customHeight="false" outlineLevel="0" collapsed="false">
      <c r="A1596" s="11" t="s">
        <v>1928</v>
      </c>
      <c r="B1596" s="11" t="s">
        <v>29</v>
      </c>
      <c r="C1596" s="11" t="s">
        <v>86</v>
      </c>
      <c r="D1596" s="11" t="s">
        <v>37</v>
      </c>
      <c r="E1596" s="11" t="s">
        <v>113</v>
      </c>
      <c r="F1596" s="11" t="s">
        <v>120</v>
      </c>
      <c r="G1596" s="21" t="n">
        <v>149.65</v>
      </c>
      <c r="H1596" s="19" t="n">
        <v>0</v>
      </c>
      <c r="I1596" s="21" t="n">
        <v>149.65</v>
      </c>
      <c r="J1596" s="22" t="s">
        <v>80</v>
      </c>
      <c r="K1596" s="11" t="n">
        <v>26</v>
      </c>
      <c r="L1596" s="23" t="n">
        <v>3.8</v>
      </c>
      <c r="M1596" s="24" t="b">
        <f aca="false">FALSE()</f>
        <v>0</v>
      </c>
      <c r="N1596" s="11"/>
      <c r="O1596" s="11" t="str">
        <f aca="false">IF(K1596&lt;=StockP33,"Low",IF(K1596&lt;=StockP67,"Moderate","High"))</f>
        <v>Moderate</v>
      </c>
      <c r="P1596" s="11" t="str">
        <f aca="false">IF(H1596=0,"Low",IF(H1596&lt;=MarkdownP75,"Moderate","High"))</f>
        <v>Low</v>
      </c>
      <c r="Q1596" s="11" t="str">
        <f aca="false">IF(ISBLANK(L1596),"Unknown",IF(L1596&gt;=4,"Good",IF(L1596&lt;=2,"Poor","Neutral")))</f>
        <v>Neutral</v>
      </c>
      <c r="R1596" s="11" t="str">
        <f aca="false">IF(AND(O1596="Low",P1596="Low",Q1596="Good"),"BUY / PRIORITIZE",IF(AND(O1596="High",P1596="High",OR(Q1596="Poor",M1596=TRUE())),"HOLD / REVIEW","MONITOR"))</f>
        <v>MONITOR</v>
      </c>
      <c r="S1596" s="11" t="n">
        <f aca="false">K1596+(ROW()/10000000)</f>
        <v>26.0001596</v>
      </c>
    </row>
    <row r="1597" customFormat="false" ht="15" hidden="false" customHeight="false" outlineLevel="0" collapsed="false">
      <c r="A1597" s="11" t="s">
        <v>1929</v>
      </c>
      <c r="B1597" s="11" t="s">
        <v>29</v>
      </c>
      <c r="C1597" s="11" t="s">
        <v>72</v>
      </c>
      <c r="D1597" s="11" t="s">
        <v>34</v>
      </c>
      <c r="E1597" s="11" t="s">
        <v>91</v>
      </c>
      <c r="F1597" s="11" t="s">
        <v>88</v>
      </c>
      <c r="G1597" s="21" t="n">
        <v>83.17</v>
      </c>
      <c r="H1597" s="19" t="n">
        <v>0</v>
      </c>
      <c r="I1597" s="21" t="n">
        <v>83.17</v>
      </c>
      <c r="J1597" s="22" t="s">
        <v>1930</v>
      </c>
      <c r="K1597" s="11" t="n">
        <v>48</v>
      </c>
      <c r="L1597" s="23" t="n">
        <v>3.2</v>
      </c>
      <c r="M1597" s="24" t="b">
        <f aca="false">FALSE()</f>
        <v>0</v>
      </c>
      <c r="N1597" s="11"/>
      <c r="O1597" s="11" t="str">
        <f aca="false">IF(K1597&lt;=StockP33,"Low",IF(K1597&lt;=StockP67,"Moderate","High"))</f>
        <v>High</v>
      </c>
      <c r="P1597" s="11" t="str">
        <f aca="false">IF(H1597=0,"Low",IF(H1597&lt;=MarkdownP75,"Moderate","High"))</f>
        <v>Low</v>
      </c>
      <c r="Q1597" s="11" t="str">
        <f aca="false">IF(ISBLANK(L1597),"Unknown",IF(L1597&gt;=4,"Good",IF(L1597&lt;=2,"Poor","Neutral")))</f>
        <v>Neutral</v>
      </c>
      <c r="R1597" s="11" t="str">
        <f aca="false">IF(AND(O1597="Low",P1597="Low",Q1597="Good"),"BUY / PRIORITIZE",IF(AND(O1597="High",P1597="High",OR(Q1597="Poor",M1597=TRUE())),"HOLD / REVIEW","MONITOR"))</f>
        <v>MONITOR</v>
      </c>
      <c r="S1597" s="11" t="n">
        <f aca="false">K1597+(ROW()/10000000)</f>
        <v>48.0001597</v>
      </c>
    </row>
    <row r="1598" customFormat="false" ht="15" hidden="false" customHeight="false" outlineLevel="0" collapsed="false">
      <c r="A1598" s="11" t="s">
        <v>1931</v>
      </c>
      <c r="B1598" s="11" t="s">
        <v>28</v>
      </c>
      <c r="C1598" s="11" t="s">
        <v>101</v>
      </c>
      <c r="D1598" s="11" t="s">
        <v>36</v>
      </c>
      <c r="E1598" s="11" t="s">
        <v>73</v>
      </c>
      <c r="F1598" s="11" t="s">
        <v>96</v>
      </c>
      <c r="G1598" s="21" t="n">
        <v>121.56</v>
      </c>
      <c r="H1598" s="19" t="n">
        <v>0</v>
      </c>
      <c r="I1598" s="21" t="n">
        <v>121.56</v>
      </c>
      <c r="J1598" s="22" t="s">
        <v>80</v>
      </c>
      <c r="K1598" s="11" t="n">
        <v>18</v>
      </c>
      <c r="L1598" s="23" t="n">
        <v>3.3</v>
      </c>
      <c r="M1598" s="24" t="b">
        <f aca="false">FALSE()</f>
        <v>0</v>
      </c>
      <c r="N1598" s="11"/>
      <c r="O1598" s="11" t="str">
        <f aca="false">IF(K1598&lt;=StockP33,"Low",IF(K1598&lt;=StockP67,"Moderate","High"))</f>
        <v>Moderate</v>
      </c>
      <c r="P1598" s="11" t="str">
        <f aca="false">IF(H1598=0,"Low",IF(H1598&lt;=MarkdownP75,"Moderate","High"))</f>
        <v>Low</v>
      </c>
      <c r="Q1598" s="11" t="str">
        <f aca="false">IF(ISBLANK(L1598),"Unknown",IF(L1598&gt;=4,"Good",IF(L1598&lt;=2,"Poor","Neutral")))</f>
        <v>Neutral</v>
      </c>
      <c r="R1598" s="11" t="str">
        <f aca="false">IF(AND(O1598="Low",P1598="Low",Q1598="Good"),"BUY / PRIORITIZE",IF(AND(O1598="High",P1598="High",OR(Q1598="Poor",M1598=TRUE())),"HOLD / REVIEW","MONITOR"))</f>
        <v>MONITOR</v>
      </c>
      <c r="S1598" s="11" t="n">
        <f aca="false">K1598+(ROW()/10000000)</f>
        <v>18.0001598</v>
      </c>
    </row>
    <row r="1599" customFormat="false" ht="15" hidden="false" customHeight="false" outlineLevel="0" collapsed="false">
      <c r="A1599" s="11" t="s">
        <v>1932</v>
      </c>
      <c r="B1599" s="11" t="s">
        <v>26</v>
      </c>
      <c r="C1599" s="11" t="s">
        <v>72</v>
      </c>
      <c r="D1599" s="11" t="s">
        <v>37</v>
      </c>
      <c r="E1599" s="11" t="s">
        <v>113</v>
      </c>
      <c r="F1599" s="11" t="s">
        <v>120</v>
      </c>
      <c r="G1599" s="21" t="n">
        <v>48.62</v>
      </c>
      <c r="H1599" s="19" t="n">
        <v>0</v>
      </c>
      <c r="I1599" s="21" t="n">
        <v>48.62</v>
      </c>
      <c r="J1599" s="22" t="s">
        <v>80</v>
      </c>
      <c r="K1599" s="11" t="n">
        <v>3</v>
      </c>
      <c r="L1599" s="23"/>
      <c r="M1599" s="24" t="b">
        <f aca="false">TRUE()</f>
        <v>1</v>
      </c>
      <c r="N1599" s="11" t="s">
        <v>134</v>
      </c>
      <c r="O1599" s="11" t="str">
        <f aca="false">IF(K1599&lt;=StockP33,"Low",IF(K1599&lt;=StockP67,"Moderate","High"))</f>
        <v>Low</v>
      </c>
      <c r="P1599" s="11" t="str">
        <f aca="false">IF(H1599=0,"Low",IF(H1599&lt;=MarkdownP75,"Moderate","High"))</f>
        <v>Low</v>
      </c>
      <c r="Q1599" s="11" t="str">
        <f aca="false">IF(ISBLANK(L1599),"Unknown",IF(L1599&gt;=4,"Good",IF(L1599&lt;=2,"Poor","Neutral")))</f>
        <v>Unknown</v>
      </c>
      <c r="R1599" s="11" t="str">
        <f aca="false">IF(AND(O1599="Low",P1599="Low",Q1599="Good"),"BUY / PRIORITIZE",IF(AND(O1599="High",P1599="High",OR(Q1599="Poor",M1599=TRUE())),"HOLD / REVIEW","MONITOR"))</f>
        <v>MONITOR</v>
      </c>
      <c r="S1599" s="11" t="n">
        <f aca="false">K1599+(ROW()/10000000)</f>
        <v>3.0001599</v>
      </c>
    </row>
    <row r="1600" customFormat="false" ht="15" hidden="false" customHeight="false" outlineLevel="0" collapsed="false">
      <c r="A1600" s="11" t="s">
        <v>1933</v>
      </c>
      <c r="B1600" s="11" t="s">
        <v>27</v>
      </c>
      <c r="C1600" s="11" t="s">
        <v>107</v>
      </c>
      <c r="D1600" s="11" t="s">
        <v>37</v>
      </c>
      <c r="E1600" s="11" t="s">
        <v>113</v>
      </c>
      <c r="F1600" s="11" t="s">
        <v>96</v>
      </c>
      <c r="G1600" s="21" t="n">
        <v>79.04</v>
      </c>
      <c r="H1600" s="19" t="n">
        <v>0</v>
      </c>
      <c r="I1600" s="21" t="n">
        <v>79.04</v>
      </c>
      <c r="J1600" s="22" t="s">
        <v>80</v>
      </c>
      <c r="K1600" s="11" t="n">
        <v>4</v>
      </c>
      <c r="L1600" s="23" t="n">
        <v>4.1</v>
      </c>
      <c r="M1600" s="24" t="b">
        <f aca="false">FALSE()</f>
        <v>0</v>
      </c>
      <c r="N1600" s="11"/>
      <c r="O1600" s="11" t="str">
        <f aca="false">IF(K1600&lt;=StockP33,"Low",IF(K1600&lt;=StockP67,"Moderate","High"))</f>
        <v>Low</v>
      </c>
      <c r="P1600" s="11" t="str">
        <f aca="false">IF(H1600=0,"Low",IF(H1600&lt;=MarkdownP75,"Moderate","High"))</f>
        <v>Low</v>
      </c>
      <c r="Q1600" s="11" t="str">
        <f aca="false">IF(ISBLANK(L1600),"Unknown",IF(L1600&gt;=4,"Good",IF(L1600&lt;=2,"Poor","Neutral")))</f>
        <v>Good</v>
      </c>
      <c r="R1600" s="11" t="str">
        <f aca="false">IF(AND(O1600="Low",P1600="Low",Q1600="Good"),"BUY / PRIORITIZE",IF(AND(O1600="High",P1600="High",OR(Q1600="Poor",M1600=TRUE())),"HOLD / REVIEW","MONITOR"))</f>
        <v>BUY / PRIORITIZE</v>
      </c>
      <c r="S1600" s="11" t="n">
        <f aca="false">K1600+(ROW()/10000000)</f>
        <v>4.00016</v>
      </c>
    </row>
    <row r="1601" customFormat="false" ht="15" hidden="false" customHeight="false" outlineLevel="0" collapsed="false">
      <c r="A1601" s="11" t="s">
        <v>1934</v>
      </c>
      <c r="B1601" s="11" t="s">
        <v>28</v>
      </c>
      <c r="C1601" s="11" t="s">
        <v>95</v>
      </c>
      <c r="D1601" s="11" t="s">
        <v>34</v>
      </c>
      <c r="E1601" s="11" t="s">
        <v>110</v>
      </c>
      <c r="F1601" s="11" t="s">
        <v>92</v>
      </c>
      <c r="G1601" s="21" t="n">
        <v>198.58</v>
      </c>
      <c r="H1601" s="19" t="n">
        <v>0</v>
      </c>
      <c r="I1601" s="21" t="n">
        <v>198.58</v>
      </c>
      <c r="J1601" s="22" t="s">
        <v>1908</v>
      </c>
      <c r="K1601" s="11" t="n">
        <v>46</v>
      </c>
      <c r="L1601" s="23"/>
      <c r="M1601" s="24" t="b">
        <f aca="false">FALSE()</f>
        <v>0</v>
      </c>
      <c r="N1601" s="11"/>
      <c r="O1601" s="11" t="str">
        <f aca="false">IF(K1601&lt;=StockP33,"Low",IF(K1601&lt;=StockP67,"Moderate","High"))</f>
        <v>High</v>
      </c>
      <c r="P1601" s="11" t="str">
        <f aca="false">IF(H1601=0,"Low",IF(H1601&lt;=MarkdownP75,"Moderate","High"))</f>
        <v>Low</v>
      </c>
      <c r="Q1601" s="11" t="str">
        <f aca="false">IF(ISBLANK(L1601),"Unknown",IF(L1601&gt;=4,"Good",IF(L1601&lt;=2,"Poor","Neutral")))</f>
        <v>Unknown</v>
      </c>
      <c r="R1601" s="11" t="str">
        <f aca="false">IF(AND(O1601="Low",P1601="Low",Q1601="Good"),"BUY / PRIORITIZE",IF(AND(O1601="High",P1601="High",OR(Q1601="Poor",M1601=TRUE())),"HOLD / REVIEW","MONITOR"))</f>
        <v>MONITOR</v>
      </c>
      <c r="S1601" s="11" t="n">
        <f aca="false">K1601+(ROW()/10000000)</f>
        <v>46.0001601</v>
      </c>
    </row>
    <row r="1602" customFormat="false" ht="15" hidden="false" customHeight="false" outlineLevel="0" collapsed="false">
      <c r="A1602" s="11" t="s">
        <v>1935</v>
      </c>
      <c r="B1602" s="11" t="s">
        <v>28</v>
      </c>
      <c r="C1602" s="11" t="s">
        <v>86</v>
      </c>
      <c r="D1602" s="11" t="s">
        <v>35</v>
      </c>
      <c r="E1602" s="11" t="s">
        <v>113</v>
      </c>
      <c r="F1602" s="11" t="s">
        <v>98</v>
      </c>
      <c r="G1602" s="21" t="n">
        <v>109.82</v>
      </c>
      <c r="H1602" s="19" t="n">
        <v>0</v>
      </c>
      <c r="I1602" s="21" t="n">
        <v>109.82</v>
      </c>
      <c r="J1602" s="22" t="s">
        <v>80</v>
      </c>
      <c r="K1602" s="11" t="n">
        <v>32</v>
      </c>
      <c r="L1602" s="23" t="n">
        <v>2.3</v>
      </c>
      <c r="M1602" s="24" t="b">
        <f aca="false">FALSE()</f>
        <v>0</v>
      </c>
      <c r="N1602" s="11"/>
      <c r="O1602" s="11" t="str">
        <f aca="false">IF(K1602&lt;=StockP33,"Low",IF(K1602&lt;=StockP67,"Moderate","High"))</f>
        <v>Moderate</v>
      </c>
      <c r="P1602" s="11" t="str">
        <f aca="false">IF(H1602=0,"Low",IF(H1602&lt;=MarkdownP75,"Moderate","High"))</f>
        <v>Low</v>
      </c>
      <c r="Q1602" s="11" t="str">
        <f aca="false">IF(ISBLANK(L1602),"Unknown",IF(L1602&gt;=4,"Good",IF(L1602&lt;=2,"Poor","Neutral")))</f>
        <v>Neutral</v>
      </c>
      <c r="R1602" s="11" t="str">
        <f aca="false">IF(AND(O1602="Low",P1602="Low",Q1602="Good"),"BUY / PRIORITIZE",IF(AND(O1602="High",P1602="High",OR(Q1602="Poor",M1602=TRUE())),"HOLD / REVIEW","MONITOR"))</f>
        <v>MONITOR</v>
      </c>
      <c r="S1602" s="11" t="n">
        <f aca="false">K1602+(ROW()/10000000)</f>
        <v>32.0001602</v>
      </c>
    </row>
    <row r="1603" customFormat="false" ht="15" hidden="false" customHeight="false" outlineLevel="0" collapsed="false">
      <c r="A1603" s="11" t="s">
        <v>1936</v>
      </c>
      <c r="B1603" s="11" t="s">
        <v>8</v>
      </c>
      <c r="C1603" s="11" t="s">
        <v>86</v>
      </c>
      <c r="D1603" s="11" t="s">
        <v>35</v>
      </c>
      <c r="E1603" s="11"/>
      <c r="F1603" s="11" t="s">
        <v>74</v>
      </c>
      <c r="G1603" s="21" t="n">
        <v>34.42</v>
      </c>
      <c r="H1603" s="19" t="n">
        <v>49.5</v>
      </c>
      <c r="I1603" s="21" t="n">
        <v>17.38</v>
      </c>
      <c r="J1603" s="22" t="s">
        <v>80</v>
      </c>
      <c r="K1603" s="11" t="n">
        <v>26</v>
      </c>
      <c r="L1603" s="23" t="n">
        <v>2.2</v>
      </c>
      <c r="M1603" s="24" t="b">
        <f aca="false">FALSE()</f>
        <v>0</v>
      </c>
      <c r="N1603" s="11"/>
      <c r="O1603" s="11" t="str">
        <f aca="false">IF(K1603&lt;=StockP33,"Low",IF(K1603&lt;=StockP67,"Moderate","High"))</f>
        <v>Moderate</v>
      </c>
      <c r="P1603" s="11" t="str">
        <f aca="false">IF(H1603=0,"Low",IF(H1603&lt;=MarkdownP75,"Moderate","High"))</f>
        <v>High</v>
      </c>
      <c r="Q1603" s="11" t="str">
        <f aca="false">IF(ISBLANK(L1603),"Unknown",IF(L1603&gt;=4,"Good",IF(L1603&lt;=2,"Poor","Neutral")))</f>
        <v>Neutral</v>
      </c>
      <c r="R1603" s="11" t="str">
        <f aca="false">IF(AND(O1603="Low",P1603="Low",Q1603="Good"),"BUY / PRIORITIZE",IF(AND(O1603="High",P1603="High",OR(Q1603="Poor",M1603=TRUE())),"HOLD / REVIEW","MONITOR"))</f>
        <v>MONITOR</v>
      </c>
      <c r="S1603" s="11" t="n">
        <f aca="false">K1603+(ROW()/10000000)</f>
        <v>26.0001603</v>
      </c>
    </row>
    <row r="1604" customFormat="false" ht="15" hidden="false" customHeight="false" outlineLevel="0" collapsed="false">
      <c r="A1604" s="11" t="s">
        <v>1937</v>
      </c>
      <c r="B1604" s="11" t="s">
        <v>29</v>
      </c>
      <c r="C1604" s="11" t="s">
        <v>72</v>
      </c>
      <c r="D1604" s="11" t="s">
        <v>37</v>
      </c>
      <c r="E1604" s="11"/>
      <c r="F1604" s="11" t="s">
        <v>92</v>
      </c>
      <c r="G1604" s="21" t="n">
        <v>112.1</v>
      </c>
      <c r="H1604" s="19" t="n">
        <v>0</v>
      </c>
      <c r="I1604" s="21" t="n">
        <v>112.1</v>
      </c>
      <c r="J1604" s="22" t="s">
        <v>80</v>
      </c>
      <c r="K1604" s="11" t="n">
        <v>5</v>
      </c>
      <c r="L1604" s="23" t="n">
        <v>2</v>
      </c>
      <c r="M1604" s="24" t="b">
        <f aca="false">TRUE()</f>
        <v>1</v>
      </c>
      <c r="N1604" s="11" t="s">
        <v>89</v>
      </c>
      <c r="O1604" s="11" t="str">
        <f aca="false">IF(K1604&lt;=StockP33,"Low",IF(K1604&lt;=StockP67,"Moderate","High"))</f>
        <v>Low</v>
      </c>
      <c r="P1604" s="11" t="str">
        <f aca="false">IF(H1604=0,"Low",IF(H1604&lt;=MarkdownP75,"Moderate","High"))</f>
        <v>Low</v>
      </c>
      <c r="Q1604" s="11" t="str">
        <f aca="false">IF(ISBLANK(L1604),"Unknown",IF(L1604&gt;=4,"Good",IF(L1604&lt;=2,"Poor","Neutral")))</f>
        <v>Poor</v>
      </c>
      <c r="R1604" s="11" t="str">
        <f aca="false">IF(AND(O1604="Low",P1604="Low",Q1604="Good"),"BUY / PRIORITIZE",IF(AND(O1604="High",P1604="High",OR(Q1604="Poor",M1604=TRUE())),"HOLD / REVIEW","MONITOR"))</f>
        <v>MONITOR</v>
      </c>
      <c r="S1604" s="11" t="n">
        <f aca="false">K1604+(ROW()/10000000)</f>
        <v>5.0001604</v>
      </c>
    </row>
    <row r="1605" customFormat="false" ht="15" hidden="false" customHeight="false" outlineLevel="0" collapsed="false">
      <c r="A1605" s="11" t="s">
        <v>1938</v>
      </c>
      <c r="B1605" s="11" t="s">
        <v>26</v>
      </c>
      <c r="C1605" s="11" t="s">
        <v>116</v>
      </c>
      <c r="D1605" s="11" t="s">
        <v>36</v>
      </c>
      <c r="E1605" s="11" t="s">
        <v>110</v>
      </c>
      <c r="F1605" s="11" t="s">
        <v>88</v>
      </c>
      <c r="G1605" s="21" t="n">
        <v>25.07</v>
      </c>
      <c r="H1605" s="19" t="n">
        <v>0</v>
      </c>
      <c r="I1605" s="21" t="n">
        <v>25.07</v>
      </c>
      <c r="J1605" s="22" t="s">
        <v>80</v>
      </c>
      <c r="K1605" s="11" t="n">
        <v>9</v>
      </c>
      <c r="L1605" s="23" t="n">
        <v>2.5</v>
      </c>
      <c r="M1605" s="24" t="b">
        <f aca="false">FALSE()</f>
        <v>0</v>
      </c>
      <c r="N1605" s="11"/>
      <c r="O1605" s="11" t="str">
        <f aca="false">IF(K1605&lt;=StockP33,"Low",IF(K1605&lt;=StockP67,"Moderate","High"))</f>
        <v>Low</v>
      </c>
      <c r="P1605" s="11" t="str">
        <f aca="false">IF(H1605=0,"Low",IF(H1605&lt;=MarkdownP75,"Moderate","High"))</f>
        <v>Low</v>
      </c>
      <c r="Q1605" s="11" t="str">
        <f aca="false">IF(ISBLANK(L1605),"Unknown",IF(L1605&gt;=4,"Good",IF(L1605&lt;=2,"Poor","Neutral")))</f>
        <v>Neutral</v>
      </c>
      <c r="R1605" s="11" t="str">
        <f aca="false">IF(AND(O1605="Low",P1605="Low",Q1605="Good"),"BUY / PRIORITIZE",IF(AND(O1605="High",P1605="High",OR(Q1605="Poor",M1605=TRUE())),"HOLD / REVIEW","MONITOR"))</f>
        <v>MONITOR</v>
      </c>
      <c r="S1605" s="11" t="n">
        <f aca="false">K1605+(ROW()/10000000)</f>
        <v>9.0001605</v>
      </c>
    </row>
    <row r="1606" customFormat="false" ht="15" hidden="false" customHeight="false" outlineLevel="0" collapsed="false">
      <c r="A1606" s="11" t="s">
        <v>1939</v>
      </c>
      <c r="B1606" s="11" t="s">
        <v>27</v>
      </c>
      <c r="C1606" s="11" t="s">
        <v>77</v>
      </c>
      <c r="D1606" s="11" t="s">
        <v>34</v>
      </c>
      <c r="E1606" s="11" t="s">
        <v>73</v>
      </c>
      <c r="F1606" s="11" t="s">
        <v>98</v>
      </c>
      <c r="G1606" s="21" t="n">
        <v>170.38</v>
      </c>
      <c r="H1606" s="19" t="n">
        <v>0</v>
      </c>
      <c r="I1606" s="21" t="n">
        <v>170.38</v>
      </c>
      <c r="J1606" s="22" t="s">
        <v>1940</v>
      </c>
      <c r="K1606" s="11" t="n">
        <v>23</v>
      </c>
      <c r="L1606" s="23" t="n">
        <v>4.3</v>
      </c>
      <c r="M1606" s="24" t="b">
        <f aca="false">FALSE()</f>
        <v>0</v>
      </c>
      <c r="N1606" s="11"/>
      <c r="O1606" s="11" t="str">
        <f aca="false">IF(K1606&lt;=StockP33,"Low",IF(K1606&lt;=StockP67,"Moderate","High"))</f>
        <v>Moderate</v>
      </c>
      <c r="P1606" s="11" t="str">
        <f aca="false">IF(H1606=0,"Low",IF(H1606&lt;=MarkdownP75,"Moderate","High"))</f>
        <v>Low</v>
      </c>
      <c r="Q1606" s="11" t="str">
        <f aca="false">IF(ISBLANK(L1606),"Unknown",IF(L1606&gt;=4,"Good",IF(L1606&lt;=2,"Poor","Neutral")))</f>
        <v>Good</v>
      </c>
      <c r="R1606" s="11" t="str">
        <f aca="false">IF(AND(O1606="Low",P1606="Low",Q1606="Good"),"BUY / PRIORITIZE",IF(AND(O1606="High",P1606="High",OR(Q1606="Poor",M1606=TRUE())),"HOLD / REVIEW","MONITOR"))</f>
        <v>MONITOR</v>
      </c>
      <c r="S1606" s="11" t="n">
        <f aca="false">K1606+(ROW()/10000000)</f>
        <v>23.0001606</v>
      </c>
    </row>
    <row r="1607" customFormat="false" ht="15" hidden="false" customHeight="false" outlineLevel="0" collapsed="false">
      <c r="A1607" s="11" t="s">
        <v>1941</v>
      </c>
      <c r="B1607" s="11" t="s">
        <v>27</v>
      </c>
      <c r="C1607" s="11" t="s">
        <v>95</v>
      </c>
      <c r="D1607" s="11" t="s">
        <v>37</v>
      </c>
      <c r="E1607" s="11" t="s">
        <v>102</v>
      </c>
      <c r="F1607" s="11" t="s">
        <v>98</v>
      </c>
      <c r="G1607" s="21" t="n">
        <v>77.32</v>
      </c>
      <c r="H1607" s="19" t="n">
        <v>0</v>
      </c>
      <c r="I1607" s="21" t="n">
        <v>77.32</v>
      </c>
      <c r="J1607" s="22" t="s">
        <v>80</v>
      </c>
      <c r="K1607" s="11" t="n">
        <v>30</v>
      </c>
      <c r="L1607" s="23" t="n">
        <v>2.2</v>
      </c>
      <c r="M1607" s="24" t="b">
        <f aca="false">TRUE()</f>
        <v>1</v>
      </c>
      <c r="N1607" s="11" t="s">
        <v>89</v>
      </c>
      <c r="O1607" s="11" t="str">
        <f aca="false">IF(K1607&lt;=StockP33,"Low",IF(K1607&lt;=StockP67,"Moderate","High"))</f>
        <v>Moderate</v>
      </c>
      <c r="P1607" s="11" t="str">
        <f aca="false">IF(H1607=0,"Low",IF(H1607&lt;=MarkdownP75,"Moderate","High"))</f>
        <v>Low</v>
      </c>
      <c r="Q1607" s="11" t="str">
        <f aca="false">IF(ISBLANK(L1607),"Unknown",IF(L1607&gt;=4,"Good",IF(L1607&lt;=2,"Poor","Neutral")))</f>
        <v>Neutral</v>
      </c>
      <c r="R1607" s="11" t="str">
        <f aca="false">IF(AND(O1607="Low",P1607="Low",Q1607="Good"),"BUY / PRIORITIZE",IF(AND(O1607="High",P1607="High",OR(Q1607="Poor",M1607=TRUE())),"HOLD / REVIEW","MONITOR"))</f>
        <v>MONITOR</v>
      </c>
      <c r="S1607" s="11" t="n">
        <f aca="false">K1607+(ROW()/10000000)</f>
        <v>30.0001607</v>
      </c>
    </row>
    <row r="1608" customFormat="false" ht="15" hidden="false" customHeight="false" outlineLevel="0" collapsed="false">
      <c r="A1608" s="11" t="s">
        <v>1942</v>
      </c>
      <c r="B1608" s="11" t="s">
        <v>29</v>
      </c>
      <c r="C1608" s="11" t="s">
        <v>95</v>
      </c>
      <c r="D1608" s="11" t="s">
        <v>37</v>
      </c>
      <c r="E1608" s="11" t="s">
        <v>110</v>
      </c>
      <c r="F1608" s="11" t="s">
        <v>82</v>
      </c>
      <c r="G1608" s="21" t="n">
        <v>111.88</v>
      </c>
      <c r="H1608" s="19" t="n">
        <v>0</v>
      </c>
      <c r="I1608" s="21" t="n">
        <v>111.88</v>
      </c>
      <c r="J1608" s="22" t="s">
        <v>80</v>
      </c>
      <c r="K1608" s="11" t="n">
        <v>17</v>
      </c>
      <c r="L1608" s="23" t="n">
        <v>4.6</v>
      </c>
      <c r="M1608" s="24" t="b">
        <f aca="false">FALSE()</f>
        <v>0</v>
      </c>
      <c r="N1608" s="11"/>
      <c r="O1608" s="11" t="str">
        <f aca="false">IF(K1608&lt;=StockP33,"Low",IF(K1608&lt;=StockP67,"Moderate","High"))</f>
        <v>Low</v>
      </c>
      <c r="P1608" s="11" t="str">
        <f aca="false">IF(H1608=0,"Low",IF(H1608&lt;=MarkdownP75,"Moderate","High"))</f>
        <v>Low</v>
      </c>
      <c r="Q1608" s="11" t="str">
        <f aca="false">IF(ISBLANK(L1608),"Unknown",IF(L1608&gt;=4,"Good",IF(L1608&lt;=2,"Poor","Neutral")))</f>
        <v>Good</v>
      </c>
      <c r="R1608" s="11" t="str">
        <f aca="false">IF(AND(O1608="Low",P1608="Low",Q1608="Good"),"BUY / PRIORITIZE",IF(AND(O1608="High",P1608="High",OR(Q1608="Poor",M1608=TRUE())),"HOLD / REVIEW","MONITOR"))</f>
        <v>BUY / PRIORITIZE</v>
      </c>
      <c r="S1608" s="11" t="n">
        <f aca="false">K1608+(ROW()/10000000)</f>
        <v>17.0001608</v>
      </c>
    </row>
    <row r="1609" customFormat="false" ht="15" hidden="false" customHeight="false" outlineLevel="0" collapsed="false">
      <c r="A1609" s="11" t="s">
        <v>1943</v>
      </c>
      <c r="B1609" s="11" t="s">
        <v>8</v>
      </c>
      <c r="C1609" s="11" t="s">
        <v>130</v>
      </c>
      <c r="D1609" s="11" t="s">
        <v>36</v>
      </c>
      <c r="E1609" s="11"/>
      <c r="F1609" s="11" t="s">
        <v>82</v>
      </c>
      <c r="G1609" s="21" t="n">
        <v>24.71</v>
      </c>
      <c r="H1609" s="19" t="n">
        <v>0</v>
      </c>
      <c r="I1609" s="21" t="n">
        <v>24.71</v>
      </c>
      <c r="J1609" s="22" t="s">
        <v>80</v>
      </c>
      <c r="K1609" s="11" t="n">
        <v>37</v>
      </c>
      <c r="L1609" s="23"/>
      <c r="M1609" s="24" t="b">
        <f aca="false">FALSE()</f>
        <v>0</v>
      </c>
      <c r="N1609" s="11"/>
      <c r="O1609" s="11" t="str">
        <f aca="false">IF(K1609&lt;=StockP33,"Low",IF(K1609&lt;=StockP67,"Moderate","High"))</f>
        <v>High</v>
      </c>
      <c r="P1609" s="11" t="str">
        <f aca="false">IF(H1609=0,"Low",IF(H1609&lt;=MarkdownP75,"Moderate","High"))</f>
        <v>Low</v>
      </c>
      <c r="Q1609" s="11" t="str">
        <f aca="false">IF(ISBLANK(L1609),"Unknown",IF(L1609&gt;=4,"Good",IF(L1609&lt;=2,"Poor","Neutral")))</f>
        <v>Unknown</v>
      </c>
      <c r="R1609" s="11" t="str">
        <f aca="false">IF(AND(O1609="Low",P1609="Low",Q1609="Good"),"BUY / PRIORITIZE",IF(AND(O1609="High",P1609="High",OR(Q1609="Poor",M1609=TRUE())),"HOLD / REVIEW","MONITOR"))</f>
        <v>MONITOR</v>
      </c>
      <c r="S1609" s="11" t="n">
        <f aca="false">K1609+(ROW()/10000000)</f>
        <v>37.0001609</v>
      </c>
    </row>
    <row r="1610" customFormat="false" ht="15" hidden="false" customHeight="false" outlineLevel="0" collapsed="false">
      <c r="A1610" s="11" t="s">
        <v>1944</v>
      </c>
      <c r="B1610" s="11" t="s">
        <v>30</v>
      </c>
      <c r="C1610" s="11" t="s">
        <v>77</v>
      </c>
      <c r="D1610" s="11" t="s">
        <v>34</v>
      </c>
      <c r="E1610" s="11" t="s">
        <v>73</v>
      </c>
      <c r="F1610" s="11" t="s">
        <v>74</v>
      </c>
      <c r="G1610" s="21" t="n">
        <v>61.42</v>
      </c>
      <c r="H1610" s="19" t="n">
        <v>0</v>
      </c>
      <c r="I1610" s="21" t="n">
        <v>61.42</v>
      </c>
      <c r="J1610" s="22" t="s">
        <v>1945</v>
      </c>
      <c r="K1610" s="11" t="n">
        <v>41</v>
      </c>
      <c r="L1610" s="23" t="n">
        <v>3.5</v>
      </c>
      <c r="M1610" s="24" t="b">
        <f aca="false">FALSE()</f>
        <v>0</v>
      </c>
      <c r="N1610" s="11"/>
      <c r="O1610" s="11" t="str">
        <f aca="false">IF(K1610&lt;=StockP33,"Low",IF(K1610&lt;=StockP67,"Moderate","High"))</f>
        <v>High</v>
      </c>
      <c r="P1610" s="11" t="str">
        <f aca="false">IF(H1610=0,"Low",IF(H1610&lt;=MarkdownP75,"Moderate","High"))</f>
        <v>Low</v>
      </c>
      <c r="Q1610" s="11" t="str">
        <f aca="false">IF(ISBLANK(L1610),"Unknown",IF(L1610&gt;=4,"Good",IF(L1610&lt;=2,"Poor","Neutral")))</f>
        <v>Neutral</v>
      </c>
      <c r="R1610" s="11" t="str">
        <f aca="false">IF(AND(O1610="Low",P1610="Low",Q1610="Good"),"BUY / PRIORITIZE",IF(AND(O1610="High",P1610="High",OR(Q1610="Poor",M1610=TRUE())),"HOLD / REVIEW","MONITOR"))</f>
        <v>MONITOR</v>
      </c>
      <c r="S1610" s="11" t="n">
        <f aca="false">K1610+(ROW()/10000000)</f>
        <v>41.000161</v>
      </c>
    </row>
    <row r="1611" customFormat="false" ht="15" hidden="false" customHeight="false" outlineLevel="0" collapsed="false">
      <c r="A1611" s="11" t="s">
        <v>1946</v>
      </c>
      <c r="B1611" s="11" t="s">
        <v>8</v>
      </c>
      <c r="C1611" s="11" t="s">
        <v>116</v>
      </c>
      <c r="D1611" s="11" t="s">
        <v>36</v>
      </c>
      <c r="E1611" s="11"/>
      <c r="F1611" s="11" t="s">
        <v>96</v>
      </c>
      <c r="G1611" s="21" t="n">
        <v>60.48</v>
      </c>
      <c r="H1611" s="19" t="n">
        <v>7.3</v>
      </c>
      <c r="I1611" s="21" t="n">
        <v>56.06</v>
      </c>
      <c r="J1611" s="22" t="s">
        <v>80</v>
      </c>
      <c r="K1611" s="11" t="n">
        <v>46</v>
      </c>
      <c r="L1611" s="23" t="n">
        <v>3.6</v>
      </c>
      <c r="M1611" s="24" t="b">
        <f aca="false">FALSE()</f>
        <v>0</v>
      </c>
      <c r="N1611" s="11"/>
      <c r="O1611" s="11" t="str">
        <f aca="false">IF(K1611&lt;=StockP33,"Low",IF(K1611&lt;=StockP67,"Moderate","High"))</f>
        <v>High</v>
      </c>
      <c r="P1611" s="11" t="str">
        <f aca="false">IF(H1611=0,"Low",IF(H1611&lt;=MarkdownP75,"Moderate","High"))</f>
        <v>Moderate</v>
      </c>
      <c r="Q1611" s="11" t="str">
        <f aca="false">IF(ISBLANK(L1611),"Unknown",IF(L1611&gt;=4,"Good",IF(L1611&lt;=2,"Poor","Neutral")))</f>
        <v>Neutral</v>
      </c>
      <c r="R1611" s="11" t="str">
        <f aca="false">IF(AND(O1611="Low",P1611="Low",Q1611="Good"),"BUY / PRIORITIZE",IF(AND(O1611="High",P1611="High",OR(Q1611="Poor",M1611=TRUE())),"HOLD / REVIEW","MONITOR"))</f>
        <v>MONITOR</v>
      </c>
      <c r="S1611" s="11" t="n">
        <f aca="false">K1611+(ROW()/10000000)</f>
        <v>46.0001611</v>
      </c>
    </row>
    <row r="1612" customFormat="false" ht="15" hidden="false" customHeight="false" outlineLevel="0" collapsed="false">
      <c r="A1612" s="11" t="s">
        <v>1947</v>
      </c>
      <c r="B1612" s="11" t="s">
        <v>8</v>
      </c>
      <c r="C1612" s="11" t="s">
        <v>95</v>
      </c>
      <c r="D1612" s="11" t="s">
        <v>36</v>
      </c>
      <c r="E1612" s="11"/>
      <c r="F1612" s="11" t="s">
        <v>120</v>
      </c>
      <c r="G1612" s="21" t="n">
        <v>34.94</v>
      </c>
      <c r="H1612" s="19" t="n">
        <v>5.2</v>
      </c>
      <c r="I1612" s="21" t="n">
        <v>33.12</v>
      </c>
      <c r="J1612" s="22" t="s">
        <v>80</v>
      </c>
      <c r="K1612" s="11" t="n">
        <v>18</v>
      </c>
      <c r="L1612" s="23"/>
      <c r="M1612" s="24" t="b">
        <f aca="false">FALSE()</f>
        <v>0</v>
      </c>
      <c r="N1612" s="11"/>
      <c r="O1612" s="11" t="str">
        <f aca="false">IF(K1612&lt;=StockP33,"Low",IF(K1612&lt;=StockP67,"Moderate","High"))</f>
        <v>Moderate</v>
      </c>
      <c r="P1612" s="11" t="str">
        <f aca="false">IF(H1612=0,"Low",IF(H1612&lt;=MarkdownP75,"Moderate","High"))</f>
        <v>Moderate</v>
      </c>
      <c r="Q1612" s="11" t="str">
        <f aca="false">IF(ISBLANK(L1612),"Unknown",IF(L1612&gt;=4,"Good",IF(L1612&lt;=2,"Poor","Neutral")))</f>
        <v>Unknown</v>
      </c>
      <c r="R1612" s="11" t="str">
        <f aca="false">IF(AND(O1612="Low",P1612="Low",Q1612="Good"),"BUY / PRIORITIZE",IF(AND(O1612="High",P1612="High",OR(Q1612="Poor",M1612=TRUE())),"HOLD / REVIEW","MONITOR"))</f>
        <v>MONITOR</v>
      </c>
      <c r="S1612" s="11" t="n">
        <f aca="false">K1612+(ROW()/10000000)</f>
        <v>18.0001612</v>
      </c>
    </row>
    <row r="1613" customFormat="false" ht="15" hidden="false" customHeight="false" outlineLevel="0" collapsed="false">
      <c r="A1613" s="11" t="s">
        <v>1948</v>
      </c>
      <c r="B1613" s="11" t="s">
        <v>26</v>
      </c>
      <c r="C1613" s="11" t="s">
        <v>86</v>
      </c>
      <c r="D1613" s="11" t="s">
        <v>34</v>
      </c>
      <c r="E1613" s="11" t="s">
        <v>73</v>
      </c>
      <c r="F1613" s="11" t="s">
        <v>74</v>
      </c>
      <c r="G1613" s="21" t="n">
        <v>30.51</v>
      </c>
      <c r="H1613" s="19" t="n">
        <v>0</v>
      </c>
      <c r="I1613" s="21" t="n">
        <v>30.51</v>
      </c>
      <c r="J1613" s="22" t="s">
        <v>260</v>
      </c>
      <c r="K1613" s="11" t="n">
        <v>17</v>
      </c>
      <c r="L1613" s="23" t="n">
        <v>1.2</v>
      </c>
      <c r="M1613" s="24" t="b">
        <f aca="false">FALSE()</f>
        <v>0</v>
      </c>
      <c r="N1613" s="11"/>
      <c r="O1613" s="11" t="str">
        <f aca="false">IF(K1613&lt;=StockP33,"Low",IF(K1613&lt;=StockP67,"Moderate","High"))</f>
        <v>Low</v>
      </c>
      <c r="P1613" s="11" t="str">
        <f aca="false">IF(H1613=0,"Low",IF(H1613&lt;=MarkdownP75,"Moderate","High"))</f>
        <v>Low</v>
      </c>
      <c r="Q1613" s="11" t="str">
        <f aca="false">IF(ISBLANK(L1613),"Unknown",IF(L1613&gt;=4,"Good",IF(L1613&lt;=2,"Poor","Neutral")))</f>
        <v>Poor</v>
      </c>
      <c r="R1613" s="11" t="str">
        <f aca="false">IF(AND(O1613="Low",P1613="Low",Q1613="Good"),"BUY / PRIORITIZE",IF(AND(O1613="High",P1613="High",OR(Q1613="Poor",M1613=TRUE())),"HOLD / REVIEW","MONITOR"))</f>
        <v>MONITOR</v>
      </c>
      <c r="S1613" s="11" t="n">
        <f aca="false">K1613+(ROW()/10000000)</f>
        <v>17.0001613</v>
      </c>
    </row>
    <row r="1614" customFormat="false" ht="15" hidden="false" customHeight="false" outlineLevel="0" collapsed="false">
      <c r="A1614" s="11" t="s">
        <v>1949</v>
      </c>
      <c r="B1614" s="11" t="s">
        <v>27</v>
      </c>
      <c r="C1614" s="11" t="s">
        <v>86</v>
      </c>
      <c r="D1614" s="11" t="s">
        <v>37</v>
      </c>
      <c r="E1614" s="11" t="s">
        <v>102</v>
      </c>
      <c r="F1614" s="11" t="s">
        <v>118</v>
      </c>
      <c r="G1614" s="21" t="n">
        <v>65.54</v>
      </c>
      <c r="H1614" s="19" t="n">
        <v>40.3</v>
      </c>
      <c r="I1614" s="21" t="n">
        <v>39.13</v>
      </c>
      <c r="J1614" s="22" t="s">
        <v>80</v>
      </c>
      <c r="K1614" s="11" t="n">
        <v>27</v>
      </c>
      <c r="L1614" s="23" t="n">
        <v>1.2</v>
      </c>
      <c r="M1614" s="24" t="b">
        <f aca="false">FALSE()</f>
        <v>0</v>
      </c>
      <c r="N1614" s="11"/>
      <c r="O1614" s="11" t="str">
        <f aca="false">IF(K1614&lt;=StockP33,"Low",IF(K1614&lt;=StockP67,"Moderate","High"))</f>
        <v>Moderate</v>
      </c>
      <c r="P1614" s="11" t="str">
        <f aca="false">IF(H1614=0,"Low",IF(H1614&lt;=MarkdownP75,"Moderate","High"))</f>
        <v>High</v>
      </c>
      <c r="Q1614" s="11" t="str">
        <f aca="false">IF(ISBLANK(L1614),"Unknown",IF(L1614&gt;=4,"Good",IF(L1614&lt;=2,"Poor","Neutral")))</f>
        <v>Poor</v>
      </c>
      <c r="R1614" s="11" t="str">
        <f aca="false">IF(AND(O1614="Low",P1614="Low",Q1614="Good"),"BUY / PRIORITIZE",IF(AND(O1614="High",P1614="High",OR(Q1614="Poor",M1614=TRUE())),"HOLD / REVIEW","MONITOR"))</f>
        <v>MONITOR</v>
      </c>
      <c r="S1614" s="11" t="n">
        <f aca="false">K1614+(ROW()/10000000)</f>
        <v>27.0001614</v>
      </c>
    </row>
    <row r="1615" customFormat="false" ht="15" hidden="false" customHeight="false" outlineLevel="0" collapsed="false">
      <c r="A1615" s="11" t="s">
        <v>1950</v>
      </c>
      <c r="B1615" s="11" t="s">
        <v>29</v>
      </c>
      <c r="C1615" s="11" t="s">
        <v>130</v>
      </c>
      <c r="D1615" s="11" t="s">
        <v>35</v>
      </c>
      <c r="E1615" s="11" t="s">
        <v>91</v>
      </c>
      <c r="F1615" s="11" t="s">
        <v>111</v>
      </c>
      <c r="G1615" s="21" t="n">
        <v>114.37</v>
      </c>
      <c r="H1615" s="19" t="n">
        <v>43.2</v>
      </c>
      <c r="I1615" s="21" t="n">
        <v>64.96</v>
      </c>
      <c r="J1615" s="22" t="s">
        <v>80</v>
      </c>
      <c r="K1615" s="11" t="n">
        <v>16</v>
      </c>
      <c r="L1615" s="23" t="n">
        <v>1.4</v>
      </c>
      <c r="M1615" s="24" t="b">
        <f aca="false">FALSE()</f>
        <v>0</v>
      </c>
      <c r="N1615" s="11"/>
      <c r="O1615" s="11" t="str">
        <f aca="false">IF(K1615&lt;=StockP33,"Low",IF(K1615&lt;=StockP67,"Moderate","High"))</f>
        <v>Low</v>
      </c>
      <c r="P1615" s="11" t="str">
        <f aca="false">IF(H1615=0,"Low",IF(H1615&lt;=MarkdownP75,"Moderate","High"))</f>
        <v>High</v>
      </c>
      <c r="Q1615" s="11" t="str">
        <f aca="false">IF(ISBLANK(L1615),"Unknown",IF(L1615&gt;=4,"Good",IF(L1615&lt;=2,"Poor","Neutral")))</f>
        <v>Poor</v>
      </c>
      <c r="R1615" s="11" t="str">
        <f aca="false">IF(AND(O1615="Low",P1615="Low",Q1615="Good"),"BUY / PRIORITIZE",IF(AND(O1615="High",P1615="High",OR(Q1615="Poor",M1615=TRUE())),"HOLD / REVIEW","MONITOR"))</f>
        <v>MONITOR</v>
      </c>
      <c r="S1615" s="11" t="n">
        <f aca="false">K1615+(ROW()/10000000)</f>
        <v>16.0001615</v>
      </c>
    </row>
    <row r="1616" customFormat="false" ht="15" hidden="false" customHeight="false" outlineLevel="0" collapsed="false">
      <c r="A1616" s="11" t="s">
        <v>1951</v>
      </c>
      <c r="B1616" s="11" t="s">
        <v>27</v>
      </c>
      <c r="C1616" s="11" t="s">
        <v>95</v>
      </c>
      <c r="D1616" s="11" t="s">
        <v>34</v>
      </c>
      <c r="E1616" s="11" t="s">
        <v>91</v>
      </c>
      <c r="F1616" s="11" t="s">
        <v>88</v>
      </c>
      <c r="G1616" s="21" t="n">
        <v>145.8</v>
      </c>
      <c r="H1616" s="19" t="n">
        <v>0</v>
      </c>
      <c r="I1616" s="21" t="n">
        <v>145.8</v>
      </c>
      <c r="J1616" s="22" t="s">
        <v>431</v>
      </c>
      <c r="K1616" s="11" t="n">
        <v>13</v>
      </c>
      <c r="L1616" s="23" t="n">
        <v>4</v>
      </c>
      <c r="M1616" s="24" t="b">
        <f aca="false">FALSE()</f>
        <v>0</v>
      </c>
      <c r="N1616" s="11"/>
      <c r="O1616" s="11" t="str">
        <f aca="false">IF(K1616&lt;=StockP33,"Low",IF(K1616&lt;=StockP67,"Moderate","High"))</f>
        <v>Low</v>
      </c>
      <c r="P1616" s="11" t="str">
        <f aca="false">IF(H1616=0,"Low",IF(H1616&lt;=MarkdownP75,"Moderate","High"))</f>
        <v>Low</v>
      </c>
      <c r="Q1616" s="11" t="str">
        <f aca="false">IF(ISBLANK(L1616),"Unknown",IF(L1616&gt;=4,"Good",IF(L1616&lt;=2,"Poor","Neutral")))</f>
        <v>Good</v>
      </c>
      <c r="R1616" s="11" t="str">
        <f aca="false">IF(AND(O1616="Low",P1616="Low",Q1616="Good"),"BUY / PRIORITIZE",IF(AND(O1616="High",P1616="High",OR(Q1616="Poor",M1616=TRUE())),"HOLD / REVIEW","MONITOR"))</f>
        <v>BUY / PRIORITIZE</v>
      </c>
      <c r="S1616" s="11" t="n">
        <f aca="false">K1616+(ROW()/10000000)</f>
        <v>13.0001616</v>
      </c>
    </row>
    <row r="1617" customFormat="false" ht="15" hidden="false" customHeight="false" outlineLevel="0" collapsed="false">
      <c r="A1617" s="11" t="s">
        <v>1952</v>
      </c>
      <c r="B1617" s="11" t="s">
        <v>29</v>
      </c>
      <c r="C1617" s="11" t="s">
        <v>72</v>
      </c>
      <c r="D1617" s="11" t="s">
        <v>35</v>
      </c>
      <c r="E1617" s="11" t="s">
        <v>91</v>
      </c>
      <c r="F1617" s="11" t="s">
        <v>74</v>
      </c>
      <c r="G1617" s="21" t="n">
        <v>121.43</v>
      </c>
      <c r="H1617" s="19" t="n">
        <v>44.1</v>
      </c>
      <c r="I1617" s="21" t="n">
        <v>67.88</v>
      </c>
      <c r="J1617" s="22" t="s">
        <v>80</v>
      </c>
      <c r="K1617" s="11" t="n">
        <v>2</v>
      </c>
      <c r="L1617" s="23" t="n">
        <v>4.4</v>
      </c>
      <c r="M1617" s="24" t="b">
        <f aca="false">FALSE()</f>
        <v>0</v>
      </c>
      <c r="N1617" s="11"/>
      <c r="O1617" s="11" t="str">
        <f aca="false">IF(K1617&lt;=StockP33,"Low",IF(K1617&lt;=StockP67,"Moderate","High"))</f>
        <v>Low</v>
      </c>
      <c r="P1617" s="11" t="str">
        <f aca="false">IF(H1617=0,"Low",IF(H1617&lt;=MarkdownP75,"Moderate","High"))</f>
        <v>High</v>
      </c>
      <c r="Q1617" s="11" t="str">
        <f aca="false">IF(ISBLANK(L1617),"Unknown",IF(L1617&gt;=4,"Good",IF(L1617&lt;=2,"Poor","Neutral")))</f>
        <v>Good</v>
      </c>
      <c r="R1617" s="11" t="str">
        <f aca="false">IF(AND(O1617="Low",P1617="Low",Q1617="Good"),"BUY / PRIORITIZE",IF(AND(O1617="High",P1617="High",OR(Q1617="Poor",M1617=TRUE())),"HOLD / REVIEW","MONITOR"))</f>
        <v>MONITOR</v>
      </c>
      <c r="S1617" s="11" t="n">
        <f aca="false">K1617+(ROW()/10000000)</f>
        <v>2.0001617</v>
      </c>
    </row>
    <row r="1618" customFormat="false" ht="15" hidden="false" customHeight="false" outlineLevel="0" collapsed="false">
      <c r="A1618" s="11" t="s">
        <v>1953</v>
      </c>
      <c r="B1618" s="11" t="s">
        <v>29</v>
      </c>
      <c r="C1618" s="11" t="s">
        <v>130</v>
      </c>
      <c r="D1618" s="11" t="s">
        <v>35</v>
      </c>
      <c r="E1618" s="11" t="s">
        <v>102</v>
      </c>
      <c r="F1618" s="11" t="s">
        <v>98</v>
      </c>
      <c r="G1618" s="21" t="n">
        <v>94.49</v>
      </c>
      <c r="H1618" s="19" t="n">
        <v>0</v>
      </c>
      <c r="I1618" s="21" t="n">
        <v>94.49</v>
      </c>
      <c r="J1618" s="22" t="s">
        <v>80</v>
      </c>
      <c r="K1618" s="11" t="n">
        <v>30</v>
      </c>
      <c r="L1618" s="23" t="n">
        <v>1.5</v>
      </c>
      <c r="M1618" s="24" t="b">
        <f aca="false">FALSE()</f>
        <v>0</v>
      </c>
      <c r="N1618" s="11"/>
      <c r="O1618" s="11" t="str">
        <f aca="false">IF(K1618&lt;=StockP33,"Low",IF(K1618&lt;=StockP67,"Moderate","High"))</f>
        <v>Moderate</v>
      </c>
      <c r="P1618" s="11" t="str">
        <f aca="false">IF(H1618=0,"Low",IF(H1618&lt;=MarkdownP75,"Moderate","High"))</f>
        <v>Low</v>
      </c>
      <c r="Q1618" s="11" t="str">
        <f aca="false">IF(ISBLANK(L1618),"Unknown",IF(L1618&gt;=4,"Good",IF(L1618&lt;=2,"Poor","Neutral")))</f>
        <v>Poor</v>
      </c>
      <c r="R1618" s="11" t="str">
        <f aca="false">IF(AND(O1618="Low",P1618="Low",Q1618="Good"),"BUY / PRIORITIZE",IF(AND(O1618="High",P1618="High",OR(Q1618="Poor",M1618=TRUE())),"HOLD / REVIEW","MONITOR"))</f>
        <v>MONITOR</v>
      </c>
      <c r="S1618" s="11" t="n">
        <f aca="false">K1618+(ROW()/10000000)</f>
        <v>30.0001618</v>
      </c>
    </row>
    <row r="1619" customFormat="false" ht="15" hidden="false" customHeight="false" outlineLevel="0" collapsed="false">
      <c r="A1619" s="11" t="s">
        <v>1954</v>
      </c>
      <c r="B1619" s="11" t="s">
        <v>28</v>
      </c>
      <c r="C1619" s="11" t="s">
        <v>130</v>
      </c>
      <c r="D1619" s="11" t="s">
        <v>36</v>
      </c>
      <c r="E1619" s="11" t="s">
        <v>113</v>
      </c>
      <c r="F1619" s="11" t="s">
        <v>120</v>
      </c>
      <c r="G1619" s="21" t="n">
        <v>218.64</v>
      </c>
      <c r="H1619" s="19" t="n">
        <v>0</v>
      </c>
      <c r="I1619" s="21" t="n">
        <v>218.64</v>
      </c>
      <c r="J1619" s="22" t="s">
        <v>80</v>
      </c>
      <c r="K1619" s="11" t="n">
        <v>5</v>
      </c>
      <c r="L1619" s="23"/>
      <c r="M1619" s="24" t="b">
        <f aca="false">FALSE()</f>
        <v>0</v>
      </c>
      <c r="N1619" s="11"/>
      <c r="O1619" s="11" t="str">
        <f aca="false">IF(K1619&lt;=StockP33,"Low",IF(K1619&lt;=StockP67,"Moderate","High"))</f>
        <v>Low</v>
      </c>
      <c r="P1619" s="11" t="str">
        <f aca="false">IF(H1619=0,"Low",IF(H1619&lt;=MarkdownP75,"Moderate","High"))</f>
        <v>Low</v>
      </c>
      <c r="Q1619" s="11" t="str">
        <f aca="false">IF(ISBLANK(L1619),"Unknown",IF(L1619&gt;=4,"Good",IF(L1619&lt;=2,"Poor","Neutral")))</f>
        <v>Unknown</v>
      </c>
      <c r="R1619" s="11" t="str">
        <f aca="false">IF(AND(O1619="Low",P1619="Low",Q1619="Good"),"BUY / PRIORITIZE",IF(AND(O1619="High",P1619="High",OR(Q1619="Poor",M1619=TRUE())),"HOLD / REVIEW","MONITOR"))</f>
        <v>MONITOR</v>
      </c>
      <c r="S1619" s="11" t="n">
        <f aca="false">K1619+(ROW()/10000000)</f>
        <v>5.0001619</v>
      </c>
    </row>
    <row r="1620" customFormat="false" ht="15" hidden="false" customHeight="false" outlineLevel="0" collapsed="false">
      <c r="A1620" s="11" t="s">
        <v>1955</v>
      </c>
      <c r="B1620" s="11" t="s">
        <v>28</v>
      </c>
      <c r="C1620" s="11" t="s">
        <v>77</v>
      </c>
      <c r="D1620" s="11" t="s">
        <v>36</v>
      </c>
      <c r="E1620" s="11" t="s">
        <v>91</v>
      </c>
      <c r="F1620" s="11" t="s">
        <v>82</v>
      </c>
      <c r="G1620" s="21" t="n">
        <v>80.41</v>
      </c>
      <c r="H1620" s="19" t="n">
        <v>11.9</v>
      </c>
      <c r="I1620" s="21" t="n">
        <v>70.84</v>
      </c>
      <c r="J1620" s="22" t="s">
        <v>80</v>
      </c>
      <c r="K1620" s="11" t="n">
        <v>35</v>
      </c>
      <c r="L1620" s="23" t="n">
        <v>1.5</v>
      </c>
      <c r="M1620" s="24" t="b">
        <f aca="false">FALSE()</f>
        <v>0</v>
      </c>
      <c r="N1620" s="11"/>
      <c r="O1620" s="11" t="str">
        <f aca="false">IF(K1620&lt;=StockP33,"Low",IF(K1620&lt;=StockP67,"Moderate","High"))</f>
        <v>High</v>
      </c>
      <c r="P1620" s="11" t="str">
        <f aca="false">IF(H1620=0,"Low",IF(H1620&lt;=MarkdownP75,"Moderate","High"))</f>
        <v>Moderate</v>
      </c>
      <c r="Q1620" s="11" t="str">
        <f aca="false">IF(ISBLANK(L1620),"Unknown",IF(L1620&gt;=4,"Good",IF(L1620&lt;=2,"Poor","Neutral")))</f>
        <v>Poor</v>
      </c>
      <c r="R1620" s="11" t="str">
        <f aca="false">IF(AND(O1620="Low",P1620="Low",Q1620="Good"),"BUY / PRIORITIZE",IF(AND(O1620="High",P1620="High",OR(Q1620="Poor",M1620=TRUE())),"HOLD / REVIEW","MONITOR"))</f>
        <v>MONITOR</v>
      </c>
      <c r="S1620" s="11" t="n">
        <f aca="false">K1620+(ROW()/10000000)</f>
        <v>35.000162</v>
      </c>
    </row>
    <row r="1621" customFormat="false" ht="15" hidden="false" customHeight="false" outlineLevel="0" collapsed="false">
      <c r="A1621" s="11" t="s">
        <v>1956</v>
      </c>
      <c r="B1621" s="11" t="s">
        <v>29</v>
      </c>
      <c r="C1621" s="11" t="s">
        <v>116</v>
      </c>
      <c r="D1621" s="11" t="s">
        <v>37</v>
      </c>
      <c r="E1621" s="11" t="s">
        <v>73</v>
      </c>
      <c r="F1621" s="11" t="s">
        <v>111</v>
      </c>
      <c r="G1621" s="21" t="n">
        <v>183.3</v>
      </c>
      <c r="H1621" s="19" t="n">
        <v>0</v>
      </c>
      <c r="I1621" s="21" t="n">
        <v>183.3</v>
      </c>
      <c r="J1621" s="22" t="s">
        <v>80</v>
      </c>
      <c r="K1621" s="11" t="n">
        <v>7</v>
      </c>
      <c r="L1621" s="23" t="n">
        <v>2</v>
      </c>
      <c r="M1621" s="24" t="b">
        <f aca="false">FALSE()</f>
        <v>0</v>
      </c>
      <c r="N1621" s="11"/>
      <c r="O1621" s="11" t="str">
        <f aca="false">IF(K1621&lt;=StockP33,"Low",IF(K1621&lt;=StockP67,"Moderate","High"))</f>
        <v>Low</v>
      </c>
      <c r="P1621" s="11" t="str">
        <f aca="false">IF(H1621=0,"Low",IF(H1621&lt;=MarkdownP75,"Moderate","High"))</f>
        <v>Low</v>
      </c>
      <c r="Q1621" s="11" t="str">
        <f aca="false">IF(ISBLANK(L1621),"Unknown",IF(L1621&gt;=4,"Good",IF(L1621&lt;=2,"Poor","Neutral")))</f>
        <v>Poor</v>
      </c>
      <c r="R1621" s="11" t="str">
        <f aca="false">IF(AND(O1621="Low",P1621="Low",Q1621="Good"),"BUY / PRIORITIZE",IF(AND(O1621="High",P1621="High",OR(Q1621="Poor",M1621=TRUE())),"HOLD / REVIEW","MONITOR"))</f>
        <v>MONITOR</v>
      </c>
      <c r="S1621" s="11" t="n">
        <f aca="false">K1621+(ROW()/10000000)</f>
        <v>7.0001621</v>
      </c>
    </row>
    <row r="1622" customFormat="false" ht="15" hidden="false" customHeight="false" outlineLevel="0" collapsed="false">
      <c r="A1622" s="11" t="s">
        <v>1957</v>
      </c>
      <c r="B1622" s="11" t="s">
        <v>28</v>
      </c>
      <c r="C1622" s="11" t="s">
        <v>77</v>
      </c>
      <c r="D1622" s="11" t="s">
        <v>36</v>
      </c>
      <c r="E1622" s="11" t="s">
        <v>110</v>
      </c>
      <c r="F1622" s="11" t="s">
        <v>88</v>
      </c>
      <c r="G1622" s="21" t="n">
        <v>241.81</v>
      </c>
      <c r="H1622" s="19" t="n">
        <v>0</v>
      </c>
      <c r="I1622" s="21" t="n">
        <v>241.81</v>
      </c>
      <c r="J1622" s="22" t="s">
        <v>80</v>
      </c>
      <c r="K1622" s="11" t="n">
        <v>38</v>
      </c>
      <c r="L1622" s="23" t="n">
        <v>3.5</v>
      </c>
      <c r="M1622" s="24" t="b">
        <f aca="false">FALSE()</f>
        <v>0</v>
      </c>
      <c r="N1622" s="11"/>
      <c r="O1622" s="11" t="str">
        <f aca="false">IF(K1622&lt;=StockP33,"Low",IF(K1622&lt;=StockP67,"Moderate","High"))</f>
        <v>High</v>
      </c>
      <c r="P1622" s="11" t="str">
        <f aca="false">IF(H1622=0,"Low",IF(H1622&lt;=MarkdownP75,"Moderate","High"))</f>
        <v>Low</v>
      </c>
      <c r="Q1622" s="11" t="str">
        <f aca="false">IF(ISBLANK(L1622),"Unknown",IF(L1622&gt;=4,"Good",IF(L1622&lt;=2,"Poor","Neutral")))</f>
        <v>Neutral</v>
      </c>
      <c r="R1622" s="11" t="str">
        <f aca="false">IF(AND(O1622="Low",P1622="Low",Q1622="Good"),"BUY / PRIORITIZE",IF(AND(O1622="High",P1622="High",OR(Q1622="Poor",M1622=TRUE())),"HOLD / REVIEW","MONITOR"))</f>
        <v>MONITOR</v>
      </c>
      <c r="S1622" s="11" t="n">
        <f aca="false">K1622+(ROW()/10000000)</f>
        <v>38.0001622</v>
      </c>
    </row>
    <row r="1623" customFormat="false" ht="15" hidden="false" customHeight="false" outlineLevel="0" collapsed="false">
      <c r="A1623" s="11" t="s">
        <v>1958</v>
      </c>
      <c r="B1623" s="11" t="s">
        <v>28</v>
      </c>
      <c r="C1623" s="11" t="s">
        <v>95</v>
      </c>
      <c r="D1623" s="11" t="s">
        <v>34</v>
      </c>
      <c r="E1623" s="11" t="s">
        <v>110</v>
      </c>
      <c r="F1623" s="11" t="s">
        <v>88</v>
      </c>
      <c r="G1623" s="21" t="n">
        <v>216.46</v>
      </c>
      <c r="H1623" s="19" t="n">
        <v>28.8</v>
      </c>
      <c r="I1623" s="21" t="n">
        <v>154.12</v>
      </c>
      <c r="J1623" s="22" t="s">
        <v>1575</v>
      </c>
      <c r="K1623" s="11" t="n">
        <v>43</v>
      </c>
      <c r="L1623" s="23" t="n">
        <v>1.3</v>
      </c>
      <c r="M1623" s="24" t="b">
        <f aca="false">FALSE()</f>
        <v>0</v>
      </c>
      <c r="N1623" s="11"/>
      <c r="O1623" s="11" t="str">
        <f aca="false">IF(K1623&lt;=StockP33,"Low",IF(K1623&lt;=StockP67,"Moderate","High"))</f>
        <v>High</v>
      </c>
      <c r="P1623" s="11" t="str">
        <f aca="false">IF(H1623=0,"Low",IF(H1623&lt;=MarkdownP75,"Moderate","High"))</f>
        <v>High</v>
      </c>
      <c r="Q1623" s="11" t="str">
        <f aca="false">IF(ISBLANK(L1623),"Unknown",IF(L1623&gt;=4,"Good",IF(L1623&lt;=2,"Poor","Neutral")))</f>
        <v>Poor</v>
      </c>
      <c r="R1623" s="11" t="str">
        <f aca="false">IF(AND(O1623="Low",P1623="Low",Q1623="Good"),"BUY / PRIORITIZE",IF(AND(O1623="High",P1623="High",OR(Q1623="Poor",M1623=TRUE())),"HOLD / REVIEW","MONITOR"))</f>
        <v>HOLD / REVIEW</v>
      </c>
      <c r="S1623" s="11" t="n">
        <f aca="false">K1623+(ROW()/10000000)</f>
        <v>43.0001623</v>
      </c>
    </row>
    <row r="1624" customFormat="false" ht="15" hidden="false" customHeight="false" outlineLevel="0" collapsed="false">
      <c r="A1624" s="11" t="s">
        <v>1959</v>
      </c>
      <c r="B1624" s="11" t="s">
        <v>27</v>
      </c>
      <c r="C1624" s="11" t="s">
        <v>77</v>
      </c>
      <c r="D1624" s="11" t="s">
        <v>34</v>
      </c>
      <c r="E1624" s="11" t="s">
        <v>91</v>
      </c>
      <c r="F1624" s="11" t="s">
        <v>79</v>
      </c>
      <c r="G1624" s="21" t="n">
        <v>63.07</v>
      </c>
      <c r="H1624" s="19" t="n">
        <v>53.6</v>
      </c>
      <c r="I1624" s="21" t="n">
        <v>29.26</v>
      </c>
      <c r="J1624" s="22" t="s">
        <v>1960</v>
      </c>
      <c r="K1624" s="11" t="n">
        <v>4</v>
      </c>
      <c r="L1624" s="23" t="n">
        <v>1.5</v>
      </c>
      <c r="M1624" s="24" t="b">
        <f aca="false">TRUE()</f>
        <v>1</v>
      </c>
      <c r="N1624" s="11" t="s">
        <v>89</v>
      </c>
      <c r="O1624" s="11" t="str">
        <f aca="false">IF(K1624&lt;=StockP33,"Low",IF(K1624&lt;=StockP67,"Moderate","High"))</f>
        <v>Low</v>
      </c>
      <c r="P1624" s="11" t="str">
        <f aca="false">IF(H1624=0,"Low",IF(H1624&lt;=MarkdownP75,"Moderate","High"))</f>
        <v>High</v>
      </c>
      <c r="Q1624" s="11" t="str">
        <f aca="false">IF(ISBLANK(L1624),"Unknown",IF(L1624&gt;=4,"Good",IF(L1624&lt;=2,"Poor","Neutral")))</f>
        <v>Poor</v>
      </c>
      <c r="R1624" s="11" t="str">
        <f aca="false">IF(AND(O1624="Low",P1624="Low",Q1624="Good"),"BUY / PRIORITIZE",IF(AND(O1624="High",P1624="High",OR(Q1624="Poor",M1624=TRUE())),"HOLD / REVIEW","MONITOR"))</f>
        <v>MONITOR</v>
      </c>
      <c r="S1624" s="11" t="n">
        <f aca="false">K1624+(ROW()/10000000)</f>
        <v>4.0001624</v>
      </c>
    </row>
    <row r="1625" customFormat="false" ht="15" hidden="false" customHeight="false" outlineLevel="0" collapsed="false">
      <c r="A1625" s="11" t="s">
        <v>1961</v>
      </c>
      <c r="B1625" s="11" t="s">
        <v>8</v>
      </c>
      <c r="C1625" s="11" t="s">
        <v>86</v>
      </c>
      <c r="D1625" s="11" t="s">
        <v>34</v>
      </c>
      <c r="E1625" s="11"/>
      <c r="F1625" s="11" t="s">
        <v>98</v>
      </c>
      <c r="G1625" s="21" t="n">
        <v>44.7</v>
      </c>
      <c r="H1625" s="19" t="n">
        <v>0</v>
      </c>
      <c r="I1625" s="21" t="n">
        <v>44.7</v>
      </c>
      <c r="J1625" s="22" t="s">
        <v>1191</v>
      </c>
      <c r="K1625" s="11" t="n">
        <v>29</v>
      </c>
      <c r="L1625" s="23" t="n">
        <v>3.2</v>
      </c>
      <c r="M1625" s="24" t="b">
        <f aca="false">FALSE()</f>
        <v>0</v>
      </c>
      <c r="N1625" s="11"/>
      <c r="O1625" s="11" t="str">
        <f aca="false">IF(K1625&lt;=StockP33,"Low",IF(K1625&lt;=StockP67,"Moderate","High"))</f>
        <v>Moderate</v>
      </c>
      <c r="P1625" s="11" t="str">
        <f aca="false">IF(H1625=0,"Low",IF(H1625&lt;=MarkdownP75,"Moderate","High"))</f>
        <v>Low</v>
      </c>
      <c r="Q1625" s="11" t="str">
        <f aca="false">IF(ISBLANK(L1625),"Unknown",IF(L1625&gt;=4,"Good",IF(L1625&lt;=2,"Poor","Neutral")))</f>
        <v>Neutral</v>
      </c>
      <c r="R1625" s="11" t="str">
        <f aca="false">IF(AND(O1625="Low",P1625="Low",Q1625="Good"),"BUY / PRIORITIZE",IF(AND(O1625="High",P1625="High",OR(Q1625="Poor",M1625=TRUE())),"HOLD / REVIEW","MONITOR"))</f>
        <v>MONITOR</v>
      </c>
      <c r="S1625" s="11" t="n">
        <f aca="false">K1625+(ROW()/10000000)</f>
        <v>29.0001625</v>
      </c>
    </row>
    <row r="1626" customFormat="false" ht="15" hidden="false" customHeight="false" outlineLevel="0" collapsed="false">
      <c r="A1626" s="11" t="s">
        <v>1962</v>
      </c>
      <c r="B1626" s="11" t="s">
        <v>30</v>
      </c>
      <c r="C1626" s="11" t="s">
        <v>72</v>
      </c>
      <c r="D1626" s="11" t="s">
        <v>36</v>
      </c>
      <c r="E1626" s="11" t="s">
        <v>102</v>
      </c>
      <c r="F1626" s="11" t="s">
        <v>88</v>
      </c>
      <c r="G1626" s="21" t="n">
        <v>28.23</v>
      </c>
      <c r="H1626" s="19" t="n">
        <v>40.3</v>
      </c>
      <c r="I1626" s="21" t="n">
        <v>16.85</v>
      </c>
      <c r="J1626" s="22" t="s">
        <v>80</v>
      </c>
      <c r="K1626" s="11" t="n">
        <v>21</v>
      </c>
      <c r="L1626" s="23" t="n">
        <v>2.7</v>
      </c>
      <c r="M1626" s="24" t="b">
        <f aca="false">FALSE()</f>
        <v>0</v>
      </c>
      <c r="N1626" s="11"/>
      <c r="O1626" s="11" t="str">
        <f aca="false">IF(K1626&lt;=StockP33,"Low",IF(K1626&lt;=StockP67,"Moderate","High"))</f>
        <v>Moderate</v>
      </c>
      <c r="P1626" s="11" t="str">
        <f aca="false">IF(H1626=0,"Low",IF(H1626&lt;=MarkdownP75,"Moderate","High"))</f>
        <v>High</v>
      </c>
      <c r="Q1626" s="11" t="str">
        <f aca="false">IF(ISBLANK(L1626),"Unknown",IF(L1626&gt;=4,"Good",IF(L1626&lt;=2,"Poor","Neutral")))</f>
        <v>Neutral</v>
      </c>
      <c r="R1626" s="11" t="str">
        <f aca="false">IF(AND(O1626="Low",P1626="Low",Q1626="Good"),"BUY / PRIORITIZE",IF(AND(O1626="High",P1626="High",OR(Q1626="Poor",M1626=TRUE())),"HOLD / REVIEW","MONITOR"))</f>
        <v>MONITOR</v>
      </c>
      <c r="S1626" s="11" t="n">
        <f aca="false">K1626+(ROW()/10000000)</f>
        <v>21.0001626</v>
      </c>
    </row>
    <row r="1627" customFormat="false" ht="15" hidden="false" customHeight="false" outlineLevel="0" collapsed="false">
      <c r="A1627" s="11" t="s">
        <v>1963</v>
      </c>
      <c r="B1627" s="11" t="s">
        <v>29</v>
      </c>
      <c r="C1627" s="11" t="s">
        <v>107</v>
      </c>
      <c r="D1627" s="11" t="s">
        <v>36</v>
      </c>
      <c r="E1627" s="11" t="s">
        <v>102</v>
      </c>
      <c r="F1627" s="11" t="s">
        <v>98</v>
      </c>
      <c r="G1627" s="21" t="n">
        <v>131.94</v>
      </c>
      <c r="H1627" s="19" t="n">
        <v>27.3</v>
      </c>
      <c r="I1627" s="21" t="n">
        <v>95.92</v>
      </c>
      <c r="J1627" s="22" t="s">
        <v>80</v>
      </c>
      <c r="K1627" s="11" t="n">
        <v>6</v>
      </c>
      <c r="L1627" s="23" t="n">
        <v>2.8</v>
      </c>
      <c r="M1627" s="24" t="b">
        <f aca="false">TRUE()</f>
        <v>1</v>
      </c>
      <c r="N1627" s="11" t="s">
        <v>134</v>
      </c>
      <c r="O1627" s="11" t="str">
        <f aca="false">IF(K1627&lt;=StockP33,"Low",IF(K1627&lt;=StockP67,"Moderate","High"))</f>
        <v>Low</v>
      </c>
      <c r="P1627" s="11" t="str">
        <f aca="false">IF(H1627=0,"Low",IF(H1627&lt;=MarkdownP75,"Moderate","High"))</f>
        <v>High</v>
      </c>
      <c r="Q1627" s="11" t="str">
        <f aca="false">IF(ISBLANK(L1627),"Unknown",IF(L1627&gt;=4,"Good",IF(L1627&lt;=2,"Poor","Neutral")))</f>
        <v>Neutral</v>
      </c>
      <c r="R1627" s="11" t="str">
        <f aca="false">IF(AND(O1627="Low",P1627="Low",Q1627="Good"),"BUY / PRIORITIZE",IF(AND(O1627="High",P1627="High",OR(Q1627="Poor",M1627=TRUE())),"HOLD / REVIEW","MONITOR"))</f>
        <v>MONITOR</v>
      </c>
      <c r="S1627" s="11" t="n">
        <f aca="false">K1627+(ROW()/10000000)</f>
        <v>6.0001627</v>
      </c>
    </row>
    <row r="1628" customFormat="false" ht="15" hidden="false" customHeight="false" outlineLevel="0" collapsed="false">
      <c r="A1628" s="11" t="s">
        <v>1964</v>
      </c>
      <c r="B1628" s="11" t="s">
        <v>28</v>
      </c>
      <c r="C1628" s="11" t="s">
        <v>130</v>
      </c>
      <c r="D1628" s="11" t="s">
        <v>36</v>
      </c>
      <c r="E1628" s="11" t="s">
        <v>113</v>
      </c>
      <c r="F1628" s="11" t="s">
        <v>96</v>
      </c>
      <c r="G1628" s="21" t="n">
        <v>166.85</v>
      </c>
      <c r="H1628" s="19" t="n">
        <v>30.9</v>
      </c>
      <c r="I1628" s="21" t="n">
        <v>115.29</v>
      </c>
      <c r="J1628" s="22" t="s">
        <v>80</v>
      </c>
      <c r="K1628" s="11" t="n">
        <v>14</v>
      </c>
      <c r="L1628" s="23" t="n">
        <v>4.2</v>
      </c>
      <c r="M1628" s="24" t="b">
        <f aca="false">TRUE()</f>
        <v>1</v>
      </c>
      <c r="N1628" s="11" t="s">
        <v>178</v>
      </c>
      <c r="O1628" s="11" t="str">
        <f aca="false">IF(K1628&lt;=StockP33,"Low",IF(K1628&lt;=StockP67,"Moderate","High"))</f>
        <v>Low</v>
      </c>
      <c r="P1628" s="11" t="str">
        <f aca="false">IF(H1628=0,"Low",IF(H1628&lt;=MarkdownP75,"Moderate","High"))</f>
        <v>High</v>
      </c>
      <c r="Q1628" s="11" t="str">
        <f aca="false">IF(ISBLANK(L1628),"Unknown",IF(L1628&gt;=4,"Good",IF(L1628&lt;=2,"Poor","Neutral")))</f>
        <v>Good</v>
      </c>
      <c r="R1628" s="11" t="str">
        <f aca="false">IF(AND(O1628="Low",P1628="Low",Q1628="Good"),"BUY / PRIORITIZE",IF(AND(O1628="High",P1628="High",OR(Q1628="Poor",M1628=TRUE())),"HOLD / REVIEW","MONITOR"))</f>
        <v>MONITOR</v>
      </c>
      <c r="S1628" s="11" t="n">
        <f aca="false">K1628+(ROW()/10000000)</f>
        <v>14.0001628</v>
      </c>
    </row>
    <row r="1629" customFormat="false" ht="15" hidden="false" customHeight="false" outlineLevel="0" collapsed="false">
      <c r="A1629" s="11" t="s">
        <v>1965</v>
      </c>
      <c r="B1629" s="11" t="s">
        <v>30</v>
      </c>
      <c r="C1629" s="11" t="s">
        <v>86</v>
      </c>
      <c r="D1629" s="11" t="s">
        <v>37</v>
      </c>
      <c r="E1629" s="11" t="s">
        <v>91</v>
      </c>
      <c r="F1629" s="11" t="s">
        <v>118</v>
      </c>
      <c r="G1629" s="21" t="n">
        <v>39.58</v>
      </c>
      <c r="H1629" s="19" t="n">
        <v>30.9</v>
      </c>
      <c r="I1629" s="21" t="n">
        <v>27.35</v>
      </c>
      <c r="J1629" s="22" t="s">
        <v>80</v>
      </c>
      <c r="K1629" s="11" t="n">
        <v>17</v>
      </c>
      <c r="L1629" s="23" t="n">
        <v>2.5</v>
      </c>
      <c r="M1629" s="24" t="b">
        <f aca="false">FALSE()</f>
        <v>0</v>
      </c>
      <c r="N1629" s="11"/>
      <c r="O1629" s="11" t="str">
        <f aca="false">IF(K1629&lt;=StockP33,"Low",IF(K1629&lt;=StockP67,"Moderate","High"))</f>
        <v>Low</v>
      </c>
      <c r="P1629" s="11" t="str">
        <f aca="false">IF(H1629=0,"Low",IF(H1629&lt;=MarkdownP75,"Moderate","High"))</f>
        <v>High</v>
      </c>
      <c r="Q1629" s="11" t="str">
        <f aca="false">IF(ISBLANK(L1629),"Unknown",IF(L1629&gt;=4,"Good",IF(L1629&lt;=2,"Poor","Neutral")))</f>
        <v>Neutral</v>
      </c>
      <c r="R1629" s="11" t="str">
        <f aca="false">IF(AND(O1629="Low",P1629="Low",Q1629="Good"),"BUY / PRIORITIZE",IF(AND(O1629="High",P1629="High",OR(Q1629="Poor",M1629=TRUE())),"HOLD / REVIEW","MONITOR"))</f>
        <v>MONITOR</v>
      </c>
      <c r="S1629" s="11" t="n">
        <f aca="false">K1629+(ROW()/10000000)</f>
        <v>17.0001629</v>
      </c>
    </row>
    <row r="1630" customFormat="false" ht="15" hidden="false" customHeight="false" outlineLevel="0" collapsed="false">
      <c r="A1630" s="11" t="s">
        <v>1966</v>
      </c>
      <c r="B1630" s="11" t="s">
        <v>28</v>
      </c>
      <c r="C1630" s="11" t="s">
        <v>77</v>
      </c>
      <c r="D1630" s="11" t="s">
        <v>35</v>
      </c>
      <c r="E1630" s="11" t="s">
        <v>113</v>
      </c>
      <c r="F1630" s="11" t="s">
        <v>96</v>
      </c>
      <c r="G1630" s="21" t="n">
        <v>89.55</v>
      </c>
      <c r="H1630" s="19" t="n">
        <v>58</v>
      </c>
      <c r="I1630" s="21" t="n">
        <v>37.61</v>
      </c>
      <c r="J1630" s="22" t="s">
        <v>80</v>
      </c>
      <c r="K1630" s="11" t="n">
        <v>21</v>
      </c>
      <c r="L1630" s="23" t="n">
        <v>2.6</v>
      </c>
      <c r="M1630" s="24" t="b">
        <f aca="false">FALSE()</f>
        <v>0</v>
      </c>
      <c r="N1630" s="11"/>
      <c r="O1630" s="11" t="str">
        <f aca="false">IF(K1630&lt;=StockP33,"Low",IF(K1630&lt;=StockP67,"Moderate","High"))</f>
        <v>Moderate</v>
      </c>
      <c r="P1630" s="11" t="str">
        <f aca="false">IF(H1630=0,"Low",IF(H1630&lt;=MarkdownP75,"Moderate","High"))</f>
        <v>High</v>
      </c>
      <c r="Q1630" s="11" t="str">
        <f aca="false">IF(ISBLANK(L1630),"Unknown",IF(L1630&gt;=4,"Good",IF(L1630&lt;=2,"Poor","Neutral")))</f>
        <v>Neutral</v>
      </c>
      <c r="R1630" s="11" t="str">
        <f aca="false">IF(AND(O1630="Low",P1630="Low",Q1630="Good"),"BUY / PRIORITIZE",IF(AND(O1630="High",P1630="High",OR(Q1630="Poor",M1630=TRUE())),"HOLD / REVIEW","MONITOR"))</f>
        <v>MONITOR</v>
      </c>
      <c r="S1630" s="11" t="n">
        <f aca="false">K1630+(ROW()/10000000)</f>
        <v>21.000163</v>
      </c>
    </row>
    <row r="1631" customFormat="false" ht="15" hidden="false" customHeight="false" outlineLevel="0" collapsed="false">
      <c r="A1631" s="11" t="s">
        <v>1967</v>
      </c>
      <c r="B1631" s="11" t="s">
        <v>28</v>
      </c>
      <c r="C1631" s="11" t="s">
        <v>95</v>
      </c>
      <c r="D1631" s="11" t="s">
        <v>36</v>
      </c>
      <c r="E1631" s="11" t="s">
        <v>113</v>
      </c>
      <c r="F1631" s="11" t="s">
        <v>120</v>
      </c>
      <c r="G1631" s="21" t="n">
        <v>138.55</v>
      </c>
      <c r="H1631" s="19" t="n">
        <v>0</v>
      </c>
      <c r="I1631" s="21" t="n">
        <v>138.55</v>
      </c>
      <c r="J1631" s="22" t="s">
        <v>80</v>
      </c>
      <c r="K1631" s="11" t="n">
        <v>25</v>
      </c>
      <c r="L1631" s="23" t="n">
        <v>2</v>
      </c>
      <c r="M1631" s="24" t="b">
        <f aca="false">FALSE()</f>
        <v>0</v>
      </c>
      <c r="N1631" s="11"/>
      <c r="O1631" s="11" t="str">
        <f aca="false">IF(K1631&lt;=StockP33,"Low",IF(K1631&lt;=StockP67,"Moderate","High"))</f>
        <v>Moderate</v>
      </c>
      <c r="P1631" s="11" t="str">
        <f aca="false">IF(H1631=0,"Low",IF(H1631&lt;=MarkdownP75,"Moderate","High"))</f>
        <v>Low</v>
      </c>
      <c r="Q1631" s="11" t="str">
        <f aca="false">IF(ISBLANK(L1631),"Unknown",IF(L1631&gt;=4,"Good",IF(L1631&lt;=2,"Poor","Neutral")))</f>
        <v>Poor</v>
      </c>
      <c r="R1631" s="11" t="str">
        <f aca="false">IF(AND(O1631="Low",P1631="Low",Q1631="Good"),"BUY / PRIORITIZE",IF(AND(O1631="High",P1631="High",OR(Q1631="Poor",M1631=TRUE())),"HOLD / REVIEW","MONITOR"))</f>
        <v>MONITOR</v>
      </c>
      <c r="S1631" s="11" t="n">
        <f aca="false">K1631+(ROW()/10000000)</f>
        <v>25.0001631</v>
      </c>
    </row>
    <row r="1632" customFormat="false" ht="15" hidden="false" customHeight="false" outlineLevel="0" collapsed="false">
      <c r="A1632" s="11" t="s">
        <v>1968</v>
      </c>
      <c r="B1632" s="11" t="s">
        <v>8</v>
      </c>
      <c r="C1632" s="11" t="s">
        <v>77</v>
      </c>
      <c r="D1632" s="11" t="s">
        <v>36</v>
      </c>
      <c r="E1632" s="11"/>
      <c r="F1632" s="11" t="s">
        <v>111</v>
      </c>
      <c r="G1632" s="21" t="n">
        <v>43.84</v>
      </c>
      <c r="H1632" s="19" t="n">
        <v>0</v>
      </c>
      <c r="I1632" s="21" t="n">
        <v>43.84</v>
      </c>
      <c r="J1632" s="22" t="s">
        <v>80</v>
      </c>
      <c r="K1632" s="11" t="n">
        <v>28</v>
      </c>
      <c r="L1632" s="23" t="n">
        <v>2.8</v>
      </c>
      <c r="M1632" s="24" t="b">
        <f aca="false">FALSE()</f>
        <v>0</v>
      </c>
      <c r="N1632" s="11"/>
      <c r="O1632" s="11" t="str">
        <f aca="false">IF(K1632&lt;=StockP33,"Low",IF(K1632&lt;=StockP67,"Moderate","High"))</f>
        <v>Moderate</v>
      </c>
      <c r="P1632" s="11" t="str">
        <f aca="false">IF(H1632=0,"Low",IF(H1632&lt;=MarkdownP75,"Moderate","High"))</f>
        <v>Low</v>
      </c>
      <c r="Q1632" s="11" t="str">
        <f aca="false">IF(ISBLANK(L1632),"Unknown",IF(L1632&gt;=4,"Good",IF(L1632&lt;=2,"Poor","Neutral")))</f>
        <v>Neutral</v>
      </c>
      <c r="R1632" s="11" t="str">
        <f aca="false">IF(AND(O1632="Low",P1632="Low",Q1632="Good"),"BUY / PRIORITIZE",IF(AND(O1632="High",P1632="High",OR(Q1632="Poor",M1632=TRUE())),"HOLD / REVIEW","MONITOR"))</f>
        <v>MONITOR</v>
      </c>
      <c r="S1632" s="11" t="n">
        <f aca="false">K1632+(ROW()/10000000)</f>
        <v>28.0001632</v>
      </c>
    </row>
    <row r="1633" customFormat="false" ht="15" hidden="false" customHeight="false" outlineLevel="0" collapsed="false">
      <c r="A1633" s="11" t="s">
        <v>1969</v>
      </c>
      <c r="B1633" s="11" t="s">
        <v>30</v>
      </c>
      <c r="C1633" s="11" t="s">
        <v>130</v>
      </c>
      <c r="D1633" s="11" t="s">
        <v>36</v>
      </c>
      <c r="E1633" s="11" t="s">
        <v>73</v>
      </c>
      <c r="F1633" s="11" t="s">
        <v>124</v>
      </c>
      <c r="G1633" s="21" t="n">
        <v>63.72</v>
      </c>
      <c r="H1633" s="19" t="n">
        <v>17.8</v>
      </c>
      <c r="I1633" s="21" t="n">
        <v>52.38</v>
      </c>
      <c r="J1633" s="22" t="s">
        <v>80</v>
      </c>
      <c r="K1633" s="11" t="n">
        <v>45</v>
      </c>
      <c r="L1633" s="23" t="n">
        <v>2.4</v>
      </c>
      <c r="M1633" s="24" t="b">
        <f aca="false">FALSE()</f>
        <v>0</v>
      </c>
      <c r="N1633" s="11"/>
      <c r="O1633" s="11" t="str">
        <f aca="false">IF(K1633&lt;=StockP33,"Low",IF(K1633&lt;=StockP67,"Moderate","High"))</f>
        <v>High</v>
      </c>
      <c r="P1633" s="11" t="str">
        <f aca="false">IF(H1633=0,"Low",IF(H1633&lt;=MarkdownP75,"Moderate","High"))</f>
        <v>Moderate</v>
      </c>
      <c r="Q1633" s="11" t="str">
        <f aca="false">IF(ISBLANK(L1633),"Unknown",IF(L1633&gt;=4,"Good",IF(L1633&lt;=2,"Poor","Neutral")))</f>
        <v>Neutral</v>
      </c>
      <c r="R1633" s="11" t="str">
        <f aca="false">IF(AND(O1633="Low",P1633="Low",Q1633="Good"),"BUY / PRIORITIZE",IF(AND(O1633="High",P1633="High",OR(Q1633="Poor",M1633=TRUE())),"HOLD / REVIEW","MONITOR"))</f>
        <v>MONITOR</v>
      </c>
      <c r="S1633" s="11" t="n">
        <f aca="false">K1633+(ROW()/10000000)</f>
        <v>45.0001633</v>
      </c>
    </row>
    <row r="1634" customFormat="false" ht="15" hidden="false" customHeight="false" outlineLevel="0" collapsed="false">
      <c r="A1634" s="11" t="s">
        <v>1970</v>
      </c>
      <c r="B1634" s="11" t="s">
        <v>8</v>
      </c>
      <c r="C1634" s="11" t="s">
        <v>72</v>
      </c>
      <c r="D1634" s="11" t="s">
        <v>34</v>
      </c>
      <c r="E1634" s="11"/>
      <c r="F1634" s="11" t="s">
        <v>74</v>
      </c>
      <c r="G1634" s="21" t="n">
        <v>74.61</v>
      </c>
      <c r="H1634" s="19" t="n">
        <v>0</v>
      </c>
      <c r="I1634" s="21" t="n">
        <v>74.61</v>
      </c>
      <c r="J1634" s="22" t="s">
        <v>1971</v>
      </c>
      <c r="K1634" s="11" t="n">
        <v>38</v>
      </c>
      <c r="L1634" s="23" t="n">
        <v>2.8</v>
      </c>
      <c r="M1634" s="24" t="b">
        <f aca="false">FALSE()</f>
        <v>0</v>
      </c>
      <c r="N1634" s="11"/>
      <c r="O1634" s="11" t="str">
        <f aca="false">IF(K1634&lt;=StockP33,"Low",IF(K1634&lt;=StockP67,"Moderate","High"))</f>
        <v>High</v>
      </c>
      <c r="P1634" s="11" t="str">
        <f aca="false">IF(H1634=0,"Low",IF(H1634&lt;=MarkdownP75,"Moderate","High"))</f>
        <v>Low</v>
      </c>
      <c r="Q1634" s="11" t="str">
        <f aca="false">IF(ISBLANK(L1634),"Unknown",IF(L1634&gt;=4,"Good",IF(L1634&lt;=2,"Poor","Neutral")))</f>
        <v>Neutral</v>
      </c>
      <c r="R1634" s="11" t="str">
        <f aca="false">IF(AND(O1634="Low",P1634="Low",Q1634="Good"),"BUY / PRIORITIZE",IF(AND(O1634="High",P1634="High",OR(Q1634="Poor",M1634=TRUE())),"HOLD / REVIEW","MONITOR"))</f>
        <v>MONITOR</v>
      </c>
      <c r="S1634" s="11" t="n">
        <f aca="false">K1634+(ROW()/10000000)</f>
        <v>38.0001634</v>
      </c>
    </row>
    <row r="1635" customFormat="false" ht="15" hidden="false" customHeight="false" outlineLevel="0" collapsed="false">
      <c r="A1635" s="11" t="s">
        <v>1972</v>
      </c>
      <c r="B1635" s="11" t="s">
        <v>29</v>
      </c>
      <c r="C1635" s="11" t="s">
        <v>77</v>
      </c>
      <c r="D1635" s="11" t="s">
        <v>34</v>
      </c>
      <c r="E1635" s="11" t="s">
        <v>91</v>
      </c>
      <c r="F1635" s="11" t="s">
        <v>92</v>
      </c>
      <c r="G1635" s="21" t="n">
        <v>148.24</v>
      </c>
      <c r="H1635" s="19" t="n">
        <v>10.9</v>
      </c>
      <c r="I1635" s="21" t="n">
        <v>132.08</v>
      </c>
      <c r="J1635" s="22" t="s">
        <v>1973</v>
      </c>
      <c r="K1635" s="11" t="n">
        <v>44</v>
      </c>
      <c r="L1635" s="23" t="n">
        <v>1.3</v>
      </c>
      <c r="M1635" s="24" t="b">
        <f aca="false">FALSE()</f>
        <v>0</v>
      </c>
      <c r="N1635" s="11"/>
      <c r="O1635" s="11" t="str">
        <f aca="false">IF(K1635&lt;=StockP33,"Low",IF(K1635&lt;=StockP67,"Moderate","High"))</f>
        <v>High</v>
      </c>
      <c r="P1635" s="11" t="str">
        <f aca="false">IF(H1635=0,"Low",IF(H1635&lt;=MarkdownP75,"Moderate","High"))</f>
        <v>Moderate</v>
      </c>
      <c r="Q1635" s="11" t="str">
        <f aca="false">IF(ISBLANK(L1635),"Unknown",IF(L1635&gt;=4,"Good",IF(L1635&lt;=2,"Poor","Neutral")))</f>
        <v>Poor</v>
      </c>
      <c r="R1635" s="11" t="str">
        <f aca="false">IF(AND(O1635="Low",P1635="Low",Q1635="Good"),"BUY / PRIORITIZE",IF(AND(O1635="High",P1635="High",OR(Q1635="Poor",M1635=TRUE())),"HOLD / REVIEW","MONITOR"))</f>
        <v>MONITOR</v>
      </c>
      <c r="S1635" s="11" t="n">
        <f aca="false">K1635+(ROW()/10000000)</f>
        <v>44.0001635</v>
      </c>
    </row>
    <row r="1636" customFormat="false" ht="15" hidden="false" customHeight="false" outlineLevel="0" collapsed="false">
      <c r="A1636" s="11" t="s">
        <v>1974</v>
      </c>
      <c r="B1636" s="11" t="s">
        <v>30</v>
      </c>
      <c r="C1636" s="11" t="s">
        <v>116</v>
      </c>
      <c r="D1636" s="11" t="s">
        <v>34</v>
      </c>
      <c r="E1636" s="11" t="s">
        <v>73</v>
      </c>
      <c r="F1636" s="11" t="s">
        <v>92</v>
      </c>
      <c r="G1636" s="21" t="n">
        <v>93.46</v>
      </c>
      <c r="H1636" s="19" t="n">
        <v>0</v>
      </c>
      <c r="I1636" s="21" t="n">
        <v>93.46</v>
      </c>
      <c r="J1636" s="22" t="s">
        <v>1975</v>
      </c>
      <c r="K1636" s="11" t="n">
        <v>20</v>
      </c>
      <c r="L1636" s="23" t="n">
        <v>2.2</v>
      </c>
      <c r="M1636" s="24" t="b">
        <f aca="false">FALSE()</f>
        <v>0</v>
      </c>
      <c r="N1636" s="11"/>
      <c r="O1636" s="11" t="str">
        <f aca="false">IF(K1636&lt;=StockP33,"Low",IF(K1636&lt;=StockP67,"Moderate","High"))</f>
        <v>Moderate</v>
      </c>
      <c r="P1636" s="11" t="str">
        <f aca="false">IF(H1636=0,"Low",IF(H1636&lt;=MarkdownP75,"Moderate","High"))</f>
        <v>Low</v>
      </c>
      <c r="Q1636" s="11" t="str">
        <f aca="false">IF(ISBLANK(L1636),"Unknown",IF(L1636&gt;=4,"Good",IF(L1636&lt;=2,"Poor","Neutral")))</f>
        <v>Neutral</v>
      </c>
      <c r="R1636" s="11" t="str">
        <f aca="false">IF(AND(O1636="Low",P1636="Low",Q1636="Good"),"BUY / PRIORITIZE",IF(AND(O1636="High",P1636="High",OR(Q1636="Poor",M1636=TRUE())),"HOLD / REVIEW","MONITOR"))</f>
        <v>MONITOR</v>
      </c>
      <c r="S1636" s="11" t="n">
        <f aca="false">K1636+(ROW()/10000000)</f>
        <v>20.0001636</v>
      </c>
    </row>
    <row r="1637" customFormat="false" ht="15" hidden="false" customHeight="false" outlineLevel="0" collapsed="false">
      <c r="A1637" s="11" t="s">
        <v>1976</v>
      </c>
      <c r="B1637" s="11" t="s">
        <v>28</v>
      </c>
      <c r="C1637" s="11" t="s">
        <v>77</v>
      </c>
      <c r="D1637" s="11" t="s">
        <v>35</v>
      </c>
      <c r="E1637" s="11" t="s">
        <v>102</v>
      </c>
      <c r="F1637" s="11" t="s">
        <v>74</v>
      </c>
      <c r="G1637" s="21" t="n">
        <v>245.31</v>
      </c>
      <c r="H1637" s="19" t="n">
        <v>44.1</v>
      </c>
      <c r="I1637" s="21" t="n">
        <v>137.13</v>
      </c>
      <c r="J1637" s="22" t="s">
        <v>80</v>
      </c>
      <c r="K1637" s="11" t="n">
        <v>44</v>
      </c>
      <c r="L1637" s="23"/>
      <c r="M1637" s="24" t="b">
        <f aca="false">FALSE()</f>
        <v>0</v>
      </c>
      <c r="N1637" s="11"/>
      <c r="O1637" s="11" t="str">
        <f aca="false">IF(K1637&lt;=StockP33,"Low",IF(K1637&lt;=StockP67,"Moderate","High"))</f>
        <v>High</v>
      </c>
      <c r="P1637" s="11" t="str">
        <f aca="false">IF(H1637=0,"Low",IF(H1637&lt;=MarkdownP75,"Moderate","High"))</f>
        <v>High</v>
      </c>
      <c r="Q1637" s="11" t="str">
        <f aca="false">IF(ISBLANK(L1637),"Unknown",IF(L1637&gt;=4,"Good",IF(L1637&lt;=2,"Poor","Neutral")))</f>
        <v>Unknown</v>
      </c>
      <c r="R1637" s="11" t="str">
        <f aca="false">IF(AND(O1637="Low",P1637="Low",Q1637="Good"),"BUY / PRIORITIZE",IF(AND(O1637="High",P1637="High",OR(Q1637="Poor",M1637=TRUE())),"HOLD / REVIEW","MONITOR"))</f>
        <v>MONITOR</v>
      </c>
      <c r="S1637" s="11" t="n">
        <f aca="false">K1637+(ROW()/10000000)</f>
        <v>44.0001637</v>
      </c>
    </row>
    <row r="1638" customFormat="false" ht="15" hidden="false" customHeight="false" outlineLevel="0" collapsed="false">
      <c r="A1638" s="11" t="s">
        <v>1977</v>
      </c>
      <c r="B1638" s="11" t="s">
        <v>30</v>
      </c>
      <c r="C1638" s="11" t="s">
        <v>86</v>
      </c>
      <c r="D1638" s="11" t="s">
        <v>34</v>
      </c>
      <c r="E1638" s="11" t="s">
        <v>102</v>
      </c>
      <c r="F1638" s="11" t="s">
        <v>74</v>
      </c>
      <c r="G1638" s="21" t="n">
        <v>43.38</v>
      </c>
      <c r="H1638" s="19" t="n">
        <v>45.9</v>
      </c>
      <c r="I1638" s="21" t="n">
        <v>23.47</v>
      </c>
      <c r="J1638" s="22" t="s">
        <v>333</v>
      </c>
      <c r="K1638" s="11" t="n">
        <v>47</v>
      </c>
      <c r="L1638" s="23" t="n">
        <v>3.7</v>
      </c>
      <c r="M1638" s="24" t="b">
        <f aca="false">TRUE()</f>
        <v>1</v>
      </c>
      <c r="N1638" s="11" t="s">
        <v>178</v>
      </c>
      <c r="O1638" s="11" t="str">
        <f aca="false">IF(K1638&lt;=StockP33,"Low",IF(K1638&lt;=StockP67,"Moderate","High"))</f>
        <v>High</v>
      </c>
      <c r="P1638" s="11" t="str">
        <f aca="false">IF(H1638=0,"Low",IF(H1638&lt;=MarkdownP75,"Moderate","High"))</f>
        <v>High</v>
      </c>
      <c r="Q1638" s="11" t="str">
        <f aca="false">IF(ISBLANK(L1638),"Unknown",IF(L1638&gt;=4,"Good",IF(L1638&lt;=2,"Poor","Neutral")))</f>
        <v>Neutral</v>
      </c>
      <c r="R1638" s="11" t="str">
        <f aca="false">IF(AND(O1638="Low",P1638="Low",Q1638="Good"),"BUY / PRIORITIZE",IF(AND(O1638="High",P1638="High",OR(Q1638="Poor",M1638=TRUE())),"HOLD / REVIEW","MONITOR"))</f>
        <v>HOLD / REVIEW</v>
      </c>
      <c r="S1638" s="11" t="n">
        <f aca="false">K1638+(ROW()/10000000)</f>
        <v>47.0001638</v>
      </c>
    </row>
    <row r="1639" customFormat="false" ht="15" hidden="false" customHeight="false" outlineLevel="0" collapsed="false">
      <c r="A1639" s="11" t="s">
        <v>1978</v>
      </c>
      <c r="B1639" s="11" t="s">
        <v>8</v>
      </c>
      <c r="C1639" s="11" t="s">
        <v>107</v>
      </c>
      <c r="D1639" s="11" t="s">
        <v>36</v>
      </c>
      <c r="E1639" s="11"/>
      <c r="F1639" s="11" t="s">
        <v>82</v>
      </c>
      <c r="G1639" s="21" t="n">
        <v>40.04</v>
      </c>
      <c r="H1639" s="19" t="n">
        <v>45.5</v>
      </c>
      <c r="I1639" s="21" t="n">
        <v>21.82</v>
      </c>
      <c r="J1639" s="22" t="s">
        <v>80</v>
      </c>
      <c r="K1639" s="11" t="n">
        <v>50</v>
      </c>
      <c r="L1639" s="23" t="n">
        <v>2.2</v>
      </c>
      <c r="M1639" s="24" t="b">
        <f aca="false">FALSE()</f>
        <v>0</v>
      </c>
      <c r="N1639" s="11"/>
      <c r="O1639" s="11" t="str">
        <f aca="false">IF(K1639&lt;=StockP33,"Low",IF(K1639&lt;=StockP67,"Moderate","High"))</f>
        <v>High</v>
      </c>
      <c r="P1639" s="11" t="str">
        <f aca="false">IF(H1639=0,"Low",IF(H1639&lt;=MarkdownP75,"Moderate","High"))</f>
        <v>High</v>
      </c>
      <c r="Q1639" s="11" t="str">
        <f aca="false">IF(ISBLANK(L1639),"Unknown",IF(L1639&gt;=4,"Good",IF(L1639&lt;=2,"Poor","Neutral")))</f>
        <v>Neutral</v>
      </c>
      <c r="R1639" s="11" t="str">
        <f aca="false">IF(AND(O1639="Low",P1639="Low",Q1639="Good"),"BUY / PRIORITIZE",IF(AND(O1639="High",P1639="High",OR(Q1639="Poor",M1639=TRUE())),"HOLD / REVIEW","MONITOR"))</f>
        <v>MONITOR</v>
      </c>
      <c r="S1639" s="11" t="n">
        <f aca="false">K1639+(ROW()/10000000)</f>
        <v>50.0001639</v>
      </c>
    </row>
    <row r="1640" customFormat="false" ht="15" hidden="false" customHeight="false" outlineLevel="0" collapsed="false">
      <c r="A1640" s="11" t="s">
        <v>1979</v>
      </c>
      <c r="B1640" s="11" t="s">
        <v>28</v>
      </c>
      <c r="C1640" s="11" t="s">
        <v>101</v>
      </c>
      <c r="D1640" s="11" t="s">
        <v>36</v>
      </c>
      <c r="E1640" s="11" t="s">
        <v>113</v>
      </c>
      <c r="F1640" s="11" t="s">
        <v>111</v>
      </c>
      <c r="G1640" s="21" t="n">
        <v>209.68</v>
      </c>
      <c r="H1640" s="19" t="n">
        <v>3.6</v>
      </c>
      <c r="I1640" s="21" t="n">
        <v>202.13</v>
      </c>
      <c r="J1640" s="22" t="s">
        <v>80</v>
      </c>
      <c r="K1640" s="11" t="n">
        <v>18</v>
      </c>
      <c r="L1640" s="23" t="n">
        <v>4.1</v>
      </c>
      <c r="M1640" s="24" t="b">
        <f aca="false">FALSE()</f>
        <v>0</v>
      </c>
      <c r="N1640" s="11"/>
      <c r="O1640" s="11" t="str">
        <f aca="false">IF(K1640&lt;=StockP33,"Low",IF(K1640&lt;=StockP67,"Moderate","High"))</f>
        <v>Moderate</v>
      </c>
      <c r="P1640" s="11" t="str">
        <f aca="false">IF(H1640=0,"Low",IF(H1640&lt;=MarkdownP75,"Moderate","High"))</f>
        <v>Moderate</v>
      </c>
      <c r="Q1640" s="11" t="str">
        <f aca="false">IF(ISBLANK(L1640),"Unknown",IF(L1640&gt;=4,"Good",IF(L1640&lt;=2,"Poor","Neutral")))</f>
        <v>Good</v>
      </c>
      <c r="R1640" s="11" t="str">
        <f aca="false">IF(AND(O1640="Low",P1640="Low",Q1640="Good"),"BUY / PRIORITIZE",IF(AND(O1640="High",P1640="High",OR(Q1640="Poor",M1640=TRUE())),"HOLD / REVIEW","MONITOR"))</f>
        <v>MONITOR</v>
      </c>
      <c r="S1640" s="11" t="n">
        <f aca="false">K1640+(ROW()/10000000)</f>
        <v>18.000164</v>
      </c>
    </row>
    <row r="1641" customFormat="false" ht="15" hidden="false" customHeight="false" outlineLevel="0" collapsed="false">
      <c r="A1641" s="11" t="s">
        <v>1980</v>
      </c>
      <c r="B1641" s="11" t="s">
        <v>8</v>
      </c>
      <c r="C1641" s="11" t="s">
        <v>95</v>
      </c>
      <c r="D1641" s="11" t="s">
        <v>37</v>
      </c>
      <c r="E1641" s="11"/>
      <c r="F1641" s="11" t="s">
        <v>124</v>
      </c>
      <c r="G1641" s="21" t="n">
        <v>38.08</v>
      </c>
      <c r="H1641" s="19" t="n">
        <v>0</v>
      </c>
      <c r="I1641" s="21" t="n">
        <v>38.08</v>
      </c>
      <c r="J1641" s="22" t="s">
        <v>80</v>
      </c>
      <c r="K1641" s="11" t="n">
        <v>0</v>
      </c>
      <c r="L1641" s="23" t="n">
        <v>1.6</v>
      </c>
      <c r="M1641" s="24" t="b">
        <f aca="false">FALSE()</f>
        <v>0</v>
      </c>
      <c r="N1641" s="11"/>
      <c r="O1641" s="11" t="str">
        <f aca="false">IF(K1641&lt;=StockP33,"Low",IF(K1641&lt;=StockP67,"Moderate","High"))</f>
        <v>Low</v>
      </c>
      <c r="P1641" s="11" t="str">
        <f aca="false">IF(H1641=0,"Low",IF(H1641&lt;=MarkdownP75,"Moderate","High"))</f>
        <v>Low</v>
      </c>
      <c r="Q1641" s="11" t="str">
        <f aca="false">IF(ISBLANK(L1641),"Unknown",IF(L1641&gt;=4,"Good",IF(L1641&lt;=2,"Poor","Neutral")))</f>
        <v>Poor</v>
      </c>
      <c r="R1641" s="11" t="str">
        <f aca="false">IF(AND(O1641="Low",P1641="Low",Q1641="Good"),"BUY / PRIORITIZE",IF(AND(O1641="High",P1641="High",OR(Q1641="Poor",M1641=TRUE())),"HOLD / REVIEW","MONITOR"))</f>
        <v>MONITOR</v>
      </c>
      <c r="S1641" s="11" t="n">
        <f aca="false">K1641+(ROW()/10000000)</f>
        <v>0.0001641</v>
      </c>
    </row>
    <row r="1642" customFormat="false" ht="15" hidden="false" customHeight="false" outlineLevel="0" collapsed="false">
      <c r="A1642" s="11" t="s">
        <v>1981</v>
      </c>
      <c r="B1642" s="11" t="s">
        <v>28</v>
      </c>
      <c r="C1642" s="11" t="s">
        <v>107</v>
      </c>
      <c r="D1642" s="11" t="s">
        <v>34</v>
      </c>
      <c r="E1642" s="11" t="s">
        <v>102</v>
      </c>
      <c r="F1642" s="11" t="s">
        <v>111</v>
      </c>
      <c r="G1642" s="21" t="n">
        <v>123.04</v>
      </c>
      <c r="H1642" s="19" t="n">
        <v>0</v>
      </c>
      <c r="I1642" s="21" t="n">
        <v>123.04</v>
      </c>
      <c r="J1642" s="22" t="s">
        <v>1494</v>
      </c>
      <c r="K1642" s="11" t="n">
        <v>13</v>
      </c>
      <c r="L1642" s="23" t="n">
        <v>1.2</v>
      </c>
      <c r="M1642" s="24" t="b">
        <f aca="false">FALSE()</f>
        <v>0</v>
      </c>
      <c r="N1642" s="11"/>
      <c r="O1642" s="11" t="str">
        <f aca="false">IF(K1642&lt;=StockP33,"Low",IF(K1642&lt;=StockP67,"Moderate","High"))</f>
        <v>Low</v>
      </c>
      <c r="P1642" s="11" t="str">
        <f aca="false">IF(H1642=0,"Low",IF(H1642&lt;=MarkdownP75,"Moderate","High"))</f>
        <v>Low</v>
      </c>
      <c r="Q1642" s="11" t="str">
        <f aca="false">IF(ISBLANK(L1642),"Unknown",IF(L1642&gt;=4,"Good",IF(L1642&lt;=2,"Poor","Neutral")))</f>
        <v>Poor</v>
      </c>
      <c r="R1642" s="11" t="str">
        <f aca="false">IF(AND(O1642="Low",P1642="Low",Q1642="Good"),"BUY / PRIORITIZE",IF(AND(O1642="High",P1642="High",OR(Q1642="Poor",M1642=TRUE())),"HOLD / REVIEW","MONITOR"))</f>
        <v>MONITOR</v>
      </c>
      <c r="S1642" s="11" t="n">
        <f aca="false">K1642+(ROW()/10000000)</f>
        <v>13.0001642</v>
      </c>
    </row>
    <row r="1643" customFormat="false" ht="15" hidden="false" customHeight="false" outlineLevel="0" collapsed="false">
      <c r="A1643" s="11" t="s">
        <v>1982</v>
      </c>
      <c r="B1643" s="11" t="s">
        <v>8</v>
      </c>
      <c r="C1643" s="11" t="s">
        <v>77</v>
      </c>
      <c r="D1643" s="11" t="s">
        <v>35</v>
      </c>
      <c r="E1643" s="11"/>
      <c r="F1643" s="11" t="s">
        <v>79</v>
      </c>
      <c r="G1643" s="21" t="n">
        <v>39.94</v>
      </c>
      <c r="H1643" s="19" t="n">
        <v>0</v>
      </c>
      <c r="I1643" s="21" t="n">
        <v>39.94</v>
      </c>
      <c r="J1643" s="22" t="s">
        <v>80</v>
      </c>
      <c r="K1643" s="11" t="n">
        <v>32</v>
      </c>
      <c r="L1643" s="23" t="n">
        <v>3.1</v>
      </c>
      <c r="M1643" s="24" t="b">
        <f aca="false">FALSE()</f>
        <v>0</v>
      </c>
      <c r="N1643" s="11"/>
      <c r="O1643" s="11" t="str">
        <f aca="false">IF(K1643&lt;=StockP33,"Low",IF(K1643&lt;=StockP67,"Moderate","High"))</f>
        <v>Moderate</v>
      </c>
      <c r="P1643" s="11" t="str">
        <f aca="false">IF(H1643=0,"Low",IF(H1643&lt;=MarkdownP75,"Moderate","High"))</f>
        <v>Low</v>
      </c>
      <c r="Q1643" s="11" t="str">
        <f aca="false">IF(ISBLANK(L1643),"Unknown",IF(L1643&gt;=4,"Good",IF(L1643&lt;=2,"Poor","Neutral")))</f>
        <v>Neutral</v>
      </c>
      <c r="R1643" s="11" t="str">
        <f aca="false">IF(AND(O1643="Low",P1643="Low",Q1643="Good"),"BUY / PRIORITIZE",IF(AND(O1643="High",P1643="High",OR(Q1643="Poor",M1643=TRUE())),"HOLD / REVIEW","MONITOR"))</f>
        <v>MONITOR</v>
      </c>
      <c r="S1643" s="11" t="n">
        <f aca="false">K1643+(ROW()/10000000)</f>
        <v>32.0001643</v>
      </c>
    </row>
    <row r="1644" customFormat="false" ht="15" hidden="false" customHeight="false" outlineLevel="0" collapsed="false">
      <c r="A1644" s="11" t="s">
        <v>1983</v>
      </c>
      <c r="B1644" s="11" t="s">
        <v>27</v>
      </c>
      <c r="C1644" s="11" t="s">
        <v>101</v>
      </c>
      <c r="D1644" s="11" t="s">
        <v>35</v>
      </c>
      <c r="E1644" s="11" t="s">
        <v>113</v>
      </c>
      <c r="F1644" s="11" t="s">
        <v>92</v>
      </c>
      <c r="G1644" s="21" t="n">
        <v>80.19</v>
      </c>
      <c r="H1644" s="19" t="n">
        <v>0</v>
      </c>
      <c r="I1644" s="21" t="n">
        <v>80.19</v>
      </c>
      <c r="J1644" s="22" t="s">
        <v>80</v>
      </c>
      <c r="K1644" s="11" t="n">
        <v>43</v>
      </c>
      <c r="L1644" s="23" t="n">
        <v>3.8</v>
      </c>
      <c r="M1644" s="24" t="b">
        <f aca="false">FALSE()</f>
        <v>0</v>
      </c>
      <c r="N1644" s="11"/>
      <c r="O1644" s="11" t="str">
        <f aca="false">IF(K1644&lt;=StockP33,"Low",IF(K1644&lt;=StockP67,"Moderate","High"))</f>
        <v>High</v>
      </c>
      <c r="P1644" s="11" t="str">
        <f aca="false">IF(H1644=0,"Low",IF(H1644&lt;=MarkdownP75,"Moderate","High"))</f>
        <v>Low</v>
      </c>
      <c r="Q1644" s="11" t="str">
        <f aca="false">IF(ISBLANK(L1644),"Unknown",IF(L1644&gt;=4,"Good",IF(L1644&lt;=2,"Poor","Neutral")))</f>
        <v>Neutral</v>
      </c>
      <c r="R1644" s="11" t="str">
        <f aca="false">IF(AND(O1644="Low",P1644="Low",Q1644="Good"),"BUY / PRIORITIZE",IF(AND(O1644="High",P1644="High",OR(Q1644="Poor",M1644=TRUE())),"HOLD / REVIEW","MONITOR"))</f>
        <v>MONITOR</v>
      </c>
      <c r="S1644" s="11" t="n">
        <f aca="false">K1644+(ROW()/10000000)</f>
        <v>43.0001644</v>
      </c>
    </row>
    <row r="1645" customFormat="false" ht="15" hidden="false" customHeight="false" outlineLevel="0" collapsed="false">
      <c r="A1645" s="11" t="s">
        <v>1984</v>
      </c>
      <c r="B1645" s="11" t="s">
        <v>30</v>
      </c>
      <c r="C1645" s="11" t="s">
        <v>77</v>
      </c>
      <c r="D1645" s="11" t="s">
        <v>34</v>
      </c>
      <c r="E1645" s="11" t="s">
        <v>102</v>
      </c>
      <c r="F1645" s="11" t="s">
        <v>120</v>
      </c>
      <c r="G1645" s="21" t="n">
        <v>35.03</v>
      </c>
      <c r="H1645" s="19" t="n">
        <v>10.1</v>
      </c>
      <c r="I1645" s="21" t="n">
        <v>31.49</v>
      </c>
      <c r="J1645" s="22" t="s">
        <v>1566</v>
      </c>
      <c r="K1645" s="11" t="n">
        <v>5</v>
      </c>
      <c r="L1645" s="23" t="n">
        <v>3.8</v>
      </c>
      <c r="M1645" s="24" t="b">
        <f aca="false">FALSE()</f>
        <v>0</v>
      </c>
      <c r="N1645" s="11"/>
      <c r="O1645" s="11" t="str">
        <f aca="false">IF(K1645&lt;=StockP33,"Low",IF(K1645&lt;=StockP67,"Moderate","High"))</f>
        <v>Low</v>
      </c>
      <c r="P1645" s="11" t="str">
        <f aca="false">IF(H1645=0,"Low",IF(H1645&lt;=MarkdownP75,"Moderate","High"))</f>
        <v>Moderate</v>
      </c>
      <c r="Q1645" s="11" t="str">
        <f aca="false">IF(ISBLANK(L1645),"Unknown",IF(L1645&gt;=4,"Good",IF(L1645&lt;=2,"Poor","Neutral")))</f>
        <v>Neutral</v>
      </c>
      <c r="R1645" s="11" t="str">
        <f aca="false">IF(AND(O1645="Low",P1645="Low",Q1645="Good"),"BUY / PRIORITIZE",IF(AND(O1645="High",P1645="High",OR(Q1645="Poor",M1645=TRUE())),"HOLD / REVIEW","MONITOR"))</f>
        <v>MONITOR</v>
      </c>
      <c r="S1645" s="11" t="n">
        <f aca="false">K1645+(ROW()/10000000)</f>
        <v>5.0001645</v>
      </c>
    </row>
    <row r="1646" customFormat="false" ht="15" hidden="false" customHeight="false" outlineLevel="0" collapsed="false">
      <c r="A1646" s="11" t="s">
        <v>1985</v>
      </c>
      <c r="B1646" s="11" t="s">
        <v>30</v>
      </c>
      <c r="C1646" s="11" t="s">
        <v>101</v>
      </c>
      <c r="D1646" s="11" t="s">
        <v>35</v>
      </c>
      <c r="E1646" s="11" t="s">
        <v>113</v>
      </c>
      <c r="F1646" s="11" t="s">
        <v>82</v>
      </c>
      <c r="G1646" s="21" t="n">
        <v>27.64</v>
      </c>
      <c r="H1646" s="19" t="n">
        <v>29</v>
      </c>
      <c r="I1646" s="21" t="n">
        <v>19.62</v>
      </c>
      <c r="J1646" s="22" t="s">
        <v>80</v>
      </c>
      <c r="K1646" s="11" t="n">
        <v>19</v>
      </c>
      <c r="L1646" s="23" t="n">
        <v>1</v>
      </c>
      <c r="M1646" s="24" t="b">
        <f aca="false">FALSE()</f>
        <v>0</v>
      </c>
      <c r="N1646" s="11"/>
      <c r="O1646" s="11" t="str">
        <f aca="false">IF(K1646&lt;=StockP33,"Low",IF(K1646&lt;=StockP67,"Moderate","High"))</f>
        <v>Moderate</v>
      </c>
      <c r="P1646" s="11" t="str">
        <f aca="false">IF(H1646=0,"Low",IF(H1646&lt;=MarkdownP75,"Moderate","High"))</f>
        <v>High</v>
      </c>
      <c r="Q1646" s="11" t="str">
        <f aca="false">IF(ISBLANK(L1646),"Unknown",IF(L1646&gt;=4,"Good",IF(L1646&lt;=2,"Poor","Neutral")))</f>
        <v>Poor</v>
      </c>
      <c r="R1646" s="11" t="str">
        <f aca="false">IF(AND(O1646="Low",P1646="Low",Q1646="Good"),"BUY / PRIORITIZE",IF(AND(O1646="High",P1646="High",OR(Q1646="Poor",M1646=TRUE())),"HOLD / REVIEW","MONITOR"))</f>
        <v>MONITOR</v>
      </c>
      <c r="S1646" s="11" t="n">
        <f aca="false">K1646+(ROW()/10000000)</f>
        <v>19.0001646</v>
      </c>
    </row>
    <row r="1647" customFormat="false" ht="15" hidden="false" customHeight="false" outlineLevel="0" collapsed="false">
      <c r="A1647" s="11" t="s">
        <v>1986</v>
      </c>
      <c r="B1647" s="11" t="s">
        <v>28</v>
      </c>
      <c r="C1647" s="11" t="s">
        <v>95</v>
      </c>
      <c r="D1647" s="11" t="s">
        <v>34</v>
      </c>
      <c r="E1647" s="11" t="s">
        <v>113</v>
      </c>
      <c r="F1647" s="11" t="s">
        <v>118</v>
      </c>
      <c r="G1647" s="21" t="n">
        <v>187.63</v>
      </c>
      <c r="H1647" s="19" t="n">
        <v>0</v>
      </c>
      <c r="I1647" s="21" t="n">
        <v>187.63</v>
      </c>
      <c r="J1647" s="22" t="s">
        <v>104</v>
      </c>
      <c r="K1647" s="11" t="n">
        <v>25</v>
      </c>
      <c r="L1647" s="23" t="n">
        <v>1.8</v>
      </c>
      <c r="M1647" s="24" t="b">
        <f aca="false">FALSE()</f>
        <v>0</v>
      </c>
      <c r="N1647" s="11"/>
      <c r="O1647" s="11" t="str">
        <f aca="false">IF(K1647&lt;=StockP33,"Low",IF(K1647&lt;=StockP67,"Moderate","High"))</f>
        <v>Moderate</v>
      </c>
      <c r="P1647" s="11" t="str">
        <f aca="false">IF(H1647=0,"Low",IF(H1647&lt;=MarkdownP75,"Moderate","High"))</f>
        <v>Low</v>
      </c>
      <c r="Q1647" s="11" t="str">
        <f aca="false">IF(ISBLANK(L1647),"Unknown",IF(L1647&gt;=4,"Good",IF(L1647&lt;=2,"Poor","Neutral")))</f>
        <v>Poor</v>
      </c>
      <c r="R1647" s="11" t="str">
        <f aca="false">IF(AND(O1647="Low",P1647="Low",Q1647="Good"),"BUY / PRIORITIZE",IF(AND(O1647="High",P1647="High",OR(Q1647="Poor",M1647=TRUE())),"HOLD / REVIEW","MONITOR"))</f>
        <v>MONITOR</v>
      </c>
      <c r="S1647" s="11" t="n">
        <f aca="false">K1647+(ROW()/10000000)</f>
        <v>25.0001647</v>
      </c>
    </row>
    <row r="1648" customFormat="false" ht="15" hidden="false" customHeight="false" outlineLevel="0" collapsed="false">
      <c r="A1648" s="11" t="s">
        <v>1987</v>
      </c>
      <c r="B1648" s="11" t="s">
        <v>28</v>
      </c>
      <c r="C1648" s="11" t="s">
        <v>101</v>
      </c>
      <c r="D1648" s="11" t="s">
        <v>37</v>
      </c>
      <c r="E1648" s="11" t="s">
        <v>102</v>
      </c>
      <c r="F1648" s="11" t="s">
        <v>82</v>
      </c>
      <c r="G1648" s="21" t="n">
        <v>193.17</v>
      </c>
      <c r="H1648" s="19" t="n">
        <v>34.6</v>
      </c>
      <c r="I1648" s="21" t="n">
        <v>126.33</v>
      </c>
      <c r="J1648" s="22" t="s">
        <v>80</v>
      </c>
      <c r="K1648" s="11" t="n">
        <v>26</v>
      </c>
      <c r="L1648" s="23"/>
      <c r="M1648" s="24" t="b">
        <f aca="false">FALSE()</f>
        <v>0</v>
      </c>
      <c r="N1648" s="11"/>
      <c r="O1648" s="11" t="str">
        <f aca="false">IF(K1648&lt;=StockP33,"Low",IF(K1648&lt;=StockP67,"Moderate","High"))</f>
        <v>Moderate</v>
      </c>
      <c r="P1648" s="11" t="str">
        <f aca="false">IF(H1648=0,"Low",IF(H1648&lt;=MarkdownP75,"Moderate","High"))</f>
        <v>High</v>
      </c>
      <c r="Q1648" s="11" t="str">
        <f aca="false">IF(ISBLANK(L1648),"Unknown",IF(L1648&gt;=4,"Good",IF(L1648&lt;=2,"Poor","Neutral")))</f>
        <v>Unknown</v>
      </c>
      <c r="R1648" s="11" t="str">
        <f aca="false">IF(AND(O1648="Low",P1648="Low",Q1648="Good"),"BUY / PRIORITIZE",IF(AND(O1648="High",P1648="High",OR(Q1648="Poor",M1648=TRUE())),"HOLD / REVIEW","MONITOR"))</f>
        <v>MONITOR</v>
      </c>
      <c r="S1648" s="11" t="n">
        <f aca="false">K1648+(ROW()/10000000)</f>
        <v>26.0001648</v>
      </c>
    </row>
    <row r="1649" customFormat="false" ht="15" hidden="false" customHeight="false" outlineLevel="0" collapsed="false">
      <c r="A1649" s="11" t="s">
        <v>1988</v>
      </c>
      <c r="B1649" s="11" t="s">
        <v>29</v>
      </c>
      <c r="C1649" s="11" t="s">
        <v>86</v>
      </c>
      <c r="D1649" s="11" t="s">
        <v>34</v>
      </c>
      <c r="E1649" s="11" t="s">
        <v>113</v>
      </c>
      <c r="F1649" s="11" t="s">
        <v>82</v>
      </c>
      <c r="G1649" s="21" t="n">
        <v>157.78</v>
      </c>
      <c r="H1649" s="19" t="n">
        <v>40.2</v>
      </c>
      <c r="I1649" s="21" t="n">
        <v>94.35</v>
      </c>
      <c r="J1649" s="22" t="s">
        <v>1061</v>
      </c>
      <c r="K1649" s="11" t="n">
        <v>23</v>
      </c>
      <c r="L1649" s="23" t="n">
        <v>3.1</v>
      </c>
      <c r="M1649" s="24" t="b">
        <f aca="false">FALSE()</f>
        <v>0</v>
      </c>
      <c r="N1649" s="11"/>
      <c r="O1649" s="11" t="str">
        <f aca="false">IF(K1649&lt;=StockP33,"Low",IF(K1649&lt;=StockP67,"Moderate","High"))</f>
        <v>Moderate</v>
      </c>
      <c r="P1649" s="11" t="str">
        <f aca="false">IF(H1649=0,"Low",IF(H1649&lt;=MarkdownP75,"Moderate","High"))</f>
        <v>High</v>
      </c>
      <c r="Q1649" s="11" t="str">
        <f aca="false">IF(ISBLANK(L1649),"Unknown",IF(L1649&gt;=4,"Good",IF(L1649&lt;=2,"Poor","Neutral")))</f>
        <v>Neutral</v>
      </c>
      <c r="R1649" s="11" t="str">
        <f aca="false">IF(AND(O1649="Low",P1649="Low",Q1649="Good"),"BUY / PRIORITIZE",IF(AND(O1649="High",P1649="High",OR(Q1649="Poor",M1649=TRUE())),"HOLD / REVIEW","MONITOR"))</f>
        <v>MONITOR</v>
      </c>
      <c r="S1649" s="11" t="n">
        <f aca="false">K1649+(ROW()/10000000)</f>
        <v>23.0001649</v>
      </c>
    </row>
    <row r="1650" customFormat="false" ht="15" hidden="false" customHeight="false" outlineLevel="0" collapsed="false">
      <c r="A1650" s="11" t="s">
        <v>1989</v>
      </c>
      <c r="B1650" s="11" t="s">
        <v>29</v>
      </c>
      <c r="C1650" s="11" t="s">
        <v>72</v>
      </c>
      <c r="D1650" s="11" t="s">
        <v>37</v>
      </c>
      <c r="E1650" s="11" t="s">
        <v>78</v>
      </c>
      <c r="F1650" s="11" t="s">
        <v>82</v>
      </c>
      <c r="G1650" s="21" t="n">
        <v>119.14</v>
      </c>
      <c r="H1650" s="19" t="n">
        <v>7.8</v>
      </c>
      <c r="I1650" s="21" t="n">
        <v>109.85</v>
      </c>
      <c r="J1650" s="22" t="s">
        <v>80</v>
      </c>
      <c r="K1650" s="11" t="n">
        <v>20</v>
      </c>
      <c r="L1650" s="23" t="n">
        <v>3.1</v>
      </c>
      <c r="M1650" s="24" t="b">
        <f aca="false">FALSE()</f>
        <v>0</v>
      </c>
      <c r="N1650" s="11"/>
      <c r="O1650" s="11" t="str">
        <f aca="false">IF(K1650&lt;=StockP33,"Low",IF(K1650&lt;=StockP67,"Moderate","High"))</f>
        <v>Moderate</v>
      </c>
      <c r="P1650" s="11" t="str">
        <f aca="false">IF(H1650=0,"Low",IF(H1650&lt;=MarkdownP75,"Moderate","High"))</f>
        <v>Moderate</v>
      </c>
      <c r="Q1650" s="11" t="str">
        <f aca="false">IF(ISBLANK(L1650),"Unknown",IF(L1650&gt;=4,"Good",IF(L1650&lt;=2,"Poor","Neutral")))</f>
        <v>Neutral</v>
      </c>
      <c r="R1650" s="11" t="str">
        <f aca="false">IF(AND(O1650="Low",P1650="Low",Q1650="Good"),"BUY / PRIORITIZE",IF(AND(O1650="High",P1650="High",OR(Q1650="Poor",M1650=TRUE())),"HOLD / REVIEW","MONITOR"))</f>
        <v>MONITOR</v>
      </c>
      <c r="S1650" s="11" t="n">
        <f aca="false">K1650+(ROW()/10000000)</f>
        <v>20.000165</v>
      </c>
    </row>
    <row r="1651" customFormat="false" ht="15" hidden="false" customHeight="false" outlineLevel="0" collapsed="false">
      <c r="A1651" s="11" t="s">
        <v>1990</v>
      </c>
      <c r="B1651" s="11" t="s">
        <v>27</v>
      </c>
      <c r="C1651" s="11" t="s">
        <v>130</v>
      </c>
      <c r="D1651" s="11" t="s">
        <v>37</v>
      </c>
      <c r="E1651" s="11" t="s">
        <v>113</v>
      </c>
      <c r="F1651" s="11" t="s">
        <v>88</v>
      </c>
      <c r="G1651" s="21" t="n">
        <v>150.08</v>
      </c>
      <c r="H1651" s="19" t="n">
        <v>4.8</v>
      </c>
      <c r="I1651" s="21" t="n">
        <v>142.88</v>
      </c>
      <c r="J1651" s="22" t="s">
        <v>80</v>
      </c>
      <c r="K1651" s="11" t="n">
        <v>24</v>
      </c>
      <c r="L1651" s="23" t="n">
        <v>1.7</v>
      </c>
      <c r="M1651" s="24" t="b">
        <f aca="false">FALSE()</f>
        <v>0</v>
      </c>
      <c r="N1651" s="11"/>
      <c r="O1651" s="11" t="str">
        <f aca="false">IF(K1651&lt;=StockP33,"Low",IF(K1651&lt;=StockP67,"Moderate","High"))</f>
        <v>Moderate</v>
      </c>
      <c r="P1651" s="11" t="str">
        <f aca="false">IF(H1651=0,"Low",IF(H1651&lt;=MarkdownP75,"Moderate","High"))</f>
        <v>Moderate</v>
      </c>
      <c r="Q1651" s="11" t="str">
        <f aca="false">IF(ISBLANK(L1651),"Unknown",IF(L1651&gt;=4,"Good",IF(L1651&lt;=2,"Poor","Neutral")))</f>
        <v>Poor</v>
      </c>
      <c r="R1651" s="11" t="str">
        <f aca="false">IF(AND(O1651="Low",P1651="Low",Q1651="Good"),"BUY / PRIORITIZE",IF(AND(O1651="High",P1651="High",OR(Q1651="Poor",M1651=TRUE())),"HOLD / REVIEW","MONITOR"))</f>
        <v>MONITOR</v>
      </c>
      <c r="S1651" s="11" t="n">
        <f aca="false">K1651+(ROW()/10000000)</f>
        <v>24.0001651</v>
      </c>
    </row>
    <row r="1652" customFormat="false" ht="15" hidden="false" customHeight="false" outlineLevel="0" collapsed="false">
      <c r="A1652" s="11" t="s">
        <v>1991</v>
      </c>
      <c r="B1652" s="11" t="s">
        <v>27</v>
      </c>
      <c r="C1652" s="11" t="s">
        <v>77</v>
      </c>
      <c r="D1652" s="11" t="s">
        <v>35</v>
      </c>
      <c r="E1652" s="11" t="s">
        <v>78</v>
      </c>
      <c r="F1652" s="11" t="s">
        <v>96</v>
      </c>
      <c r="G1652" s="21" t="n">
        <v>153.18</v>
      </c>
      <c r="H1652" s="19" t="n">
        <v>0</v>
      </c>
      <c r="I1652" s="21" t="n">
        <v>153.18</v>
      </c>
      <c r="J1652" s="22" t="s">
        <v>80</v>
      </c>
      <c r="K1652" s="11" t="n">
        <v>26</v>
      </c>
      <c r="L1652" s="23" t="n">
        <v>1.1</v>
      </c>
      <c r="M1652" s="24" t="b">
        <f aca="false">FALSE()</f>
        <v>0</v>
      </c>
      <c r="N1652" s="11"/>
      <c r="O1652" s="11" t="str">
        <f aca="false">IF(K1652&lt;=StockP33,"Low",IF(K1652&lt;=StockP67,"Moderate","High"))</f>
        <v>Moderate</v>
      </c>
      <c r="P1652" s="11" t="str">
        <f aca="false">IF(H1652=0,"Low",IF(H1652&lt;=MarkdownP75,"Moderate","High"))</f>
        <v>Low</v>
      </c>
      <c r="Q1652" s="11" t="str">
        <f aca="false">IF(ISBLANK(L1652),"Unknown",IF(L1652&gt;=4,"Good",IF(L1652&lt;=2,"Poor","Neutral")))</f>
        <v>Poor</v>
      </c>
      <c r="R1652" s="11" t="str">
        <f aca="false">IF(AND(O1652="Low",P1652="Low",Q1652="Good"),"BUY / PRIORITIZE",IF(AND(O1652="High",P1652="High",OR(Q1652="Poor",M1652=TRUE())),"HOLD / REVIEW","MONITOR"))</f>
        <v>MONITOR</v>
      </c>
      <c r="S1652" s="11" t="n">
        <f aca="false">K1652+(ROW()/10000000)</f>
        <v>26.0001652</v>
      </c>
    </row>
    <row r="1653" customFormat="false" ht="15" hidden="false" customHeight="false" outlineLevel="0" collapsed="false">
      <c r="A1653" s="11" t="s">
        <v>1992</v>
      </c>
      <c r="B1653" s="11" t="s">
        <v>30</v>
      </c>
      <c r="C1653" s="11" t="s">
        <v>86</v>
      </c>
      <c r="D1653" s="11" t="s">
        <v>37</v>
      </c>
      <c r="E1653" s="11" t="s">
        <v>91</v>
      </c>
      <c r="F1653" s="11" t="s">
        <v>79</v>
      </c>
      <c r="G1653" s="21" t="n">
        <v>118.69</v>
      </c>
      <c r="H1653" s="19" t="n">
        <v>47.7</v>
      </c>
      <c r="I1653" s="21" t="n">
        <v>62.07</v>
      </c>
      <c r="J1653" s="22" t="s">
        <v>80</v>
      </c>
      <c r="K1653" s="11" t="n">
        <v>11</v>
      </c>
      <c r="L1653" s="23" t="n">
        <v>2.8</v>
      </c>
      <c r="M1653" s="24" t="b">
        <f aca="false">FALSE()</f>
        <v>0</v>
      </c>
      <c r="N1653" s="11"/>
      <c r="O1653" s="11" t="str">
        <f aca="false">IF(K1653&lt;=StockP33,"Low",IF(K1653&lt;=StockP67,"Moderate","High"))</f>
        <v>Low</v>
      </c>
      <c r="P1653" s="11" t="str">
        <f aca="false">IF(H1653=0,"Low",IF(H1653&lt;=MarkdownP75,"Moderate","High"))</f>
        <v>High</v>
      </c>
      <c r="Q1653" s="11" t="str">
        <f aca="false">IF(ISBLANK(L1653),"Unknown",IF(L1653&gt;=4,"Good",IF(L1653&lt;=2,"Poor","Neutral")))</f>
        <v>Neutral</v>
      </c>
      <c r="R1653" s="11" t="str">
        <f aca="false">IF(AND(O1653="Low",P1653="Low",Q1653="Good"),"BUY / PRIORITIZE",IF(AND(O1653="High",P1653="High",OR(Q1653="Poor",M1653=TRUE())),"HOLD / REVIEW","MONITOR"))</f>
        <v>MONITOR</v>
      </c>
      <c r="S1653" s="11" t="n">
        <f aca="false">K1653+(ROW()/10000000)</f>
        <v>11.0001653</v>
      </c>
    </row>
    <row r="1654" customFormat="false" ht="15" hidden="false" customHeight="false" outlineLevel="0" collapsed="false">
      <c r="A1654" s="11" t="s">
        <v>1993</v>
      </c>
      <c r="B1654" s="11" t="s">
        <v>8</v>
      </c>
      <c r="C1654" s="11" t="s">
        <v>101</v>
      </c>
      <c r="D1654" s="11" t="s">
        <v>34</v>
      </c>
      <c r="E1654" s="11"/>
      <c r="F1654" s="11" t="s">
        <v>118</v>
      </c>
      <c r="G1654" s="21" t="n">
        <v>50.12</v>
      </c>
      <c r="H1654" s="19" t="n">
        <v>0</v>
      </c>
      <c r="I1654" s="21" t="n">
        <v>50.12</v>
      </c>
      <c r="J1654" s="22" t="s">
        <v>1994</v>
      </c>
      <c r="K1654" s="11" t="n">
        <v>27</v>
      </c>
      <c r="L1654" s="23" t="n">
        <v>2.4</v>
      </c>
      <c r="M1654" s="24" t="b">
        <f aca="false">FALSE()</f>
        <v>0</v>
      </c>
      <c r="N1654" s="11"/>
      <c r="O1654" s="11" t="str">
        <f aca="false">IF(K1654&lt;=StockP33,"Low",IF(K1654&lt;=StockP67,"Moderate","High"))</f>
        <v>Moderate</v>
      </c>
      <c r="P1654" s="11" t="str">
        <f aca="false">IF(H1654=0,"Low",IF(H1654&lt;=MarkdownP75,"Moderate","High"))</f>
        <v>Low</v>
      </c>
      <c r="Q1654" s="11" t="str">
        <f aca="false">IF(ISBLANK(L1654),"Unknown",IF(L1654&gt;=4,"Good",IF(L1654&lt;=2,"Poor","Neutral")))</f>
        <v>Neutral</v>
      </c>
      <c r="R1654" s="11" t="str">
        <f aca="false">IF(AND(O1654="Low",P1654="Low",Q1654="Good"),"BUY / PRIORITIZE",IF(AND(O1654="High",P1654="High",OR(Q1654="Poor",M1654=TRUE())),"HOLD / REVIEW","MONITOR"))</f>
        <v>MONITOR</v>
      </c>
      <c r="S1654" s="11" t="n">
        <f aca="false">K1654+(ROW()/10000000)</f>
        <v>27.0001654</v>
      </c>
    </row>
    <row r="1655" customFormat="false" ht="15" hidden="false" customHeight="false" outlineLevel="0" collapsed="false">
      <c r="A1655" s="11" t="s">
        <v>1995</v>
      </c>
      <c r="B1655" s="11" t="s">
        <v>27</v>
      </c>
      <c r="C1655" s="11" t="s">
        <v>116</v>
      </c>
      <c r="D1655" s="11" t="s">
        <v>34</v>
      </c>
      <c r="E1655" s="11" t="s">
        <v>110</v>
      </c>
      <c r="F1655" s="11" t="s">
        <v>96</v>
      </c>
      <c r="G1655" s="21" t="n">
        <v>93.68</v>
      </c>
      <c r="H1655" s="19" t="n">
        <v>59.5</v>
      </c>
      <c r="I1655" s="21" t="n">
        <v>37.94</v>
      </c>
      <c r="J1655" s="22" t="s">
        <v>1996</v>
      </c>
      <c r="K1655" s="11" t="n">
        <v>21</v>
      </c>
      <c r="L1655" s="23"/>
      <c r="M1655" s="24" t="b">
        <f aca="false">FALSE()</f>
        <v>0</v>
      </c>
      <c r="N1655" s="11"/>
      <c r="O1655" s="11" t="str">
        <f aca="false">IF(K1655&lt;=StockP33,"Low",IF(K1655&lt;=StockP67,"Moderate","High"))</f>
        <v>Moderate</v>
      </c>
      <c r="P1655" s="11" t="str">
        <f aca="false">IF(H1655=0,"Low",IF(H1655&lt;=MarkdownP75,"Moderate","High"))</f>
        <v>High</v>
      </c>
      <c r="Q1655" s="11" t="str">
        <f aca="false">IF(ISBLANK(L1655),"Unknown",IF(L1655&gt;=4,"Good",IF(L1655&lt;=2,"Poor","Neutral")))</f>
        <v>Unknown</v>
      </c>
      <c r="R1655" s="11" t="str">
        <f aca="false">IF(AND(O1655="Low",P1655="Low",Q1655="Good"),"BUY / PRIORITIZE",IF(AND(O1655="High",P1655="High",OR(Q1655="Poor",M1655=TRUE())),"HOLD / REVIEW","MONITOR"))</f>
        <v>MONITOR</v>
      </c>
      <c r="S1655" s="11" t="n">
        <f aca="false">K1655+(ROW()/10000000)</f>
        <v>21.0001655</v>
      </c>
    </row>
    <row r="1656" customFormat="false" ht="15" hidden="false" customHeight="false" outlineLevel="0" collapsed="false">
      <c r="A1656" s="11" t="s">
        <v>1997</v>
      </c>
      <c r="B1656" s="11" t="s">
        <v>30</v>
      </c>
      <c r="C1656" s="11" t="s">
        <v>77</v>
      </c>
      <c r="D1656" s="11" t="s">
        <v>35</v>
      </c>
      <c r="E1656" s="11" t="s">
        <v>91</v>
      </c>
      <c r="F1656" s="11" t="s">
        <v>74</v>
      </c>
      <c r="G1656" s="21" t="n">
        <v>50.49</v>
      </c>
      <c r="H1656" s="19" t="n">
        <v>0</v>
      </c>
      <c r="I1656" s="21" t="n">
        <v>50.49</v>
      </c>
      <c r="J1656" s="22" t="s">
        <v>80</v>
      </c>
      <c r="K1656" s="11" t="n">
        <v>30</v>
      </c>
      <c r="L1656" s="23" t="n">
        <v>4.1</v>
      </c>
      <c r="M1656" s="24" t="b">
        <f aca="false">FALSE()</f>
        <v>0</v>
      </c>
      <c r="N1656" s="11"/>
      <c r="O1656" s="11" t="str">
        <f aca="false">IF(K1656&lt;=StockP33,"Low",IF(K1656&lt;=StockP67,"Moderate","High"))</f>
        <v>Moderate</v>
      </c>
      <c r="P1656" s="11" t="str">
        <f aca="false">IF(H1656=0,"Low",IF(H1656&lt;=MarkdownP75,"Moderate","High"))</f>
        <v>Low</v>
      </c>
      <c r="Q1656" s="11" t="str">
        <f aca="false">IF(ISBLANK(L1656),"Unknown",IF(L1656&gt;=4,"Good",IF(L1656&lt;=2,"Poor","Neutral")))</f>
        <v>Good</v>
      </c>
      <c r="R1656" s="11" t="str">
        <f aca="false">IF(AND(O1656="Low",P1656="Low",Q1656="Good"),"BUY / PRIORITIZE",IF(AND(O1656="High",P1656="High",OR(Q1656="Poor",M1656=TRUE())),"HOLD / REVIEW","MONITOR"))</f>
        <v>MONITOR</v>
      </c>
      <c r="S1656" s="11" t="n">
        <f aca="false">K1656+(ROW()/10000000)</f>
        <v>30.0001656</v>
      </c>
    </row>
    <row r="1657" customFormat="false" ht="15" hidden="false" customHeight="false" outlineLevel="0" collapsed="false">
      <c r="A1657" s="11" t="s">
        <v>1998</v>
      </c>
      <c r="B1657" s="11" t="s">
        <v>29</v>
      </c>
      <c r="C1657" s="11" t="s">
        <v>95</v>
      </c>
      <c r="D1657" s="11" t="s">
        <v>35</v>
      </c>
      <c r="E1657" s="11" t="s">
        <v>110</v>
      </c>
      <c r="F1657" s="11" t="s">
        <v>88</v>
      </c>
      <c r="G1657" s="21" t="n">
        <v>97.9</v>
      </c>
      <c r="H1657" s="19" t="n">
        <v>0</v>
      </c>
      <c r="I1657" s="21" t="n">
        <v>97.9</v>
      </c>
      <c r="J1657" s="22" t="s">
        <v>80</v>
      </c>
      <c r="K1657" s="11" t="n">
        <v>29</v>
      </c>
      <c r="L1657" s="23" t="n">
        <v>1.3</v>
      </c>
      <c r="M1657" s="24" t="b">
        <f aca="false">FALSE()</f>
        <v>0</v>
      </c>
      <c r="N1657" s="11"/>
      <c r="O1657" s="11" t="str">
        <f aca="false">IF(K1657&lt;=StockP33,"Low",IF(K1657&lt;=StockP67,"Moderate","High"))</f>
        <v>Moderate</v>
      </c>
      <c r="P1657" s="11" t="str">
        <f aca="false">IF(H1657=0,"Low",IF(H1657&lt;=MarkdownP75,"Moderate","High"))</f>
        <v>Low</v>
      </c>
      <c r="Q1657" s="11" t="str">
        <f aca="false">IF(ISBLANK(L1657),"Unknown",IF(L1657&gt;=4,"Good",IF(L1657&lt;=2,"Poor","Neutral")))</f>
        <v>Poor</v>
      </c>
      <c r="R1657" s="11" t="str">
        <f aca="false">IF(AND(O1657="Low",P1657="Low",Q1657="Good"),"BUY / PRIORITIZE",IF(AND(O1657="High",P1657="High",OR(Q1657="Poor",M1657=TRUE())),"HOLD / REVIEW","MONITOR"))</f>
        <v>MONITOR</v>
      </c>
      <c r="S1657" s="11" t="n">
        <f aca="false">K1657+(ROW()/10000000)</f>
        <v>29.0001657</v>
      </c>
    </row>
    <row r="1658" customFormat="false" ht="15" hidden="false" customHeight="false" outlineLevel="0" collapsed="false">
      <c r="A1658" s="11" t="s">
        <v>1999</v>
      </c>
      <c r="B1658" s="11" t="s">
        <v>30</v>
      </c>
      <c r="C1658" s="11" t="s">
        <v>77</v>
      </c>
      <c r="D1658" s="11" t="s">
        <v>35</v>
      </c>
      <c r="E1658" s="11" t="s">
        <v>91</v>
      </c>
      <c r="F1658" s="11" t="s">
        <v>92</v>
      </c>
      <c r="G1658" s="21" t="n">
        <v>69</v>
      </c>
      <c r="H1658" s="19" t="n">
        <v>0</v>
      </c>
      <c r="I1658" s="21" t="n">
        <v>69</v>
      </c>
      <c r="J1658" s="22" t="s">
        <v>80</v>
      </c>
      <c r="K1658" s="11" t="n">
        <v>32</v>
      </c>
      <c r="L1658" s="23" t="n">
        <v>4.5</v>
      </c>
      <c r="M1658" s="24" t="b">
        <f aca="false">FALSE()</f>
        <v>0</v>
      </c>
      <c r="N1658" s="11"/>
      <c r="O1658" s="11" t="str">
        <f aca="false">IF(K1658&lt;=StockP33,"Low",IF(K1658&lt;=StockP67,"Moderate","High"))</f>
        <v>Moderate</v>
      </c>
      <c r="P1658" s="11" t="str">
        <f aca="false">IF(H1658=0,"Low",IF(H1658&lt;=MarkdownP75,"Moderate","High"))</f>
        <v>Low</v>
      </c>
      <c r="Q1658" s="11" t="str">
        <f aca="false">IF(ISBLANK(L1658),"Unknown",IF(L1658&gt;=4,"Good",IF(L1658&lt;=2,"Poor","Neutral")))</f>
        <v>Good</v>
      </c>
      <c r="R1658" s="11" t="str">
        <f aca="false">IF(AND(O1658="Low",P1658="Low",Q1658="Good"),"BUY / PRIORITIZE",IF(AND(O1658="High",P1658="High",OR(Q1658="Poor",M1658=TRUE())),"HOLD / REVIEW","MONITOR"))</f>
        <v>MONITOR</v>
      </c>
      <c r="S1658" s="11" t="n">
        <f aca="false">K1658+(ROW()/10000000)</f>
        <v>32.0001658</v>
      </c>
    </row>
    <row r="1659" customFormat="false" ht="15" hidden="false" customHeight="false" outlineLevel="0" collapsed="false">
      <c r="A1659" s="11" t="s">
        <v>2000</v>
      </c>
      <c r="B1659" s="11" t="s">
        <v>8</v>
      </c>
      <c r="C1659" s="11" t="s">
        <v>95</v>
      </c>
      <c r="D1659" s="11" t="s">
        <v>36</v>
      </c>
      <c r="E1659" s="11"/>
      <c r="F1659" s="11" t="s">
        <v>120</v>
      </c>
      <c r="G1659" s="21" t="n">
        <v>30.2</v>
      </c>
      <c r="H1659" s="19" t="n">
        <v>27.1</v>
      </c>
      <c r="I1659" s="21" t="n">
        <v>22.02</v>
      </c>
      <c r="J1659" s="22" t="s">
        <v>80</v>
      </c>
      <c r="K1659" s="11" t="n">
        <v>15</v>
      </c>
      <c r="L1659" s="23"/>
      <c r="M1659" s="24" t="b">
        <f aca="false">FALSE()</f>
        <v>0</v>
      </c>
      <c r="N1659" s="11"/>
      <c r="O1659" s="11" t="str">
        <f aca="false">IF(K1659&lt;=StockP33,"Low",IF(K1659&lt;=StockP67,"Moderate","High"))</f>
        <v>Low</v>
      </c>
      <c r="P1659" s="11" t="str">
        <f aca="false">IF(H1659=0,"Low",IF(H1659&lt;=MarkdownP75,"Moderate","High"))</f>
        <v>High</v>
      </c>
      <c r="Q1659" s="11" t="str">
        <f aca="false">IF(ISBLANK(L1659),"Unknown",IF(L1659&gt;=4,"Good",IF(L1659&lt;=2,"Poor","Neutral")))</f>
        <v>Unknown</v>
      </c>
      <c r="R1659" s="11" t="str">
        <f aca="false">IF(AND(O1659="Low",P1659="Low",Q1659="Good"),"BUY / PRIORITIZE",IF(AND(O1659="High",P1659="High",OR(Q1659="Poor",M1659=TRUE())),"HOLD / REVIEW","MONITOR"))</f>
        <v>MONITOR</v>
      </c>
      <c r="S1659" s="11" t="n">
        <f aca="false">K1659+(ROW()/10000000)</f>
        <v>15.0001659</v>
      </c>
    </row>
    <row r="1660" customFormat="false" ht="15" hidden="false" customHeight="false" outlineLevel="0" collapsed="false">
      <c r="A1660" s="11" t="s">
        <v>2001</v>
      </c>
      <c r="B1660" s="11" t="s">
        <v>30</v>
      </c>
      <c r="C1660" s="11" t="s">
        <v>86</v>
      </c>
      <c r="D1660" s="11" t="s">
        <v>37</v>
      </c>
      <c r="E1660" s="11" t="s">
        <v>78</v>
      </c>
      <c r="F1660" s="11" t="s">
        <v>111</v>
      </c>
      <c r="G1660" s="21" t="n">
        <v>84.92</v>
      </c>
      <c r="H1660" s="19" t="n">
        <v>59.1</v>
      </c>
      <c r="I1660" s="21" t="n">
        <v>34.73</v>
      </c>
      <c r="J1660" s="22" t="s">
        <v>80</v>
      </c>
      <c r="K1660" s="11" t="n">
        <v>42</v>
      </c>
      <c r="L1660" s="23"/>
      <c r="M1660" s="24" t="b">
        <f aca="false">FALSE()</f>
        <v>0</v>
      </c>
      <c r="N1660" s="11"/>
      <c r="O1660" s="11" t="str">
        <f aca="false">IF(K1660&lt;=StockP33,"Low",IF(K1660&lt;=StockP67,"Moderate","High"))</f>
        <v>High</v>
      </c>
      <c r="P1660" s="11" t="str">
        <f aca="false">IF(H1660=0,"Low",IF(H1660&lt;=MarkdownP75,"Moderate","High"))</f>
        <v>High</v>
      </c>
      <c r="Q1660" s="11" t="str">
        <f aca="false">IF(ISBLANK(L1660),"Unknown",IF(L1660&gt;=4,"Good",IF(L1660&lt;=2,"Poor","Neutral")))</f>
        <v>Unknown</v>
      </c>
      <c r="R1660" s="11" t="str">
        <f aca="false">IF(AND(O1660="Low",P1660="Low",Q1660="Good"),"BUY / PRIORITIZE",IF(AND(O1660="High",P1660="High",OR(Q1660="Poor",M1660=TRUE())),"HOLD / REVIEW","MONITOR"))</f>
        <v>MONITOR</v>
      </c>
      <c r="S1660" s="11" t="n">
        <f aca="false">K1660+(ROW()/10000000)</f>
        <v>42.000166</v>
      </c>
    </row>
    <row r="1661" customFormat="false" ht="15" hidden="false" customHeight="false" outlineLevel="0" collapsed="false">
      <c r="A1661" s="11" t="s">
        <v>2002</v>
      </c>
      <c r="B1661" s="11" t="s">
        <v>30</v>
      </c>
      <c r="C1661" s="11" t="s">
        <v>130</v>
      </c>
      <c r="D1661" s="11" t="s">
        <v>36</v>
      </c>
      <c r="E1661" s="11" t="s">
        <v>110</v>
      </c>
      <c r="F1661" s="11" t="s">
        <v>88</v>
      </c>
      <c r="G1661" s="21" t="n">
        <v>116.48</v>
      </c>
      <c r="H1661" s="19" t="n">
        <v>0</v>
      </c>
      <c r="I1661" s="21" t="n">
        <v>116.48</v>
      </c>
      <c r="J1661" s="22" t="s">
        <v>80</v>
      </c>
      <c r="K1661" s="11" t="n">
        <v>3</v>
      </c>
      <c r="L1661" s="23" t="n">
        <v>1.5</v>
      </c>
      <c r="M1661" s="24" t="b">
        <f aca="false">FALSE()</f>
        <v>0</v>
      </c>
      <c r="N1661" s="11"/>
      <c r="O1661" s="11" t="str">
        <f aca="false">IF(K1661&lt;=StockP33,"Low",IF(K1661&lt;=StockP67,"Moderate","High"))</f>
        <v>Low</v>
      </c>
      <c r="P1661" s="11" t="str">
        <f aca="false">IF(H1661=0,"Low",IF(H1661&lt;=MarkdownP75,"Moderate","High"))</f>
        <v>Low</v>
      </c>
      <c r="Q1661" s="11" t="str">
        <f aca="false">IF(ISBLANK(L1661),"Unknown",IF(L1661&gt;=4,"Good",IF(L1661&lt;=2,"Poor","Neutral")))</f>
        <v>Poor</v>
      </c>
      <c r="R1661" s="11" t="str">
        <f aca="false">IF(AND(O1661="Low",P1661="Low",Q1661="Good"),"BUY / PRIORITIZE",IF(AND(O1661="High",P1661="High",OR(Q1661="Poor",M1661=TRUE())),"HOLD / REVIEW","MONITOR"))</f>
        <v>MONITOR</v>
      </c>
      <c r="S1661" s="11" t="n">
        <f aca="false">K1661+(ROW()/10000000)</f>
        <v>3.0001661</v>
      </c>
    </row>
    <row r="1662" customFormat="false" ht="15" hidden="false" customHeight="false" outlineLevel="0" collapsed="false">
      <c r="A1662" s="11" t="s">
        <v>2003</v>
      </c>
      <c r="B1662" s="11" t="s">
        <v>30</v>
      </c>
      <c r="C1662" s="11" t="s">
        <v>101</v>
      </c>
      <c r="D1662" s="11" t="s">
        <v>35</v>
      </c>
      <c r="E1662" s="11" t="s">
        <v>73</v>
      </c>
      <c r="F1662" s="11" t="s">
        <v>118</v>
      </c>
      <c r="G1662" s="21" t="n">
        <v>40.68</v>
      </c>
      <c r="H1662" s="19" t="n">
        <v>0</v>
      </c>
      <c r="I1662" s="21" t="n">
        <v>40.68</v>
      </c>
      <c r="J1662" s="22" t="s">
        <v>80</v>
      </c>
      <c r="K1662" s="11" t="n">
        <v>41</v>
      </c>
      <c r="L1662" s="23" t="n">
        <v>1.1</v>
      </c>
      <c r="M1662" s="24" t="b">
        <f aca="false">TRUE()</f>
        <v>1</v>
      </c>
      <c r="N1662" s="11" t="s">
        <v>178</v>
      </c>
      <c r="O1662" s="11" t="str">
        <f aca="false">IF(K1662&lt;=StockP33,"Low",IF(K1662&lt;=StockP67,"Moderate","High"))</f>
        <v>High</v>
      </c>
      <c r="P1662" s="11" t="str">
        <f aca="false">IF(H1662=0,"Low",IF(H1662&lt;=MarkdownP75,"Moderate","High"))</f>
        <v>Low</v>
      </c>
      <c r="Q1662" s="11" t="str">
        <f aca="false">IF(ISBLANK(L1662),"Unknown",IF(L1662&gt;=4,"Good",IF(L1662&lt;=2,"Poor","Neutral")))</f>
        <v>Poor</v>
      </c>
      <c r="R1662" s="11" t="str">
        <f aca="false">IF(AND(O1662="Low",P1662="Low",Q1662="Good"),"BUY / PRIORITIZE",IF(AND(O1662="High",P1662="High",OR(Q1662="Poor",M1662=TRUE())),"HOLD / REVIEW","MONITOR"))</f>
        <v>MONITOR</v>
      </c>
      <c r="S1662" s="11" t="n">
        <f aca="false">K1662+(ROW()/10000000)</f>
        <v>41.0001662</v>
      </c>
    </row>
    <row r="1663" customFormat="false" ht="15" hidden="false" customHeight="false" outlineLevel="0" collapsed="false">
      <c r="A1663" s="11" t="s">
        <v>2004</v>
      </c>
      <c r="B1663" s="11" t="s">
        <v>28</v>
      </c>
      <c r="C1663" s="11" t="s">
        <v>107</v>
      </c>
      <c r="D1663" s="11" t="s">
        <v>35</v>
      </c>
      <c r="E1663" s="11" t="s">
        <v>73</v>
      </c>
      <c r="F1663" s="11" t="s">
        <v>82</v>
      </c>
      <c r="G1663" s="21" t="n">
        <v>118.92</v>
      </c>
      <c r="H1663" s="19" t="n">
        <v>0</v>
      </c>
      <c r="I1663" s="21" t="n">
        <v>118.92</v>
      </c>
      <c r="J1663" s="22" t="s">
        <v>80</v>
      </c>
      <c r="K1663" s="11" t="n">
        <v>36</v>
      </c>
      <c r="L1663" s="23" t="n">
        <v>1.8</v>
      </c>
      <c r="M1663" s="24" t="b">
        <f aca="false">TRUE()</f>
        <v>1</v>
      </c>
      <c r="N1663" s="11" t="s">
        <v>191</v>
      </c>
      <c r="O1663" s="11" t="str">
        <f aca="false">IF(K1663&lt;=StockP33,"Low",IF(K1663&lt;=StockP67,"Moderate","High"))</f>
        <v>High</v>
      </c>
      <c r="P1663" s="11" t="str">
        <f aca="false">IF(H1663=0,"Low",IF(H1663&lt;=MarkdownP75,"Moderate","High"))</f>
        <v>Low</v>
      </c>
      <c r="Q1663" s="11" t="str">
        <f aca="false">IF(ISBLANK(L1663),"Unknown",IF(L1663&gt;=4,"Good",IF(L1663&lt;=2,"Poor","Neutral")))</f>
        <v>Poor</v>
      </c>
      <c r="R1663" s="11" t="str">
        <f aca="false">IF(AND(O1663="Low",P1663="Low",Q1663="Good"),"BUY / PRIORITIZE",IF(AND(O1663="High",P1663="High",OR(Q1663="Poor",M1663=TRUE())),"HOLD / REVIEW","MONITOR"))</f>
        <v>MONITOR</v>
      </c>
      <c r="S1663" s="11" t="n">
        <f aca="false">K1663+(ROW()/10000000)</f>
        <v>36.0001663</v>
      </c>
    </row>
    <row r="1664" customFormat="false" ht="15" hidden="false" customHeight="false" outlineLevel="0" collapsed="false">
      <c r="A1664" s="11" t="s">
        <v>2005</v>
      </c>
      <c r="B1664" s="11" t="s">
        <v>26</v>
      </c>
      <c r="C1664" s="11" t="s">
        <v>107</v>
      </c>
      <c r="D1664" s="11" t="s">
        <v>35</v>
      </c>
      <c r="E1664" s="11" t="s">
        <v>102</v>
      </c>
      <c r="F1664" s="11" t="s">
        <v>82</v>
      </c>
      <c r="G1664" s="21" t="n">
        <v>26.86</v>
      </c>
      <c r="H1664" s="19" t="n">
        <v>0</v>
      </c>
      <c r="I1664" s="21" t="n">
        <v>26.86</v>
      </c>
      <c r="J1664" s="22" t="s">
        <v>80</v>
      </c>
      <c r="K1664" s="11" t="n">
        <v>18</v>
      </c>
      <c r="L1664" s="23" t="n">
        <v>3.2</v>
      </c>
      <c r="M1664" s="24" t="b">
        <f aca="false">FALSE()</f>
        <v>0</v>
      </c>
      <c r="N1664" s="11"/>
      <c r="O1664" s="11" t="str">
        <f aca="false">IF(K1664&lt;=StockP33,"Low",IF(K1664&lt;=StockP67,"Moderate","High"))</f>
        <v>Moderate</v>
      </c>
      <c r="P1664" s="11" t="str">
        <f aca="false">IF(H1664=0,"Low",IF(H1664&lt;=MarkdownP75,"Moderate","High"))</f>
        <v>Low</v>
      </c>
      <c r="Q1664" s="11" t="str">
        <f aca="false">IF(ISBLANK(L1664),"Unknown",IF(L1664&gt;=4,"Good",IF(L1664&lt;=2,"Poor","Neutral")))</f>
        <v>Neutral</v>
      </c>
      <c r="R1664" s="11" t="str">
        <f aca="false">IF(AND(O1664="Low",P1664="Low",Q1664="Good"),"BUY / PRIORITIZE",IF(AND(O1664="High",P1664="High",OR(Q1664="Poor",M1664=TRUE())),"HOLD / REVIEW","MONITOR"))</f>
        <v>MONITOR</v>
      </c>
      <c r="S1664" s="11" t="n">
        <f aca="false">K1664+(ROW()/10000000)</f>
        <v>18.0001664</v>
      </c>
    </row>
    <row r="1665" customFormat="false" ht="15" hidden="false" customHeight="false" outlineLevel="0" collapsed="false">
      <c r="A1665" s="11" t="s">
        <v>2006</v>
      </c>
      <c r="B1665" s="11" t="s">
        <v>27</v>
      </c>
      <c r="C1665" s="11" t="s">
        <v>86</v>
      </c>
      <c r="D1665" s="11" t="s">
        <v>36</v>
      </c>
      <c r="E1665" s="11" t="s">
        <v>91</v>
      </c>
      <c r="F1665" s="11" t="s">
        <v>98</v>
      </c>
      <c r="G1665" s="21" t="n">
        <v>113.34</v>
      </c>
      <c r="H1665" s="19" t="n">
        <v>0</v>
      </c>
      <c r="I1665" s="21" t="n">
        <v>113.34</v>
      </c>
      <c r="J1665" s="22" t="s">
        <v>80</v>
      </c>
      <c r="K1665" s="11" t="n">
        <v>13</v>
      </c>
      <c r="L1665" s="23"/>
      <c r="M1665" s="24" t="b">
        <f aca="false">FALSE()</f>
        <v>0</v>
      </c>
      <c r="N1665" s="11"/>
      <c r="O1665" s="11" t="str">
        <f aca="false">IF(K1665&lt;=StockP33,"Low",IF(K1665&lt;=StockP67,"Moderate","High"))</f>
        <v>Low</v>
      </c>
      <c r="P1665" s="11" t="str">
        <f aca="false">IF(H1665=0,"Low",IF(H1665&lt;=MarkdownP75,"Moderate","High"))</f>
        <v>Low</v>
      </c>
      <c r="Q1665" s="11" t="str">
        <f aca="false">IF(ISBLANK(L1665),"Unknown",IF(L1665&gt;=4,"Good",IF(L1665&lt;=2,"Poor","Neutral")))</f>
        <v>Unknown</v>
      </c>
      <c r="R1665" s="11" t="str">
        <f aca="false">IF(AND(O1665="Low",P1665="Low",Q1665="Good"),"BUY / PRIORITIZE",IF(AND(O1665="High",P1665="High",OR(Q1665="Poor",M1665=TRUE())),"HOLD / REVIEW","MONITOR"))</f>
        <v>MONITOR</v>
      </c>
      <c r="S1665" s="11" t="n">
        <f aca="false">K1665+(ROW()/10000000)</f>
        <v>13.0001665</v>
      </c>
    </row>
    <row r="1666" customFormat="false" ht="15" hidden="false" customHeight="false" outlineLevel="0" collapsed="false">
      <c r="A1666" s="11" t="s">
        <v>2007</v>
      </c>
      <c r="B1666" s="11" t="s">
        <v>30</v>
      </c>
      <c r="C1666" s="11" t="s">
        <v>116</v>
      </c>
      <c r="D1666" s="11" t="s">
        <v>35</v>
      </c>
      <c r="E1666" s="11" t="s">
        <v>78</v>
      </c>
      <c r="F1666" s="11" t="s">
        <v>82</v>
      </c>
      <c r="G1666" s="21" t="n">
        <v>40.52</v>
      </c>
      <c r="H1666" s="19" t="n">
        <v>8.9</v>
      </c>
      <c r="I1666" s="21" t="n">
        <v>36.91</v>
      </c>
      <c r="J1666" s="22" t="s">
        <v>80</v>
      </c>
      <c r="K1666" s="11" t="n">
        <v>13</v>
      </c>
      <c r="L1666" s="23" t="n">
        <v>2.5</v>
      </c>
      <c r="M1666" s="24" t="b">
        <f aca="false">FALSE()</f>
        <v>0</v>
      </c>
      <c r="N1666" s="11"/>
      <c r="O1666" s="11" t="str">
        <f aca="false">IF(K1666&lt;=StockP33,"Low",IF(K1666&lt;=StockP67,"Moderate","High"))</f>
        <v>Low</v>
      </c>
      <c r="P1666" s="11" t="str">
        <f aca="false">IF(H1666=0,"Low",IF(H1666&lt;=MarkdownP75,"Moderate","High"))</f>
        <v>Moderate</v>
      </c>
      <c r="Q1666" s="11" t="str">
        <f aca="false">IF(ISBLANK(L1666),"Unknown",IF(L1666&gt;=4,"Good",IF(L1666&lt;=2,"Poor","Neutral")))</f>
        <v>Neutral</v>
      </c>
      <c r="R1666" s="11" t="str">
        <f aca="false">IF(AND(O1666="Low",P1666="Low",Q1666="Good"),"BUY / PRIORITIZE",IF(AND(O1666="High",P1666="High",OR(Q1666="Poor",M1666=TRUE())),"HOLD / REVIEW","MONITOR"))</f>
        <v>MONITOR</v>
      </c>
      <c r="S1666" s="11" t="n">
        <f aca="false">K1666+(ROW()/10000000)</f>
        <v>13.0001666</v>
      </c>
    </row>
    <row r="1667" customFormat="false" ht="15" hidden="false" customHeight="false" outlineLevel="0" collapsed="false">
      <c r="A1667" s="11" t="s">
        <v>2008</v>
      </c>
      <c r="B1667" s="11" t="s">
        <v>26</v>
      </c>
      <c r="C1667" s="11" t="s">
        <v>130</v>
      </c>
      <c r="D1667" s="11" t="s">
        <v>35</v>
      </c>
      <c r="E1667" s="11" t="s">
        <v>78</v>
      </c>
      <c r="F1667" s="11" t="s">
        <v>79</v>
      </c>
      <c r="G1667" s="21" t="n">
        <v>98.41</v>
      </c>
      <c r="H1667" s="19" t="n">
        <v>0</v>
      </c>
      <c r="I1667" s="21" t="n">
        <v>98.41</v>
      </c>
      <c r="J1667" s="22" t="s">
        <v>80</v>
      </c>
      <c r="K1667" s="11" t="n">
        <v>7</v>
      </c>
      <c r="L1667" s="23" t="n">
        <v>4.6</v>
      </c>
      <c r="M1667" s="24" t="b">
        <f aca="false">FALSE()</f>
        <v>0</v>
      </c>
      <c r="N1667" s="11"/>
      <c r="O1667" s="11" t="str">
        <f aca="false">IF(K1667&lt;=StockP33,"Low",IF(K1667&lt;=StockP67,"Moderate","High"))</f>
        <v>Low</v>
      </c>
      <c r="P1667" s="11" t="str">
        <f aca="false">IF(H1667=0,"Low",IF(H1667&lt;=MarkdownP75,"Moderate","High"))</f>
        <v>Low</v>
      </c>
      <c r="Q1667" s="11" t="str">
        <f aca="false">IF(ISBLANK(L1667),"Unknown",IF(L1667&gt;=4,"Good",IF(L1667&lt;=2,"Poor","Neutral")))</f>
        <v>Good</v>
      </c>
      <c r="R1667" s="11" t="str">
        <f aca="false">IF(AND(O1667="Low",P1667="Low",Q1667="Good"),"BUY / PRIORITIZE",IF(AND(O1667="High",P1667="High",OR(Q1667="Poor",M1667=TRUE())),"HOLD / REVIEW","MONITOR"))</f>
        <v>BUY / PRIORITIZE</v>
      </c>
      <c r="S1667" s="11" t="n">
        <f aca="false">K1667+(ROW()/10000000)</f>
        <v>7.0001667</v>
      </c>
    </row>
    <row r="1668" customFormat="false" ht="15" hidden="false" customHeight="false" outlineLevel="0" collapsed="false">
      <c r="A1668" s="11" t="s">
        <v>2009</v>
      </c>
      <c r="B1668" s="11" t="s">
        <v>26</v>
      </c>
      <c r="C1668" s="11" t="s">
        <v>130</v>
      </c>
      <c r="D1668" s="11" t="s">
        <v>37</v>
      </c>
      <c r="E1668" s="11" t="s">
        <v>110</v>
      </c>
      <c r="F1668" s="11" t="s">
        <v>74</v>
      </c>
      <c r="G1668" s="21" t="n">
        <v>83.18</v>
      </c>
      <c r="H1668" s="19" t="n">
        <v>0</v>
      </c>
      <c r="I1668" s="21" t="n">
        <v>83.18</v>
      </c>
      <c r="J1668" s="22" t="s">
        <v>80</v>
      </c>
      <c r="K1668" s="11" t="n">
        <v>17</v>
      </c>
      <c r="L1668" s="23" t="n">
        <v>1.7</v>
      </c>
      <c r="M1668" s="24" t="b">
        <f aca="false">TRUE()</f>
        <v>1</v>
      </c>
      <c r="N1668" s="11" t="s">
        <v>128</v>
      </c>
      <c r="O1668" s="11" t="str">
        <f aca="false">IF(K1668&lt;=StockP33,"Low",IF(K1668&lt;=StockP67,"Moderate","High"))</f>
        <v>Low</v>
      </c>
      <c r="P1668" s="11" t="str">
        <f aca="false">IF(H1668=0,"Low",IF(H1668&lt;=MarkdownP75,"Moderate","High"))</f>
        <v>Low</v>
      </c>
      <c r="Q1668" s="11" t="str">
        <f aca="false">IF(ISBLANK(L1668),"Unknown",IF(L1668&gt;=4,"Good",IF(L1668&lt;=2,"Poor","Neutral")))</f>
        <v>Poor</v>
      </c>
      <c r="R1668" s="11" t="str">
        <f aca="false">IF(AND(O1668="Low",P1668="Low",Q1668="Good"),"BUY / PRIORITIZE",IF(AND(O1668="High",P1668="High",OR(Q1668="Poor",M1668=TRUE())),"HOLD / REVIEW","MONITOR"))</f>
        <v>MONITOR</v>
      </c>
      <c r="S1668" s="11" t="n">
        <f aca="false">K1668+(ROW()/10000000)</f>
        <v>17.0001668</v>
      </c>
    </row>
    <row r="1669" customFormat="false" ht="15" hidden="false" customHeight="false" outlineLevel="0" collapsed="false">
      <c r="A1669" s="11" t="s">
        <v>2010</v>
      </c>
      <c r="B1669" s="11" t="s">
        <v>29</v>
      </c>
      <c r="C1669" s="11" t="s">
        <v>101</v>
      </c>
      <c r="D1669" s="11" t="s">
        <v>34</v>
      </c>
      <c r="E1669" s="11" t="s">
        <v>102</v>
      </c>
      <c r="F1669" s="11" t="s">
        <v>120</v>
      </c>
      <c r="G1669" s="21" t="n">
        <v>179.31</v>
      </c>
      <c r="H1669" s="19" t="n">
        <v>24.1</v>
      </c>
      <c r="I1669" s="21" t="n">
        <v>136.1</v>
      </c>
      <c r="J1669" s="22" t="s">
        <v>2011</v>
      </c>
      <c r="K1669" s="11" t="n">
        <v>0</v>
      </c>
      <c r="L1669" s="23" t="n">
        <v>3.1</v>
      </c>
      <c r="M1669" s="24" t="b">
        <f aca="false">FALSE()</f>
        <v>0</v>
      </c>
      <c r="N1669" s="11"/>
      <c r="O1669" s="11" t="str">
        <f aca="false">IF(K1669&lt;=StockP33,"Low",IF(K1669&lt;=StockP67,"Moderate","High"))</f>
        <v>Low</v>
      </c>
      <c r="P1669" s="11" t="str">
        <f aca="false">IF(H1669=0,"Low",IF(H1669&lt;=MarkdownP75,"Moderate","High"))</f>
        <v>High</v>
      </c>
      <c r="Q1669" s="11" t="str">
        <f aca="false">IF(ISBLANK(L1669),"Unknown",IF(L1669&gt;=4,"Good",IF(L1669&lt;=2,"Poor","Neutral")))</f>
        <v>Neutral</v>
      </c>
      <c r="R1669" s="11" t="str">
        <f aca="false">IF(AND(O1669="Low",P1669="Low",Q1669="Good"),"BUY / PRIORITIZE",IF(AND(O1669="High",P1669="High",OR(Q1669="Poor",M1669=TRUE())),"HOLD / REVIEW","MONITOR"))</f>
        <v>MONITOR</v>
      </c>
      <c r="S1669" s="11" t="n">
        <f aca="false">K1669+(ROW()/10000000)</f>
        <v>0.0001669</v>
      </c>
    </row>
    <row r="1670" customFormat="false" ht="15" hidden="false" customHeight="false" outlineLevel="0" collapsed="false">
      <c r="A1670" s="11" t="s">
        <v>2012</v>
      </c>
      <c r="B1670" s="11" t="s">
        <v>30</v>
      </c>
      <c r="C1670" s="11" t="s">
        <v>72</v>
      </c>
      <c r="D1670" s="11" t="s">
        <v>34</v>
      </c>
      <c r="E1670" s="11" t="s">
        <v>102</v>
      </c>
      <c r="F1670" s="11" t="s">
        <v>98</v>
      </c>
      <c r="G1670" s="21" t="n">
        <v>47.88</v>
      </c>
      <c r="H1670" s="19" t="n">
        <v>0</v>
      </c>
      <c r="I1670" s="21" t="n">
        <v>47.88</v>
      </c>
      <c r="J1670" s="22" t="s">
        <v>1123</v>
      </c>
      <c r="K1670" s="11" t="n">
        <v>44</v>
      </c>
      <c r="L1670" s="23" t="n">
        <v>1.9</v>
      </c>
      <c r="M1670" s="24" t="b">
        <f aca="false">FALSE()</f>
        <v>0</v>
      </c>
      <c r="N1670" s="11"/>
      <c r="O1670" s="11" t="str">
        <f aca="false">IF(K1670&lt;=StockP33,"Low",IF(K1670&lt;=StockP67,"Moderate","High"))</f>
        <v>High</v>
      </c>
      <c r="P1670" s="11" t="str">
        <f aca="false">IF(H1670=0,"Low",IF(H1670&lt;=MarkdownP75,"Moderate","High"))</f>
        <v>Low</v>
      </c>
      <c r="Q1670" s="11" t="str">
        <f aca="false">IF(ISBLANK(L1670),"Unknown",IF(L1670&gt;=4,"Good",IF(L1670&lt;=2,"Poor","Neutral")))</f>
        <v>Poor</v>
      </c>
      <c r="R1670" s="11" t="str">
        <f aca="false">IF(AND(O1670="Low",P1670="Low",Q1670="Good"),"BUY / PRIORITIZE",IF(AND(O1670="High",P1670="High",OR(Q1670="Poor",M1670=TRUE())),"HOLD / REVIEW","MONITOR"))</f>
        <v>MONITOR</v>
      </c>
      <c r="S1670" s="11" t="n">
        <f aca="false">K1670+(ROW()/10000000)</f>
        <v>44.000167</v>
      </c>
    </row>
    <row r="1671" customFormat="false" ht="15" hidden="false" customHeight="false" outlineLevel="0" collapsed="false">
      <c r="A1671" s="11" t="s">
        <v>2013</v>
      </c>
      <c r="B1671" s="11" t="s">
        <v>28</v>
      </c>
      <c r="C1671" s="11" t="s">
        <v>95</v>
      </c>
      <c r="D1671" s="11" t="s">
        <v>37</v>
      </c>
      <c r="E1671" s="11" t="s">
        <v>73</v>
      </c>
      <c r="F1671" s="11" t="s">
        <v>118</v>
      </c>
      <c r="G1671" s="21" t="n">
        <v>89.26</v>
      </c>
      <c r="H1671" s="19" t="n">
        <v>0</v>
      </c>
      <c r="I1671" s="21" t="n">
        <v>89.26</v>
      </c>
      <c r="J1671" s="22" t="s">
        <v>80</v>
      </c>
      <c r="K1671" s="11" t="n">
        <v>43</v>
      </c>
      <c r="L1671" s="23" t="n">
        <v>3.8</v>
      </c>
      <c r="M1671" s="24" t="b">
        <f aca="false">FALSE()</f>
        <v>0</v>
      </c>
      <c r="N1671" s="11"/>
      <c r="O1671" s="11" t="str">
        <f aca="false">IF(K1671&lt;=StockP33,"Low",IF(K1671&lt;=StockP67,"Moderate","High"))</f>
        <v>High</v>
      </c>
      <c r="P1671" s="11" t="str">
        <f aca="false">IF(H1671=0,"Low",IF(H1671&lt;=MarkdownP75,"Moderate","High"))</f>
        <v>Low</v>
      </c>
      <c r="Q1671" s="11" t="str">
        <f aca="false">IF(ISBLANK(L1671),"Unknown",IF(L1671&gt;=4,"Good",IF(L1671&lt;=2,"Poor","Neutral")))</f>
        <v>Neutral</v>
      </c>
      <c r="R1671" s="11" t="str">
        <f aca="false">IF(AND(O1671="Low",P1671="Low",Q1671="Good"),"BUY / PRIORITIZE",IF(AND(O1671="High",P1671="High",OR(Q1671="Poor",M1671=TRUE())),"HOLD / REVIEW","MONITOR"))</f>
        <v>MONITOR</v>
      </c>
      <c r="S1671" s="11" t="n">
        <f aca="false">K1671+(ROW()/10000000)</f>
        <v>43.0001671</v>
      </c>
    </row>
    <row r="1672" customFormat="false" ht="15" hidden="false" customHeight="false" outlineLevel="0" collapsed="false">
      <c r="A1672" s="11" t="s">
        <v>2014</v>
      </c>
      <c r="B1672" s="11" t="s">
        <v>27</v>
      </c>
      <c r="C1672" s="11" t="s">
        <v>116</v>
      </c>
      <c r="D1672" s="11" t="s">
        <v>35</v>
      </c>
      <c r="E1672" s="11" t="s">
        <v>102</v>
      </c>
      <c r="F1672" s="11" t="s">
        <v>82</v>
      </c>
      <c r="G1672" s="21" t="n">
        <v>114.2</v>
      </c>
      <c r="H1672" s="19" t="n">
        <v>0</v>
      </c>
      <c r="I1672" s="21" t="n">
        <v>114.2</v>
      </c>
      <c r="J1672" s="22" t="s">
        <v>80</v>
      </c>
      <c r="K1672" s="11" t="n">
        <v>15</v>
      </c>
      <c r="L1672" s="23"/>
      <c r="M1672" s="24" t="b">
        <f aca="false">FALSE()</f>
        <v>0</v>
      </c>
      <c r="N1672" s="11"/>
      <c r="O1672" s="11" t="str">
        <f aca="false">IF(K1672&lt;=StockP33,"Low",IF(K1672&lt;=StockP67,"Moderate","High"))</f>
        <v>Low</v>
      </c>
      <c r="P1672" s="11" t="str">
        <f aca="false">IF(H1672=0,"Low",IF(H1672&lt;=MarkdownP75,"Moderate","High"))</f>
        <v>Low</v>
      </c>
      <c r="Q1672" s="11" t="str">
        <f aca="false">IF(ISBLANK(L1672),"Unknown",IF(L1672&gt;=4,"Good",IF(L1672&lt;=2,"Poor","Neutral")))</f>
        <v>Unknown</v>
      </c>
      <c r="R1672" s="11" t="str">
        <f aca="false">IF(AND(O1672="Low",P1672="Low",Q1672="Good"),"BUY / PRIORITIZE",IF(AND(O1672="High",P1672="High",OR(Q1672="Poor",M1672=TRUE())),"HOLD / REVIEW","MONITOR"))</f>
        <v>MONITOR</v>
      </c>
      <c r="S1672" s="11" t="n">
        <f aca="false">K1672+(ROW()/10000000)</f>
        <v>15.0001672</v>
      </c>
    </row>
    <row r="1673" customFormat="false" ht="15" hidden="false" customHeight="false" outlineLevel="0" collapsed="false">
      <c r="A1673" s="11" t="s">
        <v>2015</v>
      </c>
      <c r="B1673" s="11" t="s">
        <v>29</v>
      </c>
      <c r="C1673" s="11" t="s">
        <v>116</v>
      </c>
      <c r="D1673" s="11" t="s">
        <v>35</v>
      </c>
      <c r="E1673" s="11" t="s">
        <v>78</v>
      </c>
      <c r="F1673" s="11" t="s">
        <v>98</v>
      </c>
      <c r="G1673" s="21" t="n">
        <v>169.5</v>
      </c>
      <c r="H1673" s="19" t="n">
        <v>59.7</v>
      </c>
      <c r="I1673" s="21" t="n">
        <v>68.31</v>
      </c>
      <c r="J1673" s="22" t="s">
        <v>80</v>
      </c>
      <c r="K1673" s="11" t="n">
        <v>16</v>
      </c>
      <c r="L1673" s="23" t="n">
        <v>1.8</v>
      </c>
      <c r="M1673" s="24" t="b">
        <f aca="false">FALSE()</f>
        <v>0</v>
      </c>
      <c r="N1673" s="11"/>
      <c r="O1673" s="11" t="str">
        <f aca="false">IF(K1673&lt;=StockP33,"Low",IF(K1673&lt;=StockP67,"Moderate","High"))</f>
        <v>Low</v>
      </c>
      <c r="P1673" s="11" t="str">
        <f aca="false">IF(H1673=0,"Low",IF(H1673&lt;=MarkdownP75,"Moderate","High"))</f>
        <v>High</v>
      </c>
      <c r="Q1673" s="11" t="str">
        <f aca="false">IF(ISBLANK(L1673),"Unknown",IF(L1673&gt;=4,"Good",IF(L1673&lt;=2,"Poor","Neutral")))</f>
        <v>Poor</v>
      </c>
      <c r="R1673" s="11" t="str">
        <f aca="false">IF(AND(O1673="Low",P1673="Low",Q1673="Good"),"BUY / PRIORITIZE",IF(AND(O1673="High",P1673="High",OR(Q1673="Poor",M1673=TRUE())),"HOLD / REVIEW","MONITOR"))</f>
        <v>MONITOR</v>
      </c>
      <c r="S1673" s="11" t="n">
        <f aca="false">K1673+(ROW()/10000000)</f>
        <v>16.0001673</v>
      </c>
    </row>
    <row r="1674" customFormat="false" ht="15" hidden="false" customHeight="false" outlineLevel="0" collapsed="false">
      <c r="A1674" s="11" t="s">
        <v>2016</v>
      </c>
      <c r="B1674" s="11" t="s">
        <v>30</v>
      </c>
      <c r="C1674" s="11" t="s">
        <v>101</v>
      </c>
      <c r="D1674" s="11" t="s">
        <v>36</v>
      </c>
      <c r="E1674" s="11" t="s">
        <v>110</v>
      </c>
      <c r="F1674" s="11" t="s">
        <v>88</v>
      </c>
      <c r="G1674" s="21" t="n">
        <v>77.99</v>
      </c>
      <c r="H1674" s="19" t="n">
        <v>0</v>
      </c>
      <c r="I1674" s="21" t="n">
        <v>77.99</v>
      </c>
      <c r="J1674" s="22" t="s">
        <v>80</v>
      </c>
      <c r="K1674" s="11" t="n">
        <v>42</v>
      </c>
      <c r="L1674" s="23"/>
      <c r="M1674" s="24" t="b">
        <f aca="false">FALSE()</f>
        <v>0</v>
      </c>
      <c r="N1674" s="11"/>
      <c r="O1674" s="11" t="str">
        <f aca="false">IF(K1674&lt;=StockP33,"Low",IF(K1674&lt;=StockP67,"Moderate","High"))</f>
        <v>High</v>
      </c>
      <c r="P1674" s="11" t="str">
        <f aca="false">IF(H1674=0,"Low",IF(H1674&lt;=MarkdownP75,"Moderate","High"))</f>
        <v>Low</v>
      </c>
      <c r="Q1674" s="11" t="str">
        <f aca="false">IF(ISBLANK(L1674),"Unknown",IF(L1674&gt;=4,"Good",IF(L1674&lt;=2,"Poor","Neutral")))</f>
        <v>Unknown</v>
      </c>
      <c r="R1674" s="11" t="str">
        <f aca="false">IF(AND(O1674="Low",P1674="Low",Q1674="Good"),"BUY / PRIORITIZE",IF(AND(O1674="High",P1674="High",OR(Q1674="Poor",M1674=TRUE())),"HOLD / REVIEW","MONITOR"))</f>
        <v>MONITOR</v>
      </c>
      <c r="S1674" s="11" t="n">
        <f aca="false">K1674+(ROW()/10000000)</f>
        <v>42.0001674</v>
      </c>
    </row>
    <row r="1675" customFormat="false" ht="15" hidden="false" customHeight="false" outlineLevel="0" collapsed="false">
      <c r="A1675" s="11" t="s">
        <v>2017</v>
      </c>
      <c r="B1675" s="11" t="s">
        <v>26</v>
      </c>
      <c r="C1675" s="11" t="s">
        <v>107</v>
      </c>
      <c r="D1675" s="11" t="s">
        <v>36</v>
      </c>
      <c r="E1675" s="11"/>
      <c r="F1675" s="11" t="s">
        <v>79</v>
      </c>
      <c r="G1675" s="21" t="n">
        <v>103.77</v>
      </c>
      <c r="H1675" s="19" t="n">
        <v>0</v>
      </c>
      <c r="I1675" s="21" t="n">
        <v>103.77</v>
      </c>
      <c r="J1675" s="22" t="s">
        <v>80</v>
      </c>
      <c r="K1675" s="11" t="n">
        <v>12</v>
      </c>
      <c r="L1675" s="23" t="n">
        <v>4.4</v>
      </c>
      <c r="M1675" s="24" t="b">
        <f aca="false">FALSE()</f>
        <v>0</v>
      </c>
      <c r="N1675" s="11"/>
      <c r="O1675" s="11" t="str">
        <f aca="false">IF(K1675&lt;=StockP33,"Low",IF(K1675&lt;=StockP67,"Moderate","High"))</f>
        <v>Low</v>
      </c>
      <c r="P1675" s="11" t="str">
        <f aca="false">IF(H1675=0,"Low",IF(H1675&lt;=MarkdownP75,"Moderate","High"))</f>
        <v>Low</v>
      </c>
      <c r="Q1675" s="11" t="str">
        <f aca="false">IF(ISBLANK(L1675),"Unknown",IF(L1675&gt;=4,"Good",IF(L1675&lt;=2,"Poor","Neutral")))</f>
        <v>Good</v>
      </c>
      <c r="R1675" s="11" t="str">
        <f aca="false">IF(AND(O1675="Low",P1675="Low",Q1675="Good"),"BUY / PRIORITIZE",IF(AND(O1675="High",P1675="High",OR(Q1675="Poor",M1675=TRUE())),"HOLD / REVIEW","MONITOR"))</f>
        <v>BUY / PRIORITIZE</v>
      </c>
      <c r="S1675" s="11" t="n">
        <f aca="false">K1675+(ROW()/10000000)</f>
        <v>12.0001675</v>
      </c>
    </row>
    <row r="1676" customFormat="false" ht="15" hidden="false" customHeight="false" outlineLevel="0" collapsed="false">
      <c r="A1676" s="11" t="s">
        <v>2018</v>
      </c>
      <c r="B1676" s="11" t="s">
        <v>8</v>
      </c>
      <c r="C1676" s="11" t="s">
        <v>130</v>
      </c>
      <c r="D1676" s="11" t="s">
        <v>36</v>
      </c>
      <c r="E1676" s="11"/>
      <c r="F1676" s="11" t="s">
        <v>82</v>
      </c>
      <c r="G1676" s="21" t="n">
        <v>42.96</v>
      </c>
      <c r="H1676" s="19" t="n">
        <v>0</v>
      </c>
      <c r="I1676" s="21" t="n">
        <v>42.96</v>
      </c>
      <c r="J1676" s="22" t="s">
        <v>80</v>
      </c>
      <c r="K1676" s="11" t="n">
        <v>36</v>
      </c>
      <c r="L1676" s="23" t="n">
        <v>1.1</v>
      </c>
      <c r="M1676" s="24" t="b">
        <f aca="false">FALSE()</f>
        <v>0</v>
      </c>
      <c r="N1676" s="11"/>
      <c r="O1676" s="11" t="str">
        <f aca="false">IF(K1676&lt;=StockP33,"Low",IF(K1676&lt;=StockP67,"Moderate","High"))</f>
        <v>High</v>
      </c>
      <c r="P1676" s="11" t="str">
        <f aca="false">IF(H1676=0,"Low",IF(H1676&lt;=MarkdownP75,"Moderate","High"))</f>
        <v>Low</v>
      </c>
      <c r="Q1676" s="11" t="str">
        <f aca="false">IF(ISBLANK(L1676),"Unknown",IF(L1676&gt;=4,"Good",IF(L1676&lt;=2,"Poor","Neutral")))</f>
        <v>Poor</v>
      </c>
      <c r="R1676" s="11" t="str">
        <f aca="false">IF(AND(O1676="Low",P1676="Low",Q1676="Good"),"BUY / PRIORITIZE",IF(AND(O1676="High",P1676="High",OR(Q1676="Poor",M1676=TRUE())),"HOLD / REVIEW","MONITOR"))</f>
        <v>MONITOR</v>
      </c>
      <c r="S1676" s="11" t="n">
        <f aca="false">K1676+(ROW()/10000000)</f>
        <v>36.0001676</v>
      </c>
    </row>
    <row r="1677" customFormat="false" ht="15" hidden="false" customHeight="false" outlineLevel="0" collapsed="false">
      <c r="A1677" s="11" t="s">
        <v>2019</v>
      </c>
      <c r="B1677" s="11" t="s">
        <v>27</v>
      </c>
      <c r="C1677" s="11" t="s">
        <v>86</v>
      </c>
      <c r="D1677" s="11" t="s">
        <v>36</v>
      </c>
      <c r="E1677" s="11"/>
      <c r="F1677" s="11" t="s">
        <v>124</v>
      </c>
      <c r="G1677" s="21" t="n">
        <v>126.11</v>
      </c>
      <c r="H1677" s="19" t="n">
        <v>0</v>
      </c>
      <c r="I1677" s="21" t="n">
        <v>126.11</v>
      </c>
      <c r="J1677" s="22" t="s">
        <v>80</v>
      </c>
      <c r="K1677" s="11" t="n">
        <v>16</v>
      </c>
      <c r="L1677" s="23" t="n">
        <v>3.5</v>
      </c>
      <c r="M1677" s="24" t="b">
        <f aca="false">FALSE()</f>
        <v>0</v>
      </c>
      <c r="N1677" s="11"/>
      <c r="O1677" s="11" t="str">
        <f aca="false">IF(K1677&lt;=StockP33,"Low",IF(K1677&lt;=StockP67,"Moderate","High"))</f>
        <v>Low</v>
      </c>
      <c r="P1677" s="11" t="str">
        <f aca="false">IF(H1677=0,"Low",IF(H1677&lt;=MarkdownP75,"Moderate","High"))</f>
        <v>Low</v>
      </c>
      <c r="Q1677" s="11" t="str">
        <f aca="false">IF(ISBLANK(L1677),"Unknown",IF(L1677&gt;=4,"Good",IF(L1677&lt;=2,"Poor","Neutral")))</f>
        <v>Neutral</v>
      </c>
      <c r="R1677" s="11" t="str">
        <f aca="false">IF(AND(O1677="Low",P1677="Low",Q1677="Good"),"BUY / PRIORITIZE",IF(AND(O1677="High",P1677="High",OR(Q1677="Poor",M1677=TRUE())),"HOLD / REVIEW","MONITOR"))</f>
        <v>MONITOR</v>
      </c>
      <c r="S1677" s="11" t="n">
        <f aca="false">K1677+(ROW()/10000000)</f>
        <v>16.0001677</v>
      </c>
    </row>
    <row r="1678" customFormat="false" ht="15" hidden="false" customHeight="false" outlineLevel="0" collapsed="false">
      <c r="A1678" s="11" t="s">
        <v>2020</v>
      </c>
      <c r="B1678" s="11" t="s">
        <v>8</v>
      </c>
      <c r="C1678" s="11" t="s">
        <v>86</v>
      </c>
      <c r="D1678" s="11" t="s">
        <v>35</v>
      </c>
      <c r="E1678" s="11"/>
      <c r="F1678" s="11" t="s">
        <v>111</v>
      </c>
      <c r="G1678" s="21" t="n">
        <v>43.83</v>
      </c>
      <c r="H1678" s="19" t="n">
        <v>0</v>
      </c>
      <c r="I1678" s="21" t="n">
        <v>43.83</v>
      </c>
      <c r="J1678" s="22" t="s">
        <v>80</v>
      </c>
      <c r="K1678" s="11" t="n">
        <v>31</v>
      </c>
      <c r="L1678" s="23" t="n">
        <v>2.5</v>
      </c>
      <c r="M1678" s="24" t="b">
        <f aca="false">FALSE()</f>
        <v>0</v>
      </c>
      <c r="N1678" s="11"/>
      <c r="O1678" s="11" t="str">
        <f aca="false">IF(K1678&lt;=StockP33,"Low",IF(K1678&lt;=StockP67,"Moderate","High"))</f>
        <v>Moderate</v>
      </c>
      <c r="P1678" s="11" t="str">
        <f aca="false">IF(H1678=0,"Low",IF(H1678&lt;=MarkdownP75,"Moderate","High"))</f>
        <v>Low</v>
      </c>
      <c r="Q1678" s="11" t="str">
        <f aca="false">IF(ISBLANK(L1678),"Unknown",IF(L1678&gt;=4,"Good",IF(L1678&lt;=2,"Poor","Neutral")))</f>
        <v>Neutral</v>
      </c>
      <c r="R1678" s="11" t="str">
        <f aca="false">IF(AND(O1678="Low",P1678="Low",Q1678="Good"),"BUY / PRIORITIZE",IF(AND(O1678="High",P1678="High",OR(Q1678="Poor",M1678=TRUE())),"HOLD / REVIEW","MONITOR"))</f>
        <v>MONITOR</v>
      </c>
      <c r="S1678" s="11" t="n">
        <f aca="false">K1678+(ROW()/10000000)</f>
        <v>31.0001678</v>
      </c>
    </row>
    <row r="1679" customFormat="false" ht="15" hidden="false" customHeight="false" outlineLevel="0" collapsed="false">
      <c r="A1679" s="11" t="s">
        <v>2021</v>
      </c>
      <c r="B1679" s="11" t="s">
        <v>29</v>
      </c>
      <c r="C1679" s="11" t="s">
        <v>86</v>
      </c>
      <c r="D1679" s="11" t="s">
        <v>36</v>
      </c>
      <c r="E1679" s="11" t="s">
        <v>91</v>
      </c>
      <c r="F1679" s="11" t="s">
        <v>111</v>
      </c>
      <c r="G1679" s="21" t="n">
        <v>94.1</v>
      </c>
      <c r="H1679" s="19" t="n">
        <v>0</v>
      </c>
      <c r="I1679" s="21" t="n">
        <v>94.1</v>
      </c>
      <c r="J1679" s="22" t="s">
        <v>80</v>
      </c>
      <c r="K1679" s="11" t="n">
        <v>24</v>
      </c>
      <c r="L1679" s="23" t="n">
        <v>1.4</v>
      </c>
      <c r="M1679" s="24" t="b">
        <f aca="false">FALSE()</f>
        <v>0</v>
      </c>
      <c r="N1679" s="11"/>
      <c r="O1679" s="11" t="str">
        <f aca="false">IF(K1679&lt;=StockP33,"Low",IF(K1679&lt;=StockP67,"Moderate","High"))</f>
        <v>Moderate</v>
      </c>
      <c r="P1679" s="11" t="str">
        <f aca="false">IF(H1679=0,"Low",IF(H1679&lt;=MarkdownP75,"Moderate","High"))</f>
        <v>Low</v>
      </c>
      <c r="Q1679" s="11" t="str">
        <f aca="false">IF(ISBLANK(L1679),"Unknown",IF(L1679&gt;=4,"Good",IF(L1679&lt;=2,"Poor","Neutral")))</f>
        <v>Poor</v>
      </c>
      <c r="R1679" s="11" t="str">
        <f aca="false">IF(AND(O1679="Low",P1679="Low",Q1679="Good"),"BUY / PRIORITIZE",IF(AND(O1679="High",P1679="High",OR(Q1679="Poor",M1679=TRUE())),"HOLD / REVIEW","MONITOR"))</f>
        <v>MONITOR</v>
      </c>
      <c r="S1679" s="11" t="n">
        <f aca="false">K1679+(ROW()/10000000)</f>
        <v>24.0001679</v>
      </c>
    </row>
    <row r="1680" customFormat="false" ht="15" hidden="false" customHeight="false" outlineLevel="0" collapsed="false">
      <c r="A1680" s="11" t="s">
        <v>2022</v>
      </c>
      <c r="B1680" s="11" t="s">
        <v>29</v>
      </c>
      <c r="C1680" s="11" t="s">
        <v>72</v>
      </c>
      <c r="D1680" s="11" t="s">
        <v>36</v>
      </c>
      <c r="E1680" s="11" t="s">
        <v>113</v>
      </c>
      <c r="F1680" s="11" t="s">
        <v>74</v>
      </c>
      <c r="G1680" s="21" t="n">
        <v>151.27</v>
      </c>
      <c r="H1680" s="19" t="n">
        <v>0</v>
      </c>
      <c r="I1680" s="21" t="n">
        <v>151.27</v>
      </c>
      <c r="J1680" s="22" t="s">
        <v>80</v>
      </c>
      <c r="K1680" s="11" t="n">
        <v>39</v>
      </c>
      <c r="L1680" s="23" t="n">
        <v>4</v>
      </c>
      <c r="M1680" s="24" t="b">
        <f aca="false">TRUE()</f>
        <v>1</v>
      </c>
      <c r="N1680" s="11" t="s">
        <v>134</v>
      </c>
      <c r="O1680" s="11" t="str">
        <f aca="false">IF(K1680&lt;=StockP33,"Low",IF(K1680&lt;=StockP67,"Moderate","High"))</f>
        <v>High</v>
      </c>
      <c r="P1680" s="11" t="str">
        <f aca="false">IF(H1680=0,"Low",IF(H1680&lt;=MarkdownP75,"Moderate","High"))</f>
        <v>Low</v>
      </c>
      <c r="Q1680" s="11" t="str">
        <f aca="false">IF(ISBLANK(L1680),"Unknown",IF(L1680&gt;=4,"Good",IF(L1680&lt;=2,"Poor","Neutral")))</f>
        <v>Good</v>
      </c>
      <c r="R1680" s="11" t="str">
        <f aca="false">IF(AND(O1680="Low",P1680="Low",Q1680="Good"),"BUY / PRIORITIZE",IF(AND(O1680="High",P1680="High",OR(Q1680="Poor",M1680=TRUE())),"HOLD / REVIEW","MONITOR"))</f>
        <v>MONITOR</v>
      </c>
      <c r="S1680" s="11" t="n">
        <f aca="false">K1680+(ROW()/10000000)</f>
        <v>39.000168</v>
      </c>
    </row>
    <row r="1681" customFormat="false" ht="15" hidden="false" customHeight="false" outlineLevel="0" collapsed="false">
      <c r="A1681" s="11" t="s">
        <v>2023</v>
      </c>
      <c r="B1681" s="11" t="s">
        <v>8</v>
      </c>
      <c r="C1681" s="11" t="s">
        <v>116</v>
      </c>
      <c r="D1681" s="11" t="s">
        <v>34</v>
      </c>
      <c r="E1681" s="11"/>
      <c r="F1681" s="11" t="s">
        <v>118</v>
      </c>
      <c r="G1681" s="21" t="n">
        <v>61.47</v>
      </c>
      <c r="H1681" s="19" t="n">
        <v>0</v>
      </c>
      <c r="I1681" s="21" t="n">
        <v>61.47</v>
      </c>
      <c r="J1681" s="22" t="s">
        <v>2024</v>
      </c>
      <c r="K1681" s="11" t="n">
        <v>44</v>
      </c>
      <c r="L1681" s="23"/>
      <c r="M1681" s="24" t="b">
        <f aca="false">FALSE()</f>
        <v>0</v>
      </c>
      <c r="N1681" s="11"/>
      <c r="O1681" s="11" t="str">
        <f aca="false">IF(K1681&lt;=StockP33,"Low",IF(K1681&lt;=StockP67,"Moderate","High"))</f>
        <v>High</v>
      </c>
      <c r="P1681" s="11" t="str">
        <f aca="false">IF(H1681=0,"Low",IF(H1681&lt;=MarkdownP75,"Moderate","High"))</f>
        <v>Low</v>
      </c>
      <c r="Q1681" s="11" t="str">
        <f aca="false">IF(ISBLANK(L1681),"Unknown",IF(L1681&gt;=4,"Good",IF(L1681&lt;=2,"Poor","Neutral")))</f>
        <v>Unknown</v>
      </c>
      <c r="R1681" s="11" t="str">
        <f aca="false">IF(AND(O1681="Low",P1681="Low",Q1681="Good"),"BUY / PRIORITIZE",IF(AND(O1681="High",P1681="High",OR(Q1681="Poor",M1681=TRUE())),"HOLD / REVIEW","MONITOR"))</f>
        <v>MONITOR</v>
      </c>
      <c r="S1681" s="11" t="n">
        <f aca="false">K1681+(ROW()/10000000)</f>
        <v>44.0001681</v>
      </c>
    </row>
    <row r="1682" customFormat="false" ht="15" hidden="false" customHeight="false" outlineLevel="0" collapsed="false">
      <c r="A1682" s="11" t="s">
        <v>2025</v>
      </c>
      <c r="B1682" s="11" t="s">
        <v>29</v>
      </c>
      <c r="C1682" s="11" t="s">
        <v>95</v>
      </c>
      <c r="D1682" s="11" t="s">
        <v>35</v>
      </c>
      <c r="E1682" s="11" t="s">
        <v>113</v>
      </c>
      <c r="F1682" s="11" t="s">
        <v>118</v>
      </c>
      <c r="G1682" s="21" t="n">
        <v>185.96</v>
      </c>
      <c r="H1682" s="19" t="n">
        <v>0</v>
      </c>
      <c r="I1682" s="21" t="n">
        <v>185.96</v>
      </c>
      <c r="J1682" s="22" t="s">
        <v>80</v>
      </c>
      <c r="K1682" s="11" t="n">
        <v>35</v>
      </c>
      <c r="L1682" s="23" t="n">
        <v>1.3</v>
      </c>
      <c r="M1682" s="24" t="b">
        <f aca="false">FALSE()</f>
        <v>0</v>
      </c>
      <c r="N1682" s="11"/>
      <c r="O1682" s="11" t="str">
        <f aca="false">IF(K1682&lt;=StockP33,"Low",IF(K1682&lt;=StockP67,"Moderate","High"))</f>
        <v>High</v>
      </c>
      <c r="P1682" s="11" t="str">
        <f aca="false">IF(H1682=0,"Low",IF(H1682&lt;=MarkdownP75,"Moderate","High"))</f>
        <v>Low</v>
      </c>
      <c r="Q1682" s="11" t="str">
        <f aca="false">IF(ISBLANK(L1682),"Unknown",IF(L1682&gt;=4,"Good",IF(L1682&lt;=2,"Poor","Neutral")))</f>
        <v>Poor</v>
      </c>
      <c r="R1682" s="11" t="str">
        <f aca="false">IF(AND(O1682="Low",P1682="Low",Q1682="Good"),"BUY / PRIORITIZE",IF(AND(O1682="High",P1682="High",OR(Q1682="Poor",M1682=TRUE())),"HOLD / REVIEW","MONITOR"))</f>
        <v>MONITOR</v>
      </c>
      <c r="S1682" s="11" t="n">
        <f aca="false">K1682+(ROW()/10000000)</f>
        <v>35.0001682</v>
      </c>
    </row>
    <row r="1683" customFormat="false" ht="15" hidden="false" customHeight="false" outlineLevel="0" collapsed="false">
      <c r="A1683" s="11" t="s">
        <v>2026</v>
      </c>
      <c r="B1683" s="11" t="s">
        <v>27</v>
      </c>
      <c r="C1683" s="11" t="s">
        <v>116</v>
      </c>
      <c r="D1683" s="11" t="s">
        <v>36</v>
      </c>
      <c r="E1683" s="11" t="s">
        <v>113</v>
      </c>
      <c r="F1683" s="11" t="s">
        <v>74</v>
      </c>
      <c r="G1683" s="21" t="n">
        <v>113.05</v>
      </c>
      <c r="H1683" s="19" t="n">
        <v>0</v>
      </c>
      <c r="I1683" s="21" t="n">
        <v>113.05</v>
      </c>
      <c r="J1683" s="22" t="s">
        <v>80</v>
      </c>
      <c r="K1683" s="11" t="n">
        <v>47</v>
      </c>
      <c r="L1683" s="23" t="n">
        <v>2</v>
      </c>
      <c r="M1683" s="24" t="b">
        <f aca="false">FALSE()</f>
        <v>0</v>
      </c>
      <c r="N1683" s="11"/>
      <c r="O1683" s="11" t="str">
        <f aca="false">IF(K1683&lt;=StockP33,"Low",IF(K1683&lt;=StockP67,"Moderate","High"))</f>
        <v>High</v>
      </c>
      <c r="P1683" s="11" t="str">
        <f aca="false">IF(H1683=0,"Low",IF(H1683&lt;=MarkdownP75,"Moderate","High"))</f>
        <v>Low</v>
      </c>
      <c r="Q1683" s="11" t="str">
        <f aca="false">IF(ISBLANK(L1683),"Unknown",IF(L1683&gt;=4,"Good",IF(L1683&lt;=2,"Poor","Neutral")))</f>
        <v>Poor</v>
      </c>
      <c r="R1683" s="11" t="str">
        <f aca="false">IF(AND(O1683="Low",P1683="Low",Q1683="Good"),"BUY / PRIORITIZE",IF(AND(O1683="High",P1683="High",OR(Q1683="Poor",M1683=TRUE())),"HOLD / REVIEW","MONITOR"))</f>
        <v>MONITOR</v>
      </c>
      <c r="S1683" s="11" t="n">
        <f aca="false">K1683+(ROW()/10000000)</f>
        <v>47.0001683</v>
      </c>
    </row>
    <row r="1684" customFormat="false" ht="15" hidden="false" customHeight="false" outlineLevel="0" collapsed="false">
      <c r="A1684" s="11" t="s">
        <v>2027</v>
      </c>
      <c r="B1684" s="11" t="s">
        <v>30</v>
      </c>
      <c r="C1684" s="11" t="s">
        <v>86</v>
      </c>
      <c r="D1684" s="11" t="s">
        <v>35</v>
      </c>
      <c r="E1684" s="11" t="s">
        <v>78</v>
      </c>
      <c r="F1684" s="11" t="s">
        <v>124</v>
      </c>
      <c r="G1684" s="21" t="n">
        <v>110.9</v>
      </c>
      <c r="H1684" s="19" t="n">
        <v>34.7</v>
      </c>
      <c r="I1684" s="21" t="n">
        <v>72.42</v>
      </c>
      <c r="J1684" s="22" t="s">
        <v>80</v>
      </c>
      <c r="K1684" s="11" t="n">
        <v>2</v>
      </c>
      <c r="L1684" s="23" t="n">
        <v>2.5</v>
      </c>
      <c r="M1684" s="24" t="b">
        <f aca="false">FALSE()</f>
        <v>0</v>
      </c>
      <c r="N1684" s="11"/>
      <c r="O1684" s="11" t="str">
        <f aca="false">IF(K1684&lt;=StockP33,"Low",IF(K1684&lt;=StockP67,"Moderate","High"))</f>
        <v>Low</v>
      </c>
      <c r="P1684" s="11" t="str">
        <f aca="false">IF(H1684=0,"Low",IF(H1684&lt;=MarkdownP75,"Moderate","High"))</f>
        <v>High</v>
      </c>
      <c r="Q1684" s="11" t="str">
        <f aca="false">IF(ISBLANK(L1684),"Unknown",IF(L1684&gt;=4,"Good",IF(L1684&lt;=2,"Poor","Neutral")))</f>
        <v>Neutral</v>
      </c>
      <c r="R1684" s="11" t="str">
        <f aca="false">IF(AND(O1684="Low",P1684="Low",Q1684="Good"),"BUY / PRIORITIZE",IF(AND(O1684="High",P1684="High",OR(Q1684="Poor",M1684=TRUE())),"HOLD / REVIEW","MONITOR"))</f>
        <v>MONITOR</v>
      </c>
      <c r="S1684" s="11" t="n">
        <f aca="false">K1684+(ROW()/10000000)</f>
        <v>2.0001684</v>
      </c>
    </row>
    <row r="1685" customFormat="false" ht="15" hidden="false" customHeight="false" outlineLevel="0" collapsed="false">
      <c r="A1685" s="11" t="s">
        <v>2028</v>
      </c>
      <c r="B1685" s="11" t="s">
        <v>30</v>
      </c>
      <c r="C1685" s="11" t="s">
        <v>77</v>
      </c>
      <c r="D1685" s="11" t="s">
        <v>35</v>
      </c>
      <c r="E1685" s="11" t="s">
        <v>102</v>
      </c>
      <c r="F1685" s="11" t="s">
        <v>88</v>
      </c>
      <c r="G1685" s="21" t="n">
        <v>29.04</v>
      </c>
      <c r="H1685" s="19" t="n">
        <v>0</v>
      </c>
      <c r="I1685" s="21" t="n">
        <v>29.04</v>
      </c>
      <c r="J1685" s="22" t="s">
        <v>80</v>
      </c>
      <c r="K1685" s="11" t="n">
        <v>4</v>
      </c>
      <c r="L1685" s="23" t="n">
        <v>5</v>
      </c>
      <c r="M1685" s="24" t="b">
        <f aca="false">FALSE()</f>
        <v>0</v>
      </c>
      <c r="N1685" s="11"/>
      <c r="O1685" s="11" t="str">
        <f aca="false">IF(K1685&lt;=StockP33,"Low",IF(K1685&lt;=StockP67,"Moderate","High"))</f>
        <v>Low</v>
      </c>
      <c r="P1685" s="11" t="str">
        <f aca="false">IF(H1685=0,"Low",IF(H1685&lt;=MarkdownP75,"Moderate","High"))</f>
        <v>Low</v>
      </c>
      <c r="Q1685" s="11" t="str">
        <f aca="false">IF(ISBLANK(L1685),"Unknown",IF(L1685&gt;=4,"Good",IF(L1685&lt;=2,"Poor","Neutral")))</f>
        <v>Good</v>
      </c>
      <c r="R1685" s="11" t="str">
        <f aca="false">IF(AND(O1685="Low",P1685="Low",Q1685="Good"),"BUY / PRIORITIZE",IF(AND(O1685="High",P1685="High",OR(Q1685="Poor",M1685=TRUE())),"HOLD / REVIEW","MONITOR"))</f>
        <v>BUY / PRIORITIZE</v>
      </c>
      <c r="S1685" s="11" t="n">
        <f aca="false">K1685+(ROW()/10000000)</f>
        <v>4.0001685</v>
      </c>
    </row>
    <row r="1686" customFormat="false" ht="15" hidden="false" customHeight="false" outlineLevel="0" collapsed="false">
      <c r="A1686" s="11" t="s">
        <v>2029</v>
      </c>
      <c r="B1686" s="11" t="s">
        <v>29</v>
      </c>
      <c r="C1686" s="11" t="s">
        <v>130</v>
      </c>
      <c r="D1686" s="11" t="s">
        <v>34</v>
      </c>
      <c r="E1686" s="11" t="s">
        <v>73</v>
      </c>
      <c r="F1686" s="11" t="s">
        <v>92</v>
      </c>
      <c r="G1686" s="21" t="n">
        <v>164.48</v>
      </c>
      <c r="H1686" s="19" t="n">
        <v>51.5</v>
      </c>
      <c r="I1686" s="21" t="n">
        <v>79.77</v>
      </c>
      <c r="J1686" s="22" t="s">
        <v>668</v>
      </c>
      <c r="K1686" s="11" t="n">
        <v>27</v>
      </c>
      <c r="L1686" s="23" t="n">
        <v>3.4</v>
      </c>
      <c r="M1686" s="24" t="b">
        <f aca="false">FALSE()</f>
        <v>0</v>
      </c>
      <c r="N1686" s="11"/>
      <c r="O1686" s="11" t="str">
        <f aca="false">IF(K1686&lt;=StockP33,"Low",IF(K1686&lt;=StockP67,"Moderate","High"))</f>
        <v>Moderate</v>
      </c>
      <c r="P1686" s="11" t="str">
        <f aca="false">IF(H1686=0,"Low",IF(H1686&lt;=MarkdownP75,"Moderate","High"))</f>
        <v>High</v>
      </c>
      <c r="Q1686" s="11" t="str">
        <f aca="false">IF(ISBLANK(L1686),"Unknown",IF(L1686&gt;=4,"Good",IF(L1686&lt;=2,"Poor","Neutral")))</f>
        <v>Neutral</v>
      </c>
      <c r="R1686" s="11" t="str">
        <f aca="false">IF(AND(O1686="Low",P1686="Low",Q1686="Good"),"BUY / PRIORITIZE",IF(AND(O1686="High",P1686="High",OR(Q1686="Poor",M1686=TRUE())),"HOLD / REVIEW","MONITOR"))</f>
        <v>MONITOR</v>
      </c>
      <c r="S1686" s="11" t="n">
        <f aca="false">K1686+(ROW()/10000000)</f>
        <v>27.0001686</v>
      </c>
    </row>
    <row r="1687" customFormat="false" ht="15" hidden="false" customHeight="false" outlineLevel="0" collapsed="false">
      <c r="A1687" s="11" t="s">
        <v>2030</v>
      </c>
      <c r="B1687" s="11" t="s">
        <v>26</v>
      </c>
      <c r="C1687" s="11" t="s">
        <v>86</v>
      </c>
      <c r="D1687" s="11" t="s">
        <v>37</v>
      </c>
      <c r="E1687" s="11" t="s">
        <v>78</v>
      </c>
      <c r="F1687" s="11" t="s">
        <v>88</v>
      </c>
      <c r="G1687" s="21" t="n">
        <v>52.51</v>
      </c>
      <c r="H1687" s="19" t="n">
        <v>49.4</v>
      </c>
      <c r="I1687" s="21" t="n">
        <v>26.57</v>
      </c>
      <c r="J1687" s="22" t="s">
        <v>80</v>
      </c>
      <c r="K1687" s="11" t="n">
        <v>37</v>
      </c>
      <c r="L1687" s="23" t="n">
        <v>3.5</v>
      </c>
      <c r="M1687" s="24" t="b">
        <f aca="false">TRUE()</f>
        <v>1</v>
      </c>
      <c r="N1687" s="11" t="s">
        <v>178</v>
      </c>
      <c r="O1687" s="11" t="str">
        <f aca="false">IF(K1687&lt;=StockP33,"Low",IF(K1687&lt;=StockP67,"Moderate","High"))</f>
        <v>High</v>
      </c>
      <c r="P1687" s="11" t="str">
        <f aca="false">IF(H1687=0,"Low",IF(H1687&lt;=MarkdownP75,"Moderate","High"))</f>
        <v>High</v>
      </c>
      <c r="Q1687" s="11" t="str">
        <f aca="false">IF(ISBLANK(L1687),"Unknown",IF(L1687&gt;=4,"Good",IF(L1687&lt;=2,"Poor","Neutral")))</f>
        <v>Neutral</v>
      </c>
      <c r="R1687" s="11" t="str">
        <f aca="false">IF(AND(O1687="Low",P1687="Low",Q1687="Good"),"BUY / PRIORITIZE",IF(AND(O1687="High",P1687="High",OR(Q1687="Poor",M1687=TRUE())),"HOLD / REVIEW","MONITOR"))</f>
        <v>HOLD / REVIEW</v>
      </c>
      <c r="S1687" s="11" t="n">
        <f aca="false">K1687+(ROW()/10000000)</f>
        <v>37.0001687</v>
      </c>
    </row>
    <row r="1688" customFormat="false" ht="15" hidden="false" customHeight="false" outlineLevel="0" collapsed="false">
      <c r="A1688" s="11" t="s">
        <v>2031</v>
      </c>
      <c r="B1688" s="11" t="s">
        <v>27</v>
      </c>
      <c r="C1688" s="11" t="s">
        <v>107</v>
      </c>
      <c r="D1688" s="11" t="s">
        <v>37</v>
      </c>
      <c r="E1688" s="11" t="s">
        <v>102</v>
      </c>
      <c r="F1688" s="11" t="s">
        <v>92</v>
      </c>
      <c r="G1688" s="21" t="n">
        <v>175.74</v>
      </c>
      <c r="H1688" s="19" t="n">
        <v>42.9</v>
      </c>
      <c r="I1688" s="21" t="n">
        <v>100.35</v>
      </c>
      <c r="J1688" s="22" t="s">
        <v>80</v>
      </c>
      <c r="K1688" s="11" t="n">
        <v>48</v>
      </c>
      <c r="L1688" s="23"/>
      <c r="M1688" s="24" t="b">
        <f aca="false">TRUE()</f>
        <v>1</v>
      </c>
      <c r="N1688" s="11" t="s">
        <v>178</v>
      </c>
      <c r="O1688" s="11" t="str">
        <f aca="false">IF(K1688&lt;=StockP33,"Low",IF(K1688&lt;=StockP67,"Moderate","High"))</f>
        <v>High</v>
      </c>
      <c r="P1688" s="11" t="str">
        <f aca="false">IF(H1688=0,"Low",IF(H1688&lt;=MarkdownP75,"Moderate","High"))</f>
        <v>High</v>
      </c>
      <c r="Q1688" s="11" t="str">
        <f aca="false">IF(ISBLANK(L1688),"Unknown",IF(L1688&gt;=4,"Good",IF(L1688&lt;=2,"Poor","Neutral")))</f>
        <v>Unknown</v>
      </c>
      <c r="R1688" s="11" t="str">
        <f aca="false">IF(AND(O1688="Low",P1688="Low",Q1688="Good"),"BUY / PRIORITIZE",IF(AND(O1688="High",P1688="High",OR(Q1688="Poor",M1688=TRUE())),"HOLD / REVIEW","MONITOR"))</f>
        <v>HOLD / REVIEW</v>
      </c>
      <c r="S1688" s="11" t="n">
        <f aca="false">K1688+(ROW()/10000000)</f>
        <v>48.0001688</v>
      </c>
    </row>
    <row r="1689" customFormat="false" ht="15" hidden="false" customHeight="false" outlineLevel="0" collapsed="false">
      <c r="A1689" s="11" t="s">
        <v>2032</v>
      </c>
      <c r="B1689" s="11" t="s">
        <v>30</v>
      </c>
      <c r="C1689" s="11" t="s">
        <v>107</v>
      </c>
      <c r="D1689" s="11" t="s">
        <v>34</v>
      </c>
      <c r="E1689" s="11" t="s">
        <v>110</v>
      </c>
      <c r="F1689" s="11" t="s">
        <v>111</v>
      </c>
      <c r="G1689" s="21" t="n">
        <v>57.06</v>
      </c>
      <c r="H1689" s="19" t="n">
        <v>27.5</v>
      </c>
      <c r="I1689" s="21" t="n">
        <v>41.37</v>
      </c>
      <c r="J1689" s="22" t="s">
        <v>429</v>
      </c>
      <c r="K1689" s="11" t="n">
        <v>43</v>
      </c>
      <c r="L1689" s="23" t="n">
        <v>1.8</v>
      </c>
      <c r="M1689" s="24" t="b">
        <f aca="false">FALSE()</f>
        <v>0</v>
      </c>
      <c r="N1689" s="11"/>
      <c r="O1689" s="11" t="str">
        <f aca="false">IF(K1689&lt;=StockP33,"Low",IF(K1689&lt;=StockP67,"Moderate","High"))</f>
        <v>High</v>
      </c>
      <c r="P1689" s="11" t="str">
        <f aca="false">IF(H1689=0,"Low",IF(H1689&lt;=MarkdownP75,"Moderate","High"))</f>
        <v>High</v>
      </c>
      <c r="Q1689" s="11" t="str">
        <f aca="false">IF(ISBLANK(L1689),"Unknown",IF(L1689&gt;=4,"Good",IF(L1689&lt;=2,"Poor","Neutral")))</f>
        <v>Poor</v>
      </c>
      <c r="R1689" s="11" t="str">
        <f aca="false">IF(AND(O1689="Low",P1689="Low",Q1689="Good"),"BUY / PRIORITIZE",IF(AND(O1689="High",P1689="High",OR(Q1689="Poor",M1689=TRUE())),"HOLD / REVIEW","MONITOR"))</f>
        <v>HOLD / REVIEW</v>
      </c>
      <c r="S1689" s="11" t="n">
        <f aca="false">K1689+(ROW()/10000000)</f>
        <v>43.0001689</v>
      </c>
    </row>
    <row r="1690" customFormat="false" ht="15" hidden="false" customHeight="false" outlineLevel="0" collapsed="false">
      <c r="A1690" s="11" t="s">
        <v>2033</v>
      </c>
      <c r="B1690" s="11" t="s">
        <v>27</v>
      </c>
      <c r="C1690" s="11" t="s">
        <v>107</v>
      </c>
      <c r="D1690" s="11" t="s">
        <v>37</v>
      </c>
      <c r="E1690" s="11" t="s">
        <v>78</v>
      </c>
      <c r="F1690" s="11" t="s">
        <v>82</v>
      </c>
      <c r="G1690" s="21" t="n">
        <v>158.24</v>
      </c>
      <c r="H1690" s="19" t="n">
        <v>0</v>
      </c>
      <c r="I1690" s="21" t="n">
        <v>158.24</v>
      </c>
      <c r="J1690" s="22" t="s">
        <v>80</v>
      </c>
      <c r="K1690" s="11" t="n">
        <v>41</v>
      </c>
      <c r="L1690" s="23" t="n">
        <v>3.1</v>
      </c>
      <c r="M1690" s="24" t="b">
        <f aca="false">FALSE()</f>
        <v>0</v>
      </c>
      <c r="N1690" s="11"/>
      <c r="O1690" s="11" t="str">
        <f aca="false">IF(K1690&lt;=StockP33,"Low",IF(K1690&lt;=StockP67,"Moderate","High"))</f>
        <v>High</v>
      </c>
      <c r="P1690" s="11" t="str">
        <f aca="false">IF(H1690=0,"Low",IF(H1690&lt;=MarkdownP75,"Moderate","High"))</f>
        <v>Low</v>
      </c>
      <c r="Q1690" s="11" t="str">
        <f aca="false">IF(ISBLANK(L1690),"Unknown",IF(L1690&gt;=4,"Good",IF(L1690&lt;=2,"Poor","Neutral")))</f>
        <v>Neutral</v>
      </c>
      <c r="R1690" s="11" t="str">
        <f aca="false">IF(AND(O1690="Low",P1690="Low",Q1690="Good"),"BUY / PRIORITIZE",IF(AND(O1690="High",P1690="High",OR(Q1690="Poor",M1690=TRUE())),"HOLD / REVIEW","MONITOR"))</f>
        <v>MONITOR</v>
      </c>
      <c r="S1690" s="11" t="n">
        <f aca="false">K1690+(ROW()/10000000)</f>
        <v>41.000169</v>
      </c>
    </row>
    <row r="1691" customFormat="false" ht="15" hidden="false" customHeight="false" outlineLevel="0" collapsed="false">
      <c r="A1691" s="11" t="s">
        <v>2034</v>
      </c>
      <c r="B1691" s="11" t="s">
        <v>28</v>
      </c>
      <c r="C1691" s="11" t="s">
        <v>95</v>
      </c>
      <c r="D1691" s="11" t="s">
        <v>36</v>
      </c>
      <c r="E1691" s="11"/>
      <c r="F1691" s="11" t="s">
        <v>79</v>
      </c>
      <c r="G1691" s="21" t="n">
        <v>153.46</v>
      </c>
      <c r="H1691" s="19" t="n">
        <v>0</v>
      </c>
      <c r="I1691" s="21" t="n">
        <v>153.46</v>
      </c>
      <c r="J1691" s="22" t="s">
        <v>80</v>
      </c>
      <c r="K1691" s="11" t="n">
        <v>27</v>
      </c>
      <c r="L1691" s="23" t="n">
        <v>1.7</v>
      </c>
      <c r="M1691" s="24" t="b">
        <f aca="false">FALSE()</f>
        <v>0</v>
      </c>
      <c r="N1691" s="11"/>
      <c r="O1691" s="11" t="str">
        <f aca="false">IF(K1691&lt;=StockP33,"Low",IF(K1691&lt;=StockP67,"Moderate","High"))</f>
        <v>Moderate</v>
      </c>
      <c r="P1691" s="11" t="str">
        <f aca="false">IF(H1691=0,"Low",IF(H1691&lt;=MarkdownP75,"Moderate","High"))</f>
        <v>Low</v>
      </c>
      <c r="Q1691" s="11" t="str">
        <f aca="false">IF(ISBLANK(L1691),"Unknown",IF(L1691&gt;=4,"Good",IF(L1691&lt;=2,"Poor","Neutral")))</f>
        <v>Poor</v>
      </c>
      <c r="R1691" s="11" t="str">
        <f aca="false">IF(AND(O1691="Low",P1691="Low",Q1691="Good"),"BUY / PRIORITIZE",IF(AND(O1691="High",P1691="High",OR(Q1691="Poor",M1691=TRUE())),"HOLD / REVIEW","MONITOR"))</f>
        <v>MONITOR</v>
      </c>
      <c r="S1691" s="11" t="n">
        <f aca="false">K1691+(ROW()/10000000)</f>
        <v>27.0001691</v>
      </c>
    </row>
    <row r="1692" customFormat="false" ht="15" hidden="false" customHeight="false" outlineLevel="0" collapsed="false">
      <c r="A1692" s="11" t="s">
        <v>2035</v>
      </c>
      <c r="B1692" s="11" t="s">
        <v>8</v>
      </c>
      <c r="C1692" s="11" t="s">
        <v>72</v>
      </c>
      <c r="D1692" s="11" t="s">
        <v>34</v>
      </c>
      <c r="E1692" s="11"/>
      <c r="F1692" s="11" t="s">
        <v>124</v>
      </c>
      <c r="G1692" s="21" t="n">
        <v>54.92</v>
      </c>
      <c r="H1692" s="19" t="n">
        <v>0</v>
      </c>
      <c r="I1692" s="21" t="n">
        <v>54.92</v>
      </c>
      <c r="J1692" s="22" t="s">
        <v>270</v>
      </c>
      <c r="K1692" s="11" t="n">
        <v>44</v>
      </c>
      <c r="L1692" s="23" t="n">
        <v>3.1</v>
      </c>
      <c r="M1692" s="24" t="b">
        <f aca="false">FALSE()</f>
        <v>0</v>
      </c>
      <c r="N1692" s="11"/>
      <c r="O1692" s="11" t="str">
        <f aca="false">IF(K1692&lt;=StockP33,"Low",IF(K1692&lt;=StockP67,"Moderate","High"))</f>
        <v>High</v>
      </c>
      <c r="P1692" s="11" t="str">
        <f aca="false">IF(H1692=0,"Low",IF(H1692&lt;=MarkdownP75,"Moderate","High"))</f>
        <v>Low</v>
      </c>
      <c r="Q1692" s="11" t="str">
        <f aca="false">IF(ISBLANK(L1692),"Unknown",IF(L1692&gt;=4,"Good",IF(L1692&lt;=2,"Poor","Neutral")))</f>
        <v>Neutral</v>
      </c>
      <c r="R1692" s="11" t="str">
        <f aca="false">IF(AND(O1692="Low",P1692="Low",Q1692="Good"),"BUY / PRIORITIZE",IF(AND(O1692="High",P1692="High",OR(Q1692="Poor",M1692=TRUE())),"HOLD / REVIEW","MONITOR"))</f>
        <v>MONITOR</v>
      </c>
      <c r="S1692" s="11" t="n">
        <f aca="false">K1692+(ROW()/10000000)</f>
        <v>44.0001692</v>
      </c>
    </row>
    <row r="1693" customFormat="false" ht="15" hidden="false" customHeight="false" outlineLevel="0" collapsed="false">
      <c r="A1693" s="11" t="s">
        <v>2036</v>
      </c>
      <c r="B1693" s="11" t="s">
        <v>8</v>
      </c>
      <c r="C1693" s="11" t="s">
        <v>77</v>
      </c>
      <c r="D1693" s="11" t="s">
        <v>34</v>
      </c>
      <c r="E1693" s="11"/>
      <c r="F1693" s="11" t="s">
        <v>120</v>
      </c>
      <c r="G1693" s="21" t="n">
        <v>32.2</v>
      </c>
      <c r="H1693" s="19" t="n">
        <v>19.2</v>
      </c>
      <c r="I1693" s="21" t="n">
        <v>26.02</v>
      </c>
      <c r="J1693" s="22" t="s">
        <v>834</v>
      </c>
      <c r="K1693" s="11" t="n">
        <v>8</v>
      </c>
      <c r="L1693" s="23" t="n">
        <v>4.3</v>
      </c>
      <c r="M1693" s="24" t="b">
        <f aca="false">FALSE()</f>
        <v>0</v>
      </c>
      <c r="N1693" s="11"/>
      <c r="O1693" s="11" t="str">
        <f aca="false">IF(K1693&lt;=StockP33,"Low",IF(K1693&lt;=StockP67,"Moderate","High"))</f>
        <v>Low</v>
      </c>
      <c r="P1693" s="11" t="str">
        <f aca="false">IF(H1693=0,"Low",IF(H1693&lt;=MarkdownP75,"Moderate","High"))</f>
        <v>Moderate</v>
      </c>
      <c r="Q1693" s="11" t="str">
        <f aca="false">IF(ISBLANK(L1693),"Unknown",IF(L1693&gt;=4,"Good",IF(L1693&lt;=2,"Poor","Neutral")))</f>
        <v>Good</v>
      </c>
      <c r="R1693" s="11" t="str">
        <f aca="false">IF(AND(O1693="Low",P1693="Low",Q1693="Good"),"BUY / PRIORITIZE",IF(AND(O1693="High",P1693="High",OR(Q1693="Poor",M1693=TRUE())),"HOLD / REVIEW","MONITOR"))</f>
        <v>MONITOR</v>
      </c>
      <c r="S1693" s="11" t="n">
        <f aca="false">K1693+(ROW()/10000000)</f>
        <v>8.0001693</v>
      </c>
    </row>
    <row r="1694" customFormat="false" ht="15" hidden="false" customHeight="false" outlineLevel="0" collapsed="false">
      <c r="A1694" s="11" t="s">
        <v>2037</v>
      </c>
      <c r="B1694" s="11" t="s">
        <v>8</v>
      </c>
      <c r="C1694" s="11" t="s">
        <v>95</v>
      </c>
      <c r="D1694" s="11" t="s">
        <v>36</v>
      </c>
      <c r="E1694" s="11"/>
      <c r="F1694" s="11" t="s">
        <v>124</v>
      </c>
      <c r="G1694" s="21" t="n">
        <v>66.49</v>
      </c>
      <c r="H1694" s="19" t="n">
        <v>29.1</v>
      </c>
      <c r="I1694" s="21" t="n">
        <v>47.14</v>
      </c>
      <c r="J1694" s="22" t="s">
        <v>80</v>
      </c>
      <c r="K1694" s="11" t="n">
        <v>37</v>
      </c>
      <c r="L1694" s="23" t="n">
        <v>1.3</v>
      </c>
      <c r="M1694" s="24" t="b">
        <f aca="false">FALSE()</f>
        <v>0</v>
      </c>
      <c r="N1694" s="11"/>
      <c r="O1694" s="11" t="str">
        <f aca="false">IF(K1694&lt;=StockP33,"Low",IF(K1694&lt;=StockP67,"Moderate","High"))</f>
        <v>High</v>
      </c>
      <c r="P1694" s="11" t="str">
        <f aca="false">IF(H1694=0,"Low",IF(H1694&lt;=MarkdownP75,"Moderate","High"))</f>
        <v>High</v>
      </c>
      <c r="Q1694" s="11" t="str">
        <f aca="false">IF(ISBLANK(L1694),"Unknown",IF(L1694&gt;=4,"Good",IF(L1694&lt;=2,"Poor","Neutral")))</f>
        <v>Poor</v>
      </c>
      <c r="R1694" s="11" t="str">
        <f aca="false">IF(AND(O1694="Low",P1694="Low",Q1694="Good"),"BUY / PRIORITIZE",IF(AND(O1694="High",P1694="High",OR(Q1694="Poor",M1694=TRUE())),"HOLD / REVIEW","MONITOR"))</f>
        <v>HOLD / REVIEW</v>
      </c>
      <c r="S1694" s="11" t="n">
        <f aca="false">K1694+(ROW()/10000000)</f>
        <v>37.0001694</v>
      </c>
    </row>
    <row r="1695" customFormat="false" ht="15" hidden="false" customHeight="false" outlineLevel="0" collapsed="false">
      <c r="A1695" s="11" t="s">
        <v>2038</v>
      </c>
      <c r="B1695" s="11" t="s">
        <v>8</v>
      </c>
      <c r="C1695" s="11" t="s">
        <v>95</v>
      </c>
      <c r="D1695" s="11" t="s">
        <v>37</v>
      </c>
      <c r="E1695" s="11"/>
      <c r="F1695" s="11" t="s">
        <v>96</v>
      </c>
      <c r="G1695" s="21" t="n">
        <v>32.95</v>
      </c>
      <c r="H1695" s="19" t="n">
        <v>50.2</v>
      </c>
      <c r="I1695" s="21" t="n">
        <v>16.41</v>
      </c>
      <c r="J1695" s="22" t="s">
        <v>80</v>
      </c>
      <c r="K1695" s="11" t="n">
        <v>46</v>
      </c>
      <c r="L1695" s="23"/>
      <c r="M1695" s="24" t="b">
        <f aca="false">FALSE()</f>
        <v>0</v>
      </c>
      <c r="N1695" s="11"/>
      <c r="O1695" s="11" t="str">
        <f aca="false">IF(K1695&lt;=StockP33,"Low",IF(K1695&lt;=StockP67,"Moderate","High"))</f>
        <v>High</v>
      </c>
      <c r="P1695" s="11" t="str">
        <f aca="false">IF(H1695=0,"Low",IF(H1695&lt;=MarkdownP75,"Moderate","High"))</f>
        <v>High</v>
      </c>
      <c r="Q1695" s="11" t="str">
        <f aca="false">IF(ISBLANK(L1695),"Unknown",IF(L1695&gt;=4,"Good",IF(L1695&lt;=2,"Poor","Neutral")))</f>
        <v>Unknown</v>
      </c>
      <c r="R1695" s="11" t="str">
        <f aca="false">IF(AND(O1695="Low",P1695="Low",Q1695="Good"),"BUY / PRIORITIZE",IF(AND(O1695="High",P1695="High",OR(Q1695="Poor",M1695=TRUE())),"HOLD / REVIEW","MONITOR"))</f>
        <v>MONITOR</v>
      </c>
      <c r="S1695" s="11" t="n">
        <f aca="false">K1695+(ROW()/10000000)</f>
        <v>46.0001695</v>
      </c>
    </row>
    <row r="1696" customFormat="false" ht="15" hidden="false" customHeight="false" outlineLevel="0" collapsed="false">
      <c r="A1696" s="11" t="s">
        <v>2039</v>
      </c>
      <c r="B1696" s="11" t="s">
        <v>8</v>
      </c>
      <c r="C1696" s="11" t="s">
        <v>101</v>
      </c>
      <c r="D1696" s="11" t="s">
        <v>36</v>
      </c>
      <c r="E1696" s="11"/>
      <c r="F1696" s="11" t="s">
        <v>92</v>
      </c>
      <c r="G1696" s="21" t="n">
        <v>54.31</v>
      </c>
      <c r="H1696" s="19" t="n">
        <v>19.2</v>
      </c>
      <c r="I1696" s="21" t="n">
        <v>43.88</v>
      </c>
      <c r="J1696" s="22" t="s">
        <v>80</v>
      </c>
      <c r="K1696" s="11" t="n">
        <v>19</v>
      </c>
      <c r="L1696" s="23" t="n">
        <v>1.8</v>
      </c>
      <c r="M1696" s="24" t="b">
        <f aca="false">FALSE()</f>
        <v>0</v>
      </c>
      <c r="N1696" s="11"/>
      <c r="O1696" s="11" t="str">
        <f aca="false">IF(K1696&lt;=StockP33,"Low",IF(K1696&lt;=StockP67,"Moderate","High"))</f>
        <v>Moderate</v>
      </c>
      <c r="P1696" s="11" t="str">
        <f aca="false">IF(H1696=0,"Low",IF(H1696&lt;=MarkdownP75,"Moderate","High"))</f>
        <v>Moderate</v>
      </c>
      <c r="Q1696" s="11" t="str">
        <f aca="false">IF(ISBLANK(L1696),"Unknown",IF(L1696&gt;=4,"Good",IF(L1696&lt;=2,"Poor","Neutral")))</f>
        <v>Poor</v>
      </c>
      <c r="R1696" s="11" t="str">
        <f aca="false">IF(AND(O1696="Low",P1696="Low",Q1696="Good"),"BUY / PRIORITIZE",IF(AND(O1696="High",P1696="High",OR(Q1696="Poor",M1696=TRUE())),"HOLD / REVIEW","MONITOR"))</f>
        <v>MONITOR</v>
      </c>
      <c r="S1696" s="11" t="n">
        <f aca="false">K1696+(ROW()/10000000)</f>
        <v>19.0001696</v>
      </c>
    </row>
    <row r="1697" customFormat="false" ht="15" hidden="false" customHeight="false" outlineLevel="0" collapsed="false">
      <c r="A1697" s="11" t="s">
        <v>2040</v>
      </c>
      <c r="B1697" s="11" t="s">
        <v>8</v>
      </c>
      <c r="C1697" s="11" t="s">
        <v>86</v>
      </c>
      <c r="D1697" s="11" t="s">
        <v>35</v>
      </c>
      <c r="E1697" s="11"/>
      <c r="F1697" s="11" t="s">
        <v>118</v>
      </c>
      <c r="G1697" s="21" t="n">
        <v>19.68</v>
      </c>
      <c r="H1697" s="19" t="n">
        <v>0</v>
      </c>
      <c r="I1697" s="21" t="n">
        <v>19.68</v>
      </c>
      <c r="J1697" s="22" t="s">
        <v>80</v>
      </c>
      <c r="K1697" s="11" t="n">
        <v>29</v>
      </c>
      <c r="L1697" s="23" t="n">
        <v>1.5</v>
      </c>
      <c r="M1697" s="24" t="b">
        <f aca="false">TRUE()</f>
        <v>1</v>
      </c>
      <c r="N1697" s="11" t="s">
        <v>128</v>
      </c>
      <c r="O1697" s="11" t="str">
        <f aca="false">IF(K1697&lt;=StockP33,"Low",IF(K1697&lt;=StockP67,"Moderate","High"))</f>
        <v>Moderate</v>
      </c>
      <c r="P1697" s="11" t="str">
        <f aca="false">IF(H1697=0,"Low",IF(H1697&lt;=MarkdownP75,"Moderate","High"))</f>
        <v>Low</v>
      </c>
      <c r="Q1697" s="11" t="str">
        <f aca="false">IF(ISBLANK(L1697),"Unknown",IF(L1697&gt;=4,"Good",IF(L1697&lt;=2,"Poor","Neutral")))</f>
        <v>Poor</v>
      </c>
      <c r="R1697" s="11" t="str">
        <f aca="false">IF(AND(O1697="Low",P1697="Low",Q1697="Good"),"BUY / PRIORITIZE",IF(AND(O1697="High",P1697="High",OR(Q1697="Poor",M1697=TRUE())),"HOLD / REVIEW","MONITOR"))</f>
        <v>MONITOR</v>
      </c>
      <c r="S1697" s="11" t="n">
        <f aca="false">K1697+(ROW()/10000000)</f>
        <v>29.0001697</v>
      </c>
    </row>
    <row r="1698" customFormat="false" ht="15" hidden="false" customHeight="false" outlineLevel="0" collapsed="false">
      <c r="A1698" s="11" t="s">
        <v>2041</v>
      </c>
      <c r="B1698" s="11" t="s">
        <v>30</v>
      </c>
      <c r="C1698" s="11" t="s">
        <v>72</v>
      </c>
      <c r="D1698" s="11" t="s">
        <v>34</v>
      </c>
      <c r="E1698" s="11" t="s">
        <v>110</v>
      </c>
      <c r="F1698" s="11" t="s">
        <v>92</v>
      </c>
      <c r="G1698" s="21" t="n">
        <v>105.19</v>
      </c>
      <c r="H1698" s="19" t="n">
        <v>24.3</v>
      </c>
      <c r="I1698" s="21" t="n">
        <v>79.63</v>
      </c>
      <c r="J1698" s="22" t="s">
        <v>2042</v>
      </c>
      <c r="K1698" s="11" t="n">
        <v>47</v>
      </c>
      <c r="L1698" s="23" t="n">
        <v>5</v>
      </c>
      <c r="M1698" s="24" t="b">
        <f aca="false">FALSE()</f>
        <v>0</v>
      </c>
      <c r="N1698" s="11"/>
      <c r="O1698" s="11" t="str">
        <f aca="false">IF(K1698&lt;=StockP33,"Low",IF(K1698&lt;=StockP67,"Moderate","High"))</f>
        <v>High</v>
      </c>
      <c r="P1698" s="11" t="str">
        <f aca="false">IF(H1698=0,"Low",IF(H1698&lt;=MarkdownP75,"Moderate","High"))</f>
        <v>High</v>
      </c>
      <c r="Q1698" s="11" t="str">
        <f aca="false">IF(ISBLANK(L1698),"Unknown",IF(L1698&gt;=4,"Good",IF(L1698&lt;=2,"Poor","Neutral")))</f>
        <v>Good</v>
      </c>
      <c r="R1698" s="11" t="str">
        <f aca="false">IF(AND(O1698="Low",P1698="Low",Q1698="Good"),"BUY / PRIORITIZE",IF(AND(O1698="High",P1698="High",OR(Q1698="Poor",M1698=TRUE())),"HOLD / REVIEW","MONITOR"))</f>
        <v>MONITOR</v>
      </c>
      <c r="S1698" s="11" t="n">
        <f aca="false">K1698+(ROW()/10000000)</f>
        <v>47.0001698</v>
      </c>
    </row>
    <row r="1699" customFormat="false" ht="15" hidden="false" customHeight="false" outlineLevel="0" collapsed="false">
      <c r="A1699" s="11" t="s">
        <v>2043</v>
      </c>
      <c r="B1699" s="11" t="s">
        <v>8</v>
      </c>
      <c r="C1699" s="11" t="s">
        <v>86</v>
      </c>
      <c r="D1699" s="11" t="s">
        <v>35</v>
      </c>
      <c r="E1699" s="11"/>
      <c r="F1699" s="11" t="s">
        <v>98</v>
      </c>
      <c r="G1699" s="21" t="n">
        <v>20.3</v>
      </c>
      <c r="H1699" s="19" t="n">
        <v>19.6</v>
      </c>
      <c r="I1699" s="21" t="n">
        <v>16.32</v>
      </c>
      <c r="J1699" s="22" t="s">
        <v>80</v>
      </c>
      <c r="K1699" s="11" t="n">
        <v>47</v>
      </c>
      <c r="L1699" s="23" t="n">
        <v>2.9</v>
      </c>
      <c r="M1699" s="24" t="b">
        <f aca="false">TRUE()</f>
        <v>1</v>
      </c>
      <c r="N1699" s="11" t="s">
        <v>178</v>
      </c>
      <c r="O1699" s="11" t="str">
        <f aca="false">IF(K1699&lt;=StockP33,"Low",IF(K1699&lt;=StockP67,"Moderate","High"))</f>
        <v>High</v>
      </c>
      <c r="P1699" s="11" t="str">
        <f aca="false">IF(H1699=0,"Low",IF(H1699&lt;=MarkdownP75,"Moderate","High"))</f>
        <v>Moderate</v>
      </c>
      <c r="Q1699" s="11" t="str">
        <f aca="false">IF(ISBLANK(L1699),"Unknown",IF(L1699&gt;=4,"Good",IF(L1699&lt;=2,"Poor","Neutral")))</f>
        <v>Neutral</v>
      </c>
      <c r="R1699" s="11" t="str">
        <f aca="false">IF(AND(O1699="Low",P1699="Low",Q1699="Good"),"BUY / PRIORITIZE",IF(AND(O1699="High",P1699="High",OR(Q1699="Poor",M1699=TRUE())),"HOLD / REVIEW","MONITOR"))</f>
        <v>MONITOR</v>
      </c>
      <c r="S1699" s="11" t="n">
        <f aca="false">K1699+(ROW()/10000000)</f>
        <v>47.0001699</v>
      </c>
    </row>
    <row r="1700" customFormat="false" ht="15" hidden="false" customHeight="false" outlineLevel="0" collapsed="false">
      <c r="A1700" s="11" t="s">
        <v>2044</v>
      </c>
      <c r="B1700" s="11" t="s">
        <v>26</v>
      </c>
      <c r="C1700" s="11" t="s">
        <v>95</v>
      </c>
      <c r="D1700" s="11" t="s">
        <v>35</v>
      </c>
      <c r="E1700" s="11" t="s">
        <v>91</v>
      </c>
      <c r="F1700" s="11" t="s">
        <v>124</v>
      </c>
      <c r="G1700" s="21" t="n">
        <v>105.37</v>
      </c>
      <c r="H1700" s="19" t="n">
        <v>19.6</v>
      </c>
      <c r="I1700" s="21" t="n">
        <v>84.72</v>
      </c>
      <c r="J1700" s="22" t="s">
        <v>80</v>
      </c>
      <c r="K1700" s="11" t="n">
        <v>39</v>
      </c>
      <c r="L1700" s="23" t="n">
        <v>4.3</v>
      </c>
      <c r="M1700" s="24" t="b">
        <f aca="false">FALSE()</f>
        <v>0</v>
      </c>
      <c r="N1700" s="11"/>
      <c r="O1700" s="11" t="str">
        <f aca="false">IF(K1700&lt;=StockP33,"Low",IF(K1700&lt;=StockP67,"Moderate","High"))</f>
        <v>High</v>
      </c>
      <c r="P1700" s="11" t="str">
        <f aca="false">IF(H1700=0,"Low",IF(H1700&lt;=MarkdownP75,"Moderate","High"))</f>
        <v>Moderate</v>
      </c>
      <c r="Q1700" s="11" t="str">
        <f aca="false">IF(ISBLANK(L1700),"Unknown",IF(L1700&gt;=4,"Good",IF(L1700&lt;=2,"Poor","Neutral")))</f>
        <v>Good</v>
      </c>
      <c r="R1700" s="11" t="str">
        <f aca="false">IF(AND(O1700="Low",P1700="Low",Q1700="Good"),"BUY / PRIORITIZE",IF(AND(O1700="High",P1700="High",OR(Q1700="Poor",M1700=TRUE())),"HOLD / REVIEW","MONITOR"))</f>
        <v>MONITOR</v>
      </c>
      <c r="S1700" s="11" t="n">
        <f aca="false">K1700+(ROW()/10000000)</f>
        <v>39.00017</v>
      </c>
    </row>
    <row r="1701" customFormat="false" ht="15" hidden="false" customHeight="false" outlineLevel="0" collapsed="false">
      <c r="A1701" s="11" t="s">
        <v>2045</v>
      </c>
      <c r="B1701" s="11" t="s">
        <v>27</v>
      </c>
      <c r="C1701" s="11" t="s">
        <v>107</v>
      </c>
      <c r="D1701" s="11" t="s">
        <v>37</v>
      </c>
      <c r="E1701" s="11" t="s">
        <v>110</v>
      </c>
      <c r="F1701" s="11" t="s">
        <v>98</v>
      </c>
      <c r="G1701" s="21" t="n">
        <v>156.24</v>
      </c>
      <c r="H1701" s="19" t="n">
        <v>0</v>
      </c>
      <c r="I1701" s="21" t="n">
        <v>156.24</v>
      </c>
      <c r="J1701" s="22" t="s">
        <v>80</v>
      </c>
      <c r="K1701" s="11" t="n">
        <v>15</v>
      </c>
      <c r="L1701" s="23" t="n">
        <v>5</v>
      </c>
      <c r="M1701" s="24" t="b">
        <f aca="false">FALSE()</f>
        <v>0</v>
      </c>
      <c r="N1701" s="11"/>
      <c r="O1701" s="11" t="str">
        <f aca="false">IF(K1701&lt;=StockP33,"Low",IF(K1701&lt;=StockP67,"Moderate","High"))</f>
        <v>Low</v>
      </c>
      <c r="P1701" s="11" t="str">
        <f aca="false">IF(H1701=0,"Low",IF(H1701&lt;=MarkdownP75,"Moderate","High"))</f>
        <v>Low</v>
      </c>
      <c r="Q1701" s="11" t="str">
        <f aca="false">IF(ISBLANK(L1701),"Unknown",IF(L1701&gt;=4,"Good",IF(L1701&lt;=2,"Poor","Neutral")))</f>
        <v>Good</v>
      </c>
      <c r="R1701" s="11" t="str">
        <f aca="false">IF(AND(O1701="Low",P1701="Low",Q1701="Good"),"BUY / PRIORITIZE",IF(AND(O1701="High",P1701="High",OR(Q1701="Poor",M1701=TRUE())),"HOLD / REVIEW","MONITOR"))</f>
        <v>BUY / PRIORITIZE</v>
      </c>
      <c r="S1701" s="11" t="n">
        <f aca="false">K1701+(ROW()/10000000)</f>
        <v>15.0001701</v>
      </c>
    </row>
    <row r="1702" customFormat="false" ht="15" hidden="false" customHeight="false" outlineLevel="0" collapsed="false">
      <c r="A1702" s="11" t="s">
        <v>2046</v>
      </c>
      <c r="B1702" s="11" t="s">
        <v>29</v>
      </c>
      <c r="C1702" s="11" t="s">
        <v>95</v>
      </c>
      <c r="D1702" s="11" t="s">
        <v>37</v>
      </c>
      <c r="E1702" s="11" t="s">
        <v>110</v>
      </c>
      <c r="F1702" s="11" t="s">
        <v>124</v>
      </c>
      <c r="G1702" s="21" t="n">
        <v>162.19</v>
      </c>
      <c r="H1702" s="19" t="n">
        <v>5.7</v>
      </c>
      <c r="I1702" s="21" t="n">
        <v>152.95</v>
      </c>
      <c r="J1702" s="22" t="s">
        <v>80</v>
      </c>
      <c r="K1702" s="11" t="n">
        <v>39</v>
      </c>
      <c r="L1702" s="23" t="n">
        <v>1.4</v>
      </c>
      <c r="M1702" s="24" t="b">
        <f aca="false">FALSE()</f>
        <v>0</v>
      </c>
      <c r="N1702" s="11"/>
      <c r="O1702" s="11" t="str">
        <f aca="false">IF(K1702&lt;=StockP33,"Low",IF(K1702&lt;=StockP67,"Moderate","High"))</f>
        <v>High</v>
      </c>
      <c r="P1702" s="11" t="str">
        <f aca="false">IF(H1702=0,"Low",IF(H1702&lt;=MarkdownP75,"Moderate","High"))</f>
        <v>Moderate</v>
      </c>
      <c r="Q1702" s="11" t="str">
        <f aca="false">IF(ISBLANK(L1702),"Unknown",IF(L1702&gt;=4,"Good",IF(L1702&lt;=2,"Poor","Neutral")))</f>
        <v>Poor</v>
      </c>
      <c r="R1702" s="11" t="str">
        <f aca="false">IF(AND(O1702="Low",P1702="Low",Q1702="Good"),"BUY / PRIORITIZE",IF(AND(O1702="High",P1702="High",OR(Q1702="Poor",M1702=TRUE())),"HOLD / REVIEW","MONITOR"))</f>
        <v>MONITOR</v>
      </c>
      <c r="S1702" s="11" t="n">
        <f aca="false">K1702+(ROW()/10000000)</f>
        <v>39.0001702</v>
      </c>
    </row>
    <row r="1703" customFormat="false" ht="15" hidden="false" customHeight="false" outlineLevel="0" collapsed="false">
      <c r="A1703" s="11" t="s">
        <v>2047</v>
      </c>
      <c r="B1703" s="11" t="s">
        <v>30</v>
      </c>
      <c r="C1703" s="11" t="s">
        <v>101</v>
      </c>
      <c r="D1703" s="11" t="s">
        <v>34</v>
      </c>
      <c r="E1703" s="11" t="s">
        <v>113</v>
      </c>
      <c r="F1703" s="11" t="s">
        <v>111</v>
      </c>
      <c r="G1703" s="21" t="n">
        <v>75.79</v>
      </c>
      <c r="H1703" s="19" t="n">
        <v>7.1</v>
      </c>
      <c r="I1703" s="21" t="n">
        <v>70.41</v>
      </c>
      <c r="J1703" s="22" t="s">
        <v>1230</v>
      </c>
      <c r="K1703" s="11" t="n">
        <v>13</v>
      </c>
      <c r="L1703" s="23" t="n">
        <v>3.3</v>
      </c>
      <c r="M1703" s="24" t="b">
        <f aca="false">FALSE()</f>
        <v>0</v>
      </c>
      <c r="N1703" s="11"/>
      <c r="O1703" s="11" t="str">
        <f aca="false">IF(K1703&lt;=StockP33,"Low",IF(K1703&lt;=StockP67,"Moderate","High"))</f>
        <v>Low</v>
      </c>
      <c r="P1703" s="11" t="str">
        <f aca="false">IF(H1703=0,"Low",IF(H1703&lt;=MarkdownP75,"Moderate","High"))</f>
        <v>Moderate</v>
      </c>
      <c r="Q1703" s="11" t="str">
        <f aca="false">IF(ISBLANK(L1703),"Unknown",IF(L1703&gt;=4,"Good",IF(L1703&lt;=2,"Poor","Neutral")))</f>
        <v>Neutral</v>
      </c>
      <c r="R1703" s="11" t="str">
        <f aca="false">IF(AND(O1703="Low",P1703="Low",Q1703="Good"),"BUY / PRIORITIZE",IF(AND(O1703="High",P1703="High",OR(Q1703="Poor",M1703=TRUE())),"HOLD / REVIEW","MONITOR"))</f>
        <v>MONITOR</v>
      </c>
      <c r="S1703" s="11" t="n">
        <f aca="false">K1703+(ROW()/10000000)</f>
        <v>13.0001703</v>
      </c>
    </row>
    <row r="1704" customFormat="false" ht="15" hidden="false" customHeight="false" outlineLevel="0" collapsed="false">
      <c r="A1704" s="11" t="s">
        <v>2048</v>
      </c>
      <c r="B1704" s="11" t="s">
        <v>8</v>
      </c>
      <c r="C1704" s="11" t="s">
        <v>130</v>
      </c>
      <c r="D1704" s="11" t="s">
        <v>35</v>
      </c>
      <c r="E1704" s="11"/>
      <c r="F1704" s="11" t="s">
        <v>79</v>
      </c>
      <c r="G1704" s="21" t="n">
        <v>32.04</v>
      </c>
      <c r="H1704" s="19" t="n">
        <v>0</v>
      </c>
      <c r="I1704" s="21" t="n">
        <v>32.04</v>
      </c>
      <c r="J1704" s="22" t="s">
        <v>80</v>
      </c>
      <c r="K1704" s="11" t="n">
        <v>41</v>
      </c>
      <c r="L1704" s="23" t="n">
        <v>1.8</v>
      </c>
      <c r="M1704" s="24" t="b">
        <f aca="false">FALSE()</f>
        <v>0</v>
      </c>
      <c r="N1704" s="11"/>
      <c r="O1704" s="11" t="str">
        <f aca="false">IF(K1704&lt;=StockP33,"Low",IF(K1704&lt;=StockP67,"Moderate","High"))</f>
        <v>High</v>
      </c>
      <c r="P1704" s="11" t="str">
        <f aca="false">IF(H1704=0,"Low",IF(H1704&lt;=MarkdownP75,"Moderate","High"))</f>
        <v>Low</v>
      </c>
      <c r="Q1704" s="11" t="str">
        <f aca="false">IF(ISBLANK(L1704),"Unknown",IF(L1704&gt;=4,"Good",IF(L1704&lt;=2,"Poor","Neutral")))</f>
        <v>Poor</v>
      </c>
      <c r="R1704" s="11" t="str">
        <f aca="false">IF(AND(O1704="Low",P1704="Low",Q1704="Good"),"BUY / PRIORITIZE",IF(AND(O1704="High",P1704="High",OR(Q1704="Poor",M1704=TRUE())),"HOLD / REVIEW","MONITOR"))</f>
        <v>MONITOR</v>
      </c>
      <c r="S1704" s="11" t="n">
        <f aca="false">K1704+(ROW()/10000000)</f>
        <v>41.0001704</v>
      </c>
    </row>
    <row r="1705" customFormat="false" ht="15" hidden="false" customHeight="false" outlineLevel="0" collapsed="false">
      <c r="A1705" s="11" t="s">
        <v>2049</v>
      </c>
      <c r="B1705" s="11" t="s">
        <v>30</v>
      </c>
      <c r="C1705" s="11" t="s">
        <v>116</v>
      </c>
      <c r="D1705" s="11" t="s">
        <v>36</v>
      </c>
      <c r="E1705" s="11" t="s">
        <v>113</v>
      </c>
      <c r="F1705" s="11" t="s">
        <v>82</v>
      </c>
      <c r="G1705" s="21" t="n">
        <v>27.65</v>
      </c>
      <c r="H1705" s="19" t="n">
        <v>31.8</v>
      </c>
      <c r="I1705" s="21" t="n">
        <v>18.86</v>
      </c>
      <c r="J1705" s="22" t="s">
        <v>80</v>
      </c>
      <c r="K1705" s="11" t="n">
        <v>2</v>
      </c>
      <c r="L1705" s="23" t="n">
        <v>3.7</v>
      </c>
      <c r="M1705" s="24" t="b">
        <f aca="false">TRUE()</f>
        <v>1</v>
      </c>
      <c r="N1705" s="11" t="s">
        <v>128</v>
      </c>
      <c r="O1705" s="11" t="str">
        <f aca="false">IF(K1705&lt;=StockP33,"Low",IF(K1705&lt;=StockP67,"Moderate","High"))</f>
        <v>Low</v>
      </c>
      <c r="P1705" s="11" t="str">
        <f aca="false">IF(H1705=0,"Low",IF(H1705&lt;=MarkdownP75,"Moderate","High"))</f>
        <v>High</v>
      </c>
      <c r="Q1705" s="11" t="str">
        <f aca="false">IF(ISBLANK(L1705),"Unknown",IF(L1705&gt;=4,"Good",IF(L1705&lt;=2,"Poor","Neutral")))</f>
        <v>Neutral</v>
      </c>
      <c r="R1705" s="11" t="str">
        <f aca="false">IF(AND(O1705="Low",P1705="Low",Q1705="Good"),"BUY / PRIORITIZE",IF(AND(O1705="High",P1705="High",OR(Q1705="Poor",M1705=TRUE())),"HOLD / REVIEW","MONITOR"))</f>
        <v>MONITOR</v>
      </c>
      <c r="S1705" s="11" t="n">
        <f aca="false">K1705+(ROW()/10000000)</f>
        <v>2.0001705</v>
      </c>
    </row>
    <row r="1706" customFormat="false" ht="15" hidden="false" customHeight="false" outlineLevel="0" collapsed="false">
      <c r="A1706" s="11" t="s">
        <v>2050</v>
      </c>
      <c r="B1706" s="11" t="s">
        <v>26</v>
      </c>
      <c r="C1706" s="11" t="s">
        <v>86</v>
      </c>
      <c r="D1706" s="11" t="s">
        <v>34</v>
      </c>
      <c r="E1706" s="11" t="s">
        <v>113</v>
      </c>
      <c r="F1706" s="11" t="s">
        <v>120</v>
      </c>
      <c r="G1706" s="21" t="n">
        <v>31.54</v>
      </c>
      <c r="H1706" s="19" t="n">
        <v>0</v>
      </c>
      <c r="I1706" s="21" t="n">
        <v>31.54</v>
      </c>
      <c r="J1706" s="22" t="s">
        <v>2051</v>
      </c>
      <c r="K1706" s="11" t="n">
        <v>45</v>
      </c>
      <c r="L1706" s="23" t="n">
        <v>1.3</v>
      </c>
      <c r="M1706" s="24" t="b">
        <f aca="false">FALSE()</f>
        <v>0</v>
      </c>
      <c r="N1706" s="11"/>
      <c r="O1706" s="11" t="str">
        <f aca="false">IF(K1706&lt;=StockP33,"Low",IF(K1706&lt;=StockP67,"Moderate","High"))</f>
        <v>High</v>
      </c>
      <c r="P1706" s="11" t="str">
        <f aca="false">IF(H1706=0,"Low",IF(H1706&lt;=MarkdownP75,"Moderate","High"))</f>
        <v>Low</v>
      </c>
      <c r="Q1706" s="11" t="str">
        <f aca="false">IF(ISBLANK(L1706),"Unknown",IF(L1706&gt;=4,"Good",IF(L1706&lt;=2,"Poor","Neutral")))</f>
        <v>Poor</v>
      </c>
      <c r="R1706" s="11" t="str">
        <f aca="false">IF(AND(O1706="Low",P1706="Low",Q1706="Good"),"BUY / PRIORITIZE",IF(AND(O1706="High",P1706="High",OR(Q1706="Poor",M1706=TRUE())),"HOLD / REVIEW","MONITOR"))</f>
        <v>MONITOR</v>
      </c>
      <c r="S1706" s="11" t="n">
        <f aca="false">K1706+(ROW()/10000000)</f>
        <v>45.0001706</v>
      </c>
    </row>
    <row r="1707" customFormat="false" ht="15" hidden="false" customHeight="false" outlineLevel="0" collapsed="false">
      <c r="A1707" s="11" t="s">
        <v>2052</v>
      </c>
      <c r="B1707" s="11" t="s">
        <v>26</v>
      </c>
      <c r="C1707" s="11" t="s">
        <v>72</v>
      </c>
      <c r="D1707" s="11" t="s">
        <v>35</v>
      </c>
      <c r="E1707" s="11" t="s">
        <v>102</v>
      </c>
      <c r="F1707" s="11" t="s">
        <v>111</v>
      </c>
      <c r="G1707" s="21" t="n">
        <v>77.64</v>
      </c>
      <c r="H1707" s="19" t="n">
        <v>39.1</v>
      </c>
      <c r="I1707" s="21" t="n">
        <v>47.28</v>
      </c>
      <c r="J1707" s="22" t="s">
        <v>80</v>
      </c>
      <c r="K1707" s="11" t="n">
        <v>19</v>
      </c>
      <c r="L1707" s="23" t="n">
        <v>2.6</v>
      </c>
      <c r="M1707" s="24" t="b">
        <f aca="false">FALSE()</f>
        <v>0</v>
      </c>
      <c r="N1707" s="11"/>
      <c r="O1707" s="11" t="str">
        <f aca="false">IF(K1707&lt;=StockP33,"Low",IF(K1707&lt;=StockP67,"Moderate","High"))</f>
        <v>Moderate</v>
      </c>
      <c r="P1707" s="11" t="str">
        <f aca="false">IF(H1707=0,"Low",IF(H1707&lt;=MarkdownP75,"Moderate","High"))</f>
        <v>High</v>
      </c>
      <c r="Q1707" s="11" t="str">
        <f aca="false">IF(ISBLANK(L1707),"Unknown",IF(L1707&gt;=4,"Good",IF(L1707&lt;=2,"Poor","Neutral")))</f>
        <v>Neutral</v>
      </c>
      <c r="R1707" s="11" t="str">
        <f aca="false">IF(AND(O1707="Low",P1707="Low",Q1707="Good"),"BUY / PRIORITIZE",IF(AND(O1707="High",P1707="High",OR(Q1707="Poor",M1707=TRUE())),"HOLD / REVIEW","MONITOR"))</f>
        <v>MONITOR</v>
      </c>
      <c r="S1707" s="11" t="n">
        <f aca="false">K1707+(ROW()/10000000)</f>
        <v>19.0001707</v>
      </c>
    </row>
    <row r="1708" customFormat="false" ht="15" hidden="false" customHeight="false" outlineLevel="0" collapsed="false">
      <c r="A1708" s="11" t="s">
        <v>2053</v>
      </c>
      <c r="B1708" s="11" t="s">
        <v>27</v>
      </c>
      <c r="C1708" s="11" t="s">
        <v>101</v>
      </c>
      <c r="D1708" s="11" t="s">
        <v>37</v>
      </c>
      <c r="E1708" s="11" t="s">
        <v>73</v>
      </c>
      <c r="F1708" s="11" t="s">
        <v>79</v>
      </c>
      <c r="G1708" s="21" t="n">
        <v>51.48</v>
      </c>
      <c r="H1708" s="19" t="n">
        <v>0</v>
      </c>
      <c r="I1708" s="21" t="n">
        <v>51.48</v>
      </c>
      <c r="J1708" s="22" t="s">
        <v>80</v>
      </c>
      <c r="K1708" s="11" t="n">
        <v>10</v>
      </c>
      <c r="L1708" s="23" t="n">
        <v>1</v>
      </c>
      <c r="M1708" s="24" t="b">
        <f aca="false">FALSE()</f>
        <v>0</v>
      </c>
      <c r="N1708" s="11"/>
      <c r="O1708" s="11" t="str">
        <f aca="false">IF(K1708&lt;=StockP33,"Low",IF(K1708&lt;=StockP67,"Moderate","High"))</f>
        <v>Low</v>
      </c>
      <c r="P1708" s="11" t="str">
        <f aca="false">IF(H1708=0,"Low",IF(H1708&lt;=MarkdownP75,"Moderate","High"))</f>
        <v>Low</v>
      </c>
      <c r="Q1708" s="11" t="str">
        <f aca="false">IF(ISBLANK(L1708),"Unknown",IF(L1708&gt;=4,"Good",IF(L1708&lt;=2,"Poor","Neutral")))</f>
        <v>Poor</v>
      </c>
      <c r="R1708" s="11" t="str">
        <f aca="false">IF(AND(O1708="Low",P1708="Low",Q1708="Good"),"BUY / PRIORITIZE",IF(AND(O1708="High",P1708="High",OR(Q1708="Poor",M1708=TRUE())),"HOLD / REVIEW","MONITOR"))</f>
        <v>MONITOR</v>
      </c>
      <c r="S1708" s="11" t="n">
        <f aca="false">K1708+(ROW()/10000000)</f>
        <v>10.0001708</v>
      </c>
    </row>
    <row r="1709" customFormat="false" ht="15" hidden="false" customHeight="false" outlineLevel="0" collapsed="false">
      <c r="A1709" s="11" t="s">
        <v>2054</v>
      </c>
      <c r="B1709" s="11" t="s">
        <v>28</v>
      </c>
      <c r="C1709" s="11" t="s">
        <v>72</v>
      </c>
      <c r="D1709" s="11" t="s">
        <v>36</v>
      </c>
      <c r="E1709" s="11" t="s">
        <v>113</v>
      </c>
      <c r="F1709" s="11" t="s">
        <v>79</v>
      </c>
      <c r="G1709" s="21" t="n">
        <v>108.58</v>
      </c>
      <c r="H1709" s="19" t="n">
        <v>0</v>
      </c>
      <c r="I1709" s="21" t="n">
        <v>108.58</v>
      </c>
      <c r="J1709" s="22" t="s">
        <v>80</v>
      </c>
      <c r="K1709" s="11" t="n">
        <v>44</v>
      </c>
      <c r="L1709" s="23" t="n">
        <v>2.4</v>
      </c>
      <c r="M1709" s="24" t="b">
        <f aca="false">FALSE()</f>
        <v>0</v>
      </c>
      <c r="N1709" s="11"/>
      <c r="O1709" s="11" t="str">
        <f aca="false">IF(K1709&lt;=StockP33,"Low",IF(K1709&lt;=StockP67,"Moderate","High"))</f>
        <v>High</v>
      </c>
      <c r="P1709" s="11" t="str">
        <f aca="false">IF(H1709=0,"Low",IF(H1709&lt;=MarkdownP75,"Moderate","High"))</f>
        <v>Low</v>
      </c>
      <c r="Q1709" s="11" t="str">
        <f aca="false">IF(ISBLANK(L1709),"Unknown",IF(L1709&gt;=4,"Good",IF(L1709&lt;=2,"Poor","Neutral")))</f>
        <v>Neutral</v>
      </c>
      <c r="R1709" s="11" t="str">
        <f aca="false">IF(AND(O1709="Low",P1709="Low",Q1709="Good"),"BUY / PRIORITIZE",IF(AND(O1709="High",P1709="High",OR(Q1709="Poor",M1709=TRUE())),"HOLD / REVIEW","MONITOR"))</f>
        <v>MONITOR</v>
      </c>
      <c r="S1709" s="11" t="n">
        <f aca="false">K1709+(ROW()/10000000)</f>
        <v>44.0001709</v>
      </c>
    </row>
    <row r="1710" customFormat="false" ht="15" hidden="false" customHeight="false" outlineLevel="0" collapsed="false">
      <c r="A1710" s="11" t="s">
        <v>2055</v>
      </c>
      <c r="B1710" s="11" t="s">
        <v>30</v>
      </c>
      <c r="C1710" s="11" t="s">
        <v>130</v>
      </c>
      <c r="D1710" s="11" t="s">
        <v>37</v>
      </c>
      <c r="E1710" s="11" t="s">
        <v>102</v>
      </c>
      <c r="F1710" s="11" t="s">
        <v>82</v>
      </c>
      <c r="G1710" s="21" t="n">
        <v>84.17</v>
      </c>
      <c r="H1710" s="19" t="n">
        <v>0</v>
      </c>
      <c r="I1710" s="21" t="n">
        <v>84.17</v>
      </c>
      <c r="J1710" s="22" t="s">
        <v>80</v>
      </c>
      <c r="K1710" s="11" t="n">
        <v>20</v>
      </c>
      <c r="L1710" s="23" t="n">
        <v>3.7</v>
      </c>
      <c r="M1710" s="24" t="b">
        <f aca="false">FALSE()</f>
        <v>0</v>
      </c>
      <c r="N1710" s="11"/>
      <c r="O1710" s="11" t="str">
        <f aca="false">IF(K1710&lt;=StockP33,"Low",IF(K1710&lt;=StockP67,"Moderate","High"))</f>
        <v>Moderate</v>
      </c>
      <c r="P1710" s="11" t="str">
        <f aca="false">IF(H1710=0,"Low",IF(H1710&lt;=MarkdownP75,"Moderate","High"))</f>
        <v>Low</v>
      </c>
      <c r="Q1710" s="11" t="str">
        <f aca="false">IF(ISBLANK(L1710),"Unknown",IF(L1710&gt;=4,"Good",IF(L1710&lt;=2,"Poor","Neutral")))</f>
        <v>Neutral</v>
      </c>
      <c r="R1710" s="11" t="str">
        <f aca="false">IF(AND(O1710="Low",P1710="Low",Q1710="Good"),"BUY / PRIORITIZE",IF(AND(O1710="High",P1710="High",OR(Q1710="Poor",M1710=TRUE())),"HOLD / REVIEW","MONITOR"))</f>
        <v>MONITOR</v>
      </c>
      <c r="S1710" s="11" t="n">
        <f aca="false">K1710+(ROW()/10000000)</f>
        <v>20.000171</v>
      </c>
    </row>
    <row r="1711" customFormat="false" ht="15" hidden="false" customHeight="false" outlineLevel="0" collapsed="false">
      <c r="A1711" s="11" t="s">
        <v>2056</v>
      </c>
      <c r="B1711" s="11" t="s">
        <v>26</v>
      </c>
      <c r="C1711" s="11" t="s">
        <v>95</v>
      </c>
      <c r="D1711" s="11" t="s">
        <v>34</v>
      </c>
      <c r="E1711" s="11" t="s">
        <v>78</v>
      </c>
      <c r="F1711" s="11" t="s">
        <v>79</v>
      </c>
      <c r="G1711" s="21" t="n">
        <v>76.45</v>
      </c>
      <c r="H1711" s="19" t="n">
        <v>0</v>
      </c>
      <c r="I1711" s="21" t="n">
        <v>76.45</v>
      </c>
      <c r="J1711" s="22" t="s">
        <v>526</v>
      </c>
      <c r="K1711" s="11" t="n">
        <v>16</v>
      </c>
      <c r="L1711" s="23" t="n">
        <v>1</v>
      </c>
      <c r="M1711" s="24" t="b">
        <f aca="false">TRUE()</f>
        <v>1</v>
      </c>
      <c r="N1711" s="11" t="s">
        <v>89</v>
      </c>
      <c r="O1711" s="11" t="str">
        <f aca="false">IF(K1711&lt;=StockP33,"Low",IF(K1711&lt;=StockP67,"Moderate","High"))</f>
        <v>Low</v>
      </c>
      <c r="P1711" s="11" t="str">
        <f aca="false">IF(H1711=0,"Low",IF(H1711&lt;=MarkdownP75,"Moderate","High"))</f>
        <v>Low</v>
      </c>
      <c r="Q1711" s="11" t="str">
        <f aca="false">IF(ISBLANK(L1711),"Unknown",IF(L1711&gt;=4,"Good",IF(L1711&lt;=2,"Poor","Neutral")))</f>
        <v>Poor</v>
      </c>
      <c r="R1711" s="11" t="str">
        <f aca="false">IF(AND(O1711="Low",P1711="Low",Q1711="Good"),"BUY / PRIORITIZE",IF(AND(O1711="High",P1711="High",OR(Q1711="Poor",M1711=TRUE())),"HOLD / REVIEW","MONITOR"))</f>
        <v>MONITOR</v>
      </c>
      <c r="S1711" s="11" t="n">
        <f aca="false">K1711+(ROW()/10000000)</f>
        <v>16.0001711</v>
      </c>
    </row>
    <row r="1712" customFormat="false" ht="15" hidden="false" customHeight="false" outlineLevel="0" collapsed="false">
      <c r="A1712" s="11" t="s">
        <v>2057</v>
      </c>
      <c r="B1712" s="11" t="s">
        <v>8</v>
      </c>
      <c r="C1712" s="11" t="s">
        <v>77</v>
      </c>
      <c r="D1712" s="11" t="s">
        <v>34</v>
      </c>
      <c r="E1712" s="11"/>
      <c r="F1712" s="11" t="s">
        <v>92</v>
      </c>
      <c r="G1712" s="21" t="n">
        <v>50.31</v>
      </c>
      <c r="H1712" s="19" t="n">
        <v>0</v>
      </c>
      <c r="I1712" s="21" t="n">
        <v>50.31</v>
      </c>
      <c r="J1712" s="22" t="s">
        <v>1996</v>
      </c>
      <c r="K1712" s="11" t="n">
        <v>36</v>
      </c>
      <c r="L1712" s="23"/>
      <c r="M1712" s="24" t="b">
        <f aca="false">FALSE()</f>
        <v>0</v>
      </c>
      <c r="N1712" s="11"/>
      <c r="O1712" s="11" t="str">
        <f aca="false">IF(K1712&lt;=StockP33,"Low",IF(K1712&lt;=StockP67,"Moderate","High"))</f>
        <v>High</v>
      </c>
      <c r="P1712" s="11" t="str">
        <f aca="false">IF(H1712=0,"Low",IF(H1712&lt;=MarkdownP75,"Moderate","High"))</f>
        <v>Low</v>
      </c>
      <c r="Q1712" s="11" t="str">
        <f aca="false">IF(ISBLANK(L1712),"Unknown",IF(L1712&gt;=4,"Good",IF(L1712&lt;=2,"Poor","Neutral")))</f>
        <v>Unknown</v>
      </c>
      <c r="R1712" s="11" t="str">
        <f aca="false">IF(AND(O1712="Low",P1712="Low",Q1712="Good"),"BUY / PRIORITIZE",IF(AND(O1712="High",P1712="High",OR(Q1712="Poor",M1712=TRUE())),"HOLD / REVIEW","MONITOR"))</f>
        <v>MONITOR</v>
      </c>
      <c r="S1712" s="11" t="n">
        <f aca="false">K1712+(ROW()/10000000)</f>
        <v>36.0001712</v>
      </c>
    </row>
    <row r="1713" customFormat="false" ht="15" hidden="false" customHeight="false" outlineLevel="0" collapsed="false">
      <c r="A1713" s="11" t="s">
        <v>2058</v>
      </c>
      <c r="B1713" s="11" t="s">
        <v>30</v>
      </c>
      <c r="C1713" s="11" t="s">
        <v>116</v>
      </c>
      <c r="D1713" s="11" t="s">
        <v>34</v>
      </c>
      <c r="E1713" s="11" t="s">
        <v>91</v>
      </c>
      <c r="F1713" s="11" t="s">
        <v>79</v>
      </c>
      <c r="G1713" s="21" t="n">
        <v>43.45</v>
      </c>
      <c r="H1713" s="19" t="n">
        <v>0</v>
      </c>
      <c r="I1713" s="21" t="n">
        <v>43.45</v>
      </c>
      <c r="J1713" s="22" t="s">
        <v>372</v>
      </c>
      <c r="K1713" s="11" t="n">
        <v>30</v>
      </c>
      <c r="L1713" s="23" t="n">
        <v>2.3</v>
      </c>
      <c r="M1713" s="24" t="b">
        <f aca="false">FALSE()</f>
        <v>0</v>
      </c>
      <c r="N1713" s="11"/>
      <c r="O1713" s="11" t="str">
        <f aca="false">IF(K1713&lt;=StockP33,"Low",IF(K1713&lt;=StockP67,"Moderate","High"))</f>
        <v>Moderate</v>
      </c>
      <c r="P1713" s="11" t="str">
        <f aca="false">IF(H1713=0,"Low",IF(H1713&lt;=MarkdownP75,"Moderate","High"))</f>
        <v>Low</v>
      </c>
      <c r="Q1713" s="11" t="str">
        <f aca="false">IF(ISBLANK(L1713),"Unknown",IF(L1713&gt;=4,"Good",IF(L1713&lt;=2,"Poor","Neutral")))</f>
        <v>Neutral</v>
      </c>
      <c r="R1713" s="11" t="str">
        <f aca="false">IF(AND(O1713="Low",P1713="Low",Q1713="Good"),"BUY / PRIORITIZE",IF(AND(O1713="High",P1713="High",OR(Q1713="Poor",M1713=TRUE())),"HOLD / REVIEW","MONITOR"))</f>
        <v>MONITOR</v>
      </c>
      <c r="S1713" s="11" t="n">
        <f aca="false">K1713+(ROW()/10000000)</f>
        <v>30.0001713</v>
      </c>
    </row>
    <row r="1714" customFormat="false" ht="15" hidden="false" customHeight="false" outlineLevel="0" collapsed="false">
      <c r="A1714" s="11" t="s">
        <v>2059</v>
      </c>
      <c r="B1714" s="11" t="s">
        <v>27</v>
      </c>
      <c r="C1714" s="11" t="s">
        <v>77</v>
      </c>
      <c r="D1714" s="11" t="s">
        <v>36</v>
      </c>
      <c r="E1714" s="11" t="s">
        <v>73</v>
      </c>
      <c r="F1714" s="11" t="s">
        <v>92</v>
      </c>
      <c r="G1714" s="21" t="n">
        <v>149.22</v>
      </c>
      <c r="H1714" s="19" t="n">
        <v>53.9</v>
      </c>
      <c r="I1714" s="21" t="n">
        <v>68.79</v>
      </c>
      <c r="J1714" s="22" t="s">
        <v>80</v>
      </c>
      <c r="K1714" s="11" t="n">
        <v>41</v>
      </c>
      <c r="L1714" s="23" t="n">
        <v>2.2</v>
      </c>
      <c r="M1714" s="24" t="b">
        <f aca="false">FALSE()</f>
        <v>0</v>
      </c>
      <c r="N1714" s="11"/>
      <c r="O1714" s="11" t="str">
        <f aca="false">IF(K1714&lt;=StockP33,"Low",IF(K1714&lt;=StockP67,"Moderate","High"))</f>
        <v>High</v>
      </c>
      <c r="P1714" s="11" t="str">
        <f aca="false">IF(H1714=0,"Low",IF(H1714&lt;=MarkdownP75,"Moderate","High"))</f>
        <v>High</v>
      </c>
      <c r="Q1714" s="11" t="str">
        <f aca="false">IF(ISBLANK(L1714),"Unknown",IF(L1714&gt;=4,"Good",IF(L1714&lt;=2,"Poor","Neutral")))</f>
        <v>Neutral</v>
      </c>
      <c r="R1714" s="11" t="str">
        <f aca="false">IF(AND(O1714="Low",P1714="Low",Q1714="Good"),"BUY / PRIORITIZE",IF(AND(O1714="High",P1714="High",OR(Q1714="Poor",M1714=TRUE())),"HOLD / REVIEW","MONITOR"))</f>
        <v>MONITOR</v>
      </c>
      <c r="S1714" s="11" t="n">
        <f aca="false">K1714+(ROW()/10000000)</f>
        <v>41.0001714</v>
      </c>
    </row>
    <row r="1715" customFormat="false" ht="15" hidden="false" customHeight="false" outlineLevel="0" collapsed="false">
      <c r="A1715" s="11" t="s">
        <v>2060</v>
      </c>
      <c r="B1715" s="11" t="s">
        <v>26</v>
      </c>
      <c r="C1715" s="11" t="s">
        <v>116</v>
      </c>
      <c r="D1715" s="11" t="s">
        <v>35</v>
      </c>
      <c r="E1715" s="11" t="s">
        <v>110</v>
      </c>
      <c r="F1715" s="11" t="s">
        <v>92</v>
      </c>
      <c r="G1715" s="21" t="n">
        <v>48.24</v>
      </c>
      <c r="H1715" s="19" t="n">
        <v>31.7</v>
      </c>
      <c r="I1715" s="21" t="n">
        <v>32.95</v>
      </c>
      <c r="J1715" s="22" t="s">
        <v>80</v>
      </c>
      <c r="K1715" s="11" t="n">
        <v>46</v>
      </c>
      <c r="L1715" s="23" t="n">
        <v>3.7</v>
      </c>
      <c r="M1715" s="24" t="b">
        <f aca="false">FALSE()</f>
        <v>0</v>
      </c>
      <c r="N1715" s="11"/>
      <c r="O1715" s="11" t="str">
        <f aca="false">IF(K1715&lt;=StockP33,"Low",IF(K1715&lt;=StockP67,"Moderate","High"))</f>
        <v>High</v>
      </c>
      <c r="P1715" s="11" t="str">
        <f aca="false">IF(H1715=0,"Low",IF(H1715&lt;=MarkdownP75,"Moderate","High"))</f>
        <v>High</v>
      </c>
      <c r="Q1715" s="11" t="str">
        <f aca="false">IF(ISBLANK(L1715),"Unknown",IF(L1715&gt;=4,"Good",IF(L1715&lt;=2,"Poor","Neutral")))</f>
        <v>Neutral</v>
      </c>
      <c r="R1715" s="11" t="str">
        <f aca="false">IF(AND(O1715="Low",P1715="Low",Q1715="Good"),"BUY / PRIORITIZE",IF(AND(O1715="High",P1715="High",OR(Q1715="Poor",M1715=TRUE())),"HOLD / REVIEW","MONITOR"))</f>
        <v>MONITOR</v>
      </c>
      <c r="S1715" s="11" t="n">
        <f aca="false">K1715+(ROW()/10000000)</f>
        <v>46.0001715</v>
      </c>
    </row>
    <row r="1716" customFormat="false" ht="15" hidden="false" customHeight="false" outlineLevel="0" collapsed="false">
      <c r="A1716" s="11" t="s">
        <v>2061</v>
      </c>
      <c r="B1716" s="11" t="s">
        <v>26</v>
      </c>
      <c r="C1716" s="11" t="s">
        <v>101</v>
      </c>
      <c r="D1716" s="11" t="s">
        <v>35</v>
      </c>
      <c r="E1716" s="11" t="s">
        <v>91</v>
      </c>
      <c r="F1716" s="11" t="s">
        <v>124</v>
      </c>
      <c r="G1716" s="21" t="n">
        <v>66.27</v>
      </c>
      <c r="H1716" s="19" t="n">
        <v>21.7</v>
      </c>
      <c r="I1716" s="21" t="n">
        <v>51.89</v>
      </c>
      <c r="J1716" s="22" t="s">
        <v>80</v>
      </c>
      <c r="K1716" s="11" t="n">
        <v>28</v>
      </c>
      <c r="L1716" s="23" t="n">
        <v>2.5</v>
      </c>
      <c r="M1716" s="24" t="b">
        <f aca="false">TRUE()</f>
        <v>1</v>
      </c>
      <c r="N1716" s="11" t="s">
        <v>178</v>
      </c>
      <c r="O1716" s="11" t="str">
        <f aca="false">IF(K1716&lt;=StockP33,"Low",IF(K1716&lt;=StockP67,"Moderate","High"))</f>
        <v>Moderate</v>
      </c>
      <c r="P1716" s="11" t="str">
        <f aca="false">IF(H1716=0,"Low",IF(H1716&lt;=MarkdownP75,"Moderate","High"))</f>
        <v>Moderate</v>
      </c>
      <c r="Q1716" s="11" t="str">
        <f aca="false">IF(ISBLANK(L1716),"Unknown",IF(L1716&gt;=4,"Good",IF(L1716&lt;=2,"Poor","Neutral")))</f>
        <v>Neutral</v>
      </c>
      <c r="R1716" s="11" t="str">
        <f aca="false">IF(AND(O1716="Low",P1716="Low",Q1716="Good"),"BUY / PRIORITIZE",IF(AND(O1716="High",P1716="High",OR(Q1716="Poor",M1716=TRUE())),"HOLD / REVIEW","MONITOR"))</f>
        <v>MONITOR</v>
      </c>
      <c r="S1716" s="11" t="n">
        <f aca="false">K1716+(ROW()/10000000)</f>
        <v>28.0001716</v>
      </c>
    </row>
    <row r="1717" customFormat="false" ht="15" hidden="false" customHeight="false" outlineLevel="0" collapsed="false">
      <c r="A1717" s="11" t="s">
        <v>2062</v>
      </c>
      <c r="B1717" s="11" t="s">
        <v>29</v>
      </c>
      <c r="C1717" s="11" t="s">
        <v>101</v>
      </c>
      <c r="D1717" s="11" t="s">
        <v>36</v>
      </c>
      <c r="E1717" s="11" t="s">
        <v>102</v>
      </c>
      <c r="F1717" s="11" t="s">
        <v>118</v>
      </c>
      <c r="G1717" s="21" t="n">
        <v>82.65</v>
      </c>
      <c r="H1717" s="19" t="n">
        <v>0</v>
      </c>
      <c r="I1717" s="21" t="n">
        <v>82.65</v>
      </c>
      <c r="J1717" s="22" t="s">
        <v>80</v>
      </c>
      <c r="K1717" s="11" t="n">
        <v>30</v>
      </c>
      <c r="L1717" s="23" t="n">
        <v>4.1</v>
      </c>
      <c r="M1717" s="24" t="b">
        <f aca="false">FALSE()</f>
        <v>0</v>
      </c>
      <c r="N1717" s="11"/>
      <c r="O1717" s="11" t="str">
        <f aca="false">IF(K1717&lt;=StockP33,"Low",IF(K1717&lt;=StockP67,"Moderate","High"))</f>
        <v>Moderate</v>
      </c>
      <c r="P1717" s="11" t="str">
        <f aca="false">IF(H1717=0,"Low",IF(H1717&lt;=MarkdownP75,"Moderate","High"))</f>
        <v>Low</v>
      </c>
      <c r="Q1717" s="11" t="str">
        <f aca="false">IF(ISBLANK(L1717),"Unknown",IF(L1717&gt;=4,"Good",IF(L1717&lt;=2,"Poor","Neutral")))</f>
        <v>Good</v>
      </c>
      <c r="R1717" s="11" t="str">
        <f aca="false">IF(AND(O1717="Low",P1717="Low",Q1717="Good"),"BUY / PRIORITIZE",IF(AND(O1717="High",P1717="High",OR(Q1717="Poor",M1717=TRUE())),"HOLD / REVIEW","MONITOR"))</f>
        <v>MONITOR</v>
      </c>
      <c r="S1717" s="11" t="n">
        <f aca="false">K1717+(ROW()/10000000)</f>
        <v>30.0001717</v>
      </c>
    </row>
    <row r="1718" customFormat="false" ht="15" hidden="false" customHeight="false" outlineLevel="0" collapsed="false">
      <c r="A1718" s="11" t="s">
        <v>2063</v>
      </c>
      <c r="B1718" s="11" t="s">
        <v>26</v>
      </c>
      <c r="C1718" s="11" t="s">
        <v>107</v>
      </c>
      <c r="D1718" s="11" t="s">
        <v>37</v>
      </c>
      <c r="E1718" s="11" t="s">
        <v>102</v>
      </c>
      <c r="F1718" s="11" t="s">
        <v>82</v>
      </c>
      <c r="G1718" s="21" t="n">
        <v>42.36</v>
      </c>
      <c r="H1718" s="19" t="n">
        <v>0</v>
      </c>
      <c r="I1718" s="21" t="n">
        <v>42.36</v>
      </c>
      <c r="J1718" s="22" t="s">
        <v>80</v>
      </c>
      <c r="K1718" s="11" t="n">
        <v>37</v>
      </c>
      <c r="L1718" s="23" t="n">
        <v>1.4</v>
      </c>
      <c r="M1718" s="24" t="b">
        <f aca="false">FALSE()</f>
        <v>0</v>
      </c>
      <c r="N1718" s="11"/>
      <c r="O1718" s="11" t="str">
        <f aca="false">IF(K1718&lt;=StockP33,"Low",IF(K1718&lt;=StockP67,"Moderate","High"))</f>
        <v>High</v>
      </c>
      <c r="P1718" s="11" t="str">
        <f aca="false">IF(H1718=0,"Low",IF(H1718&lt;=MarkdownP75,"Moderate","High"))</f>
        <v>Low</v>
      </c>
      <c r="Q1718" s="11" t="str">
        <f aca="false">IF(ISBLANK(L1718),"Unknown",IF(L1718&gt;=4,"Good",IF(L1718&lt;=2,"Poor","Neutral")))</f>
        <v>Poor</v>
      </c>
      <c r="R1718" s="11" t="str">
        <f aca="false">IF(AND(O1718="Low",P1718="Low",Q1718="Good"),"BUY / PRIORITIZE",IF(AND(O1718="High",P1718="High",OR(Q1718="Poor",M1718=TRUE())),"HOLD / REVIEW","MONITOR"))</f>
        <v>MONITOR</v>
      </c>
      <c r="S1718" s="11" t="n">
        <f aca="false">K1718+(ROW()/10000000)</f>
        <v>37.0001718</v>
      </c>
    </row>
    <row r="1719" customFormat="false" ht="15" hidden="false" customHeight="false" outlineLevel="0" collapsed="false">
      <c r="A1719" s="11" t="s">
        <v>2064</v>
      </c>
      <c r="B1719" s="11" t="s">
        <v>26</v>
      </c>
      <c r="C1719" s="11" t="s">
        <v>107</v>
      </c>
      <c r="D1719" s="11" t="s">
        <v>35</v>
      </c>
      <c r="E1719" s="11" t="s">
        <v>113</v>
      </c>
      <c r="F1719" s="11" t="s">
        <v>74</v>
      </c>
      <c r="G1719" s="21" t="n">
        <v>109.36</v>
      </c>
      <c r="H1719" s="19" t="n">
        <v>0</v>
      </c>
      <c r="I1719" s="21" t="n">
        <v>109.36</v>
      </c>
      <c r="J1719" s="22" t="s">
        <v>80</v>
      </c>
      <c r="K1719" s="11" t="n">
        <v>24</v>
      </c>
      <c r="L1719" s="23" t="n">
        <v>1.7</v>
      </c>
      <c r="M1719" s="24" t="b">
        <f aca="false">FALSE()</f>
        <v>0</v>
      </c>
      <c r="N1719" s="11"/>
      <c r="O1719" s="11" t="str">
        <f aca="false">IF(K1719&lt;=StockP33,"Low",IF(K1719&lt;=StockP67,"Moderate","High"))</f>
        <v>Moderate</v>
      </c>
      <c r="P1719" s="11" t="str">
        <f aca="false">IF(H1719=0,"Low",IF(H1719&lt;=MarkdownP75,"Moderate","High"))</f>
        <v>Low</v>
      </c>
      <c r="Q1719" s="11" t="str">
        <f aca="false">IF(ISBLANK(L1719),"Unknown",IF(L1719&gt;=4,"Good",IF(L1719&lt;=2,"Poor","Neutral")))</f>
        <v>Poor</v>
      </c>
      <c r="R1719" s="11" t="str">
        <f aca="false">IF(AND(O1719="Low",P1719="Low",Q1719="Good"),"BUY / PRIORITIZE",IF(AND(O1719="High",P1719="High",OR(Q1719="Poor",M1719=TRUE())),"HOLD / REVIEW","MONITOR"))</f>
        <v>MONITOR</v>
      </c>
      <c r="S1719" s="11" t="n">
        <f aca="false">K1719+(ROW()/10000000)</f>
        <v>24.0001719</v>
      </c>
    </row>
    <row r="1720" customFormat="false" ht="15" hidden="false" customHeight="false" outlineLevel="0" collapsed="false">
      <c r="A1720" s="11" t="s">
        <v>2065</v>
      </c>
      <c r="B1720" s="11" t="s">
        <v>8</v>
      </c>
      <c r="C1720" s="11" t="s">
        <v>107</v>
      </c>
      <c r="D1720" s="11" t="s">
        <v>37</v>
      </c>
      <c r="E1720" s="11"/>
      <c r="F1720" s="11" t="s">
        <v>111</v>
      </c>
      <c r="G1720" s="21" t="n">
        <v>59.98</v>
      </c>
      <c r="H1720" s="19" t="n">
        <v>0</v>
      </c>
      <c r="I1720" s="21" t="n">
        <v>59.98</v>
      </c>
      <c r="J1720" s="22" t="s">
        <v>80</v>
      </c>
      <c r="K1720" s="11" t="n">
        <v>28</v>
      </c>
      <c r="L1720" s="23" t="n">
        <v>2.2</v>
      </c>
      <c r="M1720" s="24" t="b">
        <f aca="false">FALSE()</f>
        <v>0</v>
      </c>
      <c r="N1720" s="11"/>
      <c r="O1720" s="11" t="str">
        <f aca="false">IF(K1720&lt;=StockP33,"Low",IF(K1720&lt;=StockP67,"Moderate","High"))</f>
        <v>Moderate</v>
      </c>
      <c r="P1720" s="11" t="str">
        <f aca="false">IF(H1720=0,"Low",IF(H1720&lt;=MarkdownP75,"Moderate","High"))</f>
        <v>Low</v>
      </c>
      <c r="Q1720" s="11" t="str">
        <f aca="false">IF(ISBLANK(L1720),"Unknown",IF(L1720&gt;=4,"Good",IF(L1720&lt;=2,"Poor","Neutral")))</f>
        <v>Neutral</v>
      </c>
      <c r="R1720" s="11" t="str">
        <f aca="false">IF(AND(O1720="Low",P1720="Low",Q1720="Good"),"BUY / PRIORITIZE",IF(AND(O1720="High",P1720="High",OR(Q1720="Poor",M1720=TRUE())),"HOLD / REVIEW","MONITOR"))</f>
        <v>MONITOR</v>
      </c>
      <c r="S1720" s="11" t="n">
        <f aca="false">K1720+(ROW()/10000000)</f>
        <v>28.000172</v>
      </c>
    </row>
    <row r="1721" customFormat="false" ht="15" hidden="false" customHeight="false" outlineLevel="0" collapsed="false">
      <c r="A1721" s="11" t="s">
        <v>2066</v>
      </c>
      <c r="B1721" s="11" t="s">
        <v>27</v>
      </c>
      <c r="C1721" s="11" t="s">
        <v>116</v>
      </c>
      <c r="D1721" s="11" t="s">
        <v>34</v>
      </c>
      <c r="E1721" s="11"/>
      <c r="F1721" s="11" t="s">
        <v>120</v>
      </c>
      <c r="G1721" s="21" t="n">
        <v>111.81</v>
      </c>
      <c r="H1721" s="19" t="n">
        <v>0</v>
      </c>
      <c r="I1721" s="21" t="n">
        <v>111.81</v>
      </c>
      <c r="J1721" s="22" t="s">
        <v>374</v>
      </c>
      <c r="K1721" s="11" t="n">
        <v>45</v>
      </c>
      <c r="L1721" s="23" t="n">
        <v>1.1</v>
      </c>
      <c r="M1721" s="24" t="b">
        <f aca="false">FALSE()</f>
        <v>0</v>
      </c>
      <c r="N1721" s="11"/>
      <c r="O1721" s="11" t="str">
        <f aca="false">IF(K1721&lt;=StockP33,"Low",IF(K1721&lt;=StockP67,"Moderate","High"))</f>
        <v>High</v>
      </c>
      <c r="P1721" s="11" t="str">
        <f aca="false">IF(H1721=0,"Low",IF(H1721&lt;=MarkdownP75,"Moderate","High"))</f>
        <v>Low</v>
      </c>
      <c r="Q1721" s="11" t="str">
        <f aca="false">IF(ISBLANK(L1721),"Unknown",IF(L1721&gt;=4,"Good",IF(L1721&lt;=2,"Poor","Neutral")))</f>
        <v>Poor</v>
      </c>
      <c r="R1721" s="11" t="str">
        <f aca="false">IF(AND(O1721="Low",P1721="Low",Q1721="Good"),"BUY / PRIORITIZE",IF(AND(O1721="High",P1721="High",OR(Q1721="Poor",M1721=TRUE())),"HOLD / REVIEW","MONITOR"))</f>
        <v>MONITOR</v>
      </c>
      <c r="S1721" s="11" t="n">
        <f aca="false">K1721+(ROW()/10000000)</f>
        <v>45.0001721</v>
      </c>
    </row>
    <row r="1722" customFormat="false" ht="15" hidden="false" customHeight="false" outlineLevel="0" collapsed="false">
      <c r="A1722" s="11" t="s">
        <v>2067</v>
      </c>
      <c r="B1722" s="11" t="s">
        <v>26</v>
      </c>
      <c r="C1722" s="11" t="s">
        <v>86</v>
      </c>
      <c r="D1722" s="11" t="s">
        <v>37</v>
      </c>
      <c r="E1722" s="11" t="s">
        <v>102</v>
      </c>
      <c r="F1722" s="11" t="s">
        <v>74</v>
      </c>
      <c r="G1722" s="21" t="n">
        <v>70.78</v>
      </c>
      <c r="H1722" s="19" t="n">
        <v>0</v>
      </c>
      <c r="I1722" s="21" t="n">
        <v>70.78</v>
      </c>
      <c r="J1722" s="22" t="s">
        <v>80</v>
      </c>
      <c r="K1722" s="11" t="n">
        <v>39</v>
      </c>
      <c r="L1722" s="23" t="n">
        <v>3.4</v>
      </c>
      <c r="M1722" s="24" t="b">
        <f aca="false">TRUE()</f>
        <v>1</v>
      </c>
      <c r="N1722" s="11" t="s">
        <v>89</v>
      </c>
      <c r="O1722" s="11" t="str">
        <f aca="false">IF(K1722&lt;=StockP33,"Low",IF(K1722&lt;=StockP67,"Moderate","High"))</f>
        <v>High</v>
      </c>
      <c r="P1722" s="11" t="str">
        <f aca="false">IF(H1722=0,"Low",IF(H1722&lt;=MarkdownP75,"Moderate","High"))</f>
        <v>Low</v>
      </c>
      <c r="Q1722" s="11" t="str">
        <f aca="false">IF(ISBLANK(L1722),"Unknown",IF(L1722&gt;=4,"Good",IF(L1722&lt;=2,"Poor","Neutral")))</f>
        <v>Neutral</v>
      </c>
      <c r="R1722" s="11" t="str">
        <f aca="false">IF(AND(O1722="Low",P1722="Low",Q1722="Good"),"BUY / PRIORITIZE",IF(AND(O1722="High",P1722="High",OR(Q1722="Poor",M1722=TRUE())),"HOLD / REVIEW","MONITOR"))</f>
        <v>MONITOR</v>
      </c>
      <c r="S1722" s="11" t="n">
        <f aca="false">K1722+(ROW()/10000000)</f>
        <v>39.0001722</v>
      </c>
    </row>
    <row r="1723" customFormat="false" ht="15" hidden="false" customHeight="false" outlineLevel="0" collapsed="false">
      <c r="A1723" s="11" t="s">
        <v>2068</v>
      </c>
      <c r="B1723" s="11" t="s">
        <v>8</v>
      </c>
      <c r="C1723" s="11" t="s">
        <v>95</v>
      </c>
      <c r="D1723" s="11" t="s">
        <v>37</v>
      </c>
      <c r="E1723" s="11"/>
      <c r="F1723" s="11" t="s">
        <v>79</v>
      </c>
      <c r="G1723" s="21" t="n">
        <v>76.13</v>
      </c>
      <c r="H1723" s="19" t="n">
        <v>58.5</v>
      </c>
      <c r="I1723" s="21" t="n">
        <v>31.59</v>
      </c>
      <c r="J1723" s="22" t="s">
        <v>80</v>
      </c>
      <c r="K1723" s="11" t="n">
        <v>40</v>
      </c>
      <c r="L1723" s="23" t="n">
        <v>1.6</v>
      </c>
      <c r="M1723" s="24" t="b">
        <f aca="false">FALSE()</f>
        <v>0</v>
      </c>
      <c r="N1723" s="11"/>
      <c r="O1723" s="11" t="str">
        <f aca="false">IF(K1723&lt;=StockP33,"Low",IF(K1723&lt;=StockP67,"Moderate","High"))</f>
        <v>High</v>
      </c>
      <c r="P1723" s="11" t="str">
        <f aca="false">IF(H1723=0,"Low",IF(H1723&lt;=MarkdownP75,"Moderate","High"))</f>
        <v>High</v>
      </c>
      <c r="Q1723" s="11" t="str">
        <f aca="false">IF(ISBLANK(L1723),"Unknown",IF(L1723&gt;=4,"Good",IF(L1723&lt;=2,"Poor","Neutral")))</f>
        <v>Poor</v>
      </c>
      <c r="R1723" s="11" t="str">
        <f aca="false">IF(AND(O1723="Low",P1723="Low",Q1723="Good"),"BUY / PRIORITIZE",IF(AND(O1723="High",P1723="High",OR(Q1723="Poor",M1723=TRUE())),"HOLD / REVIEW","MONITOR"))</f>
        <v>HOLD / REVIEW</v>
      </c>
      <c r="S1723" s="11" t="n">
        <f aca="false">K1723+(ROW()/10000000)</f>
        <v>40.0001723</v>
      </c>
    </row>
    <row r="1724" customFormat="false" ht="15" hidden="false" customHeight="false" outlineLevel="0" collapsed="false">
      <c r="A1724" s="11" t="s">
        <v>2069</v>
      </c>
      <c r="B1724" s="11" t="s">
        <v>26</v>
      </c>
      <c r="C1724" s="11" t="s">
        <v>86</v>
      </c>
      <c r="D1724" s="11" t="s">
        <v>36</v>
      </c>
      <c r="E1724" s="11" t="s">
        <v>110</v>
      </c>
      <c r="F1724" s="11" t="s">
        <v>79</v>
      </c>
      <c r="G1724" s="21" t="n">
        <v>71.09</v>
      </c>
      <c r="H1724" s="19" t="n">
        <v>41.5</v>
      </c>
      <c r="I1724" s="21" t="n">
        <v>41.59</v>
      </c>
      <c r="J1724" s="22" t="s">
        <v>80</v>
      </c>
      <c r="K1724" s="11" t="n">
        <v>20</v>
      </c>
      <c r="L1724" s="23" t="n">
        <v>3.1</v>
      </c>
      <c r="M1724" s="24" t="b">
        <f aca="false">FALSE()</f>
        <v>0</v>
      </c>
      <c r="N1724" s="11"/>
      <c r="O1724" s="11" t="str">
        <f aca="false">IF(K1724&lt;=StockP33,"Low",IF(K1724&lt;=StockP67,"Moderate","High"))</f>
        <v>Moderate</v>
      </c>
      <c r="P1724" s="11" t="str">
        <f aca="false">IF(H1724=0,"Low",IF(H1724&lt;=MarkdownP75,"Moderate","High"))</f>
        <v>High</v>
      </c>
      <c r="Q1724" s="11" t="str">
        <f aca="false">IF(ISBLANK(L1724),"Unknown",IF(L1724&gt;=4,"Good",IF(L1724&lt;=2,"Poor","Neutral")))</f>
        <v>Neutral</v>
      </c>
      <c r="R1724" s="11" t="str">
        <f aca="false">IF(AND(O1724="Low",P1724="Low",Q1724="Good"),"BUY / PRIORITIZE",IF(AND(O1724="High",P1724="High",OR(Q1724="Poor",M1724=TRUE())),"HOLD / REVIEW","MONITOR"))</f>
        <v>MONITOR</v>
      </c>
      <c r="S1724" s="11" t="n">
        <f aca="false">K1724+(ROW()/10000000)</f>
        <v>20.0001724</v>
      </c>
    </row>
    <row r="1725" customFormat="false" ht="15" hidden="false" customHeight="false" outlineLevel="0" collapsed="false">
      <c r="A1725" s="11" t="s">
        <v>2070</v>
      </c>
      <c r="B1725" s="11" t="s">
        <v>26</v>
      </c>
      <c r="C1725" s="11" t="s">
        <v>95</v>
      </c>
      <c r="D1725" s="11" t="s">
        <v>36</v>
      </c>
      <c r="E1725" s="11"/>
      <c r="F1725" s="11" t="s">
        <v>92</v>
      </c>
      <c r="G1725" s="21" t="n">
        <v>53.64</v>
      </c>
      <c r="H1725" s="19" t="n">
        <v>55.9</v>
      </c>
      <c r="I1725" s="21" t="n">
        <v>23.66</v>
      </c>
      <c r="J1725" s="22" t="s">
        <v>80</v>
      </c>
      <c r="K1725" s="11" t="n">
        <v>10</v>
      </c>
      <c r="L1725" s="23" t="n">
        <v>2.5</v>
      </c>
      <c r="M1725" s="24" t="b">
        <f aca="false">FALSE()</f>
        <v>0</v>
      </c>
      <c r="N1725" s="11"/>
      <c r="O1725" s="11" t="str">
        <f aca="false">IF(K1725&lt;=StockP33,"Low",IF(K1725&lt;=StockP67,"Moderate","High"))</f>
        <v>Low</v>
      </c>
      <c r="P1725" s="11" t="str">
        <f aca="false">IF(H1725=0,"Low",IF(H1725&lt;=MarkdownP75,"Moderate","High"))</f>
        <v>High</v>
      </c>
      <c r="Q1725" s="11" t="str">
        <f aca="false">IF(ISBLANK(L1725),"Unknown",IF(L1725&gt;=4,"Good",IF(L1725&lt;=2,"Poor","Neutral")))</f>
        <v>Neutral</v>
      </c>
      <c r="R1725" s="11" t="str">
        <f aca="false">IF(AND(O1725="Low",P1725="Low",Q1725="Good"),"BUY / PRIORITIZE",IF(AND(O1725="High",P1725="High",OR(Q1725="Poor",M1725=TRUE())),"HOLD / REVIEW","MONITOR"))</f>
        <v>MONITOR</v>
      </c>
      <c r="S1725" s="11" t="n">
        <f aca="false">K1725+(ROW()/10000000)</f>
        <v>10.0001725</v>
      </c>
    </row>
    <row r="1726" customFormat="false" ht="15" hidden="false" customHeight="false" outlineLevel="0" collapsed="false">
      <c r="A1726" s="11" t="s">
        <v>2071</v>
      </c>
      <c r="B1726" s="11" t="s">
        <v>29</v>
      </c>
      <c r="C1726" s="11" t="s">
        <v>107</v>
      </c>
      <c r="D1726" s="11" t="s">
        <v>36</v>
      </c>
      <c r="E1726" s="11"/>
      <c r="F1726" s="11" t="s">
        <v>124</v>
      </c>
      <c r="G1726" s="21" t="n">
        <v>110.2</v>
      </c>
      <c r="H1726" s="19" t="n">
        <v>59.7</v>
      </c>
      <c r="I1726" s="21" t="n">
        <v>44.41</v>
      </c>
      <c r="J1726" s="22" t="s">
        <v>80</v>
      </c>
      <c r="K1726" s="11" t="n">
        <v>13</v>
      </c>
      <c r="L1726" s="23" t="n">
        <v>3.5</v>
      </c>
      <c r="M1726" s="24" t="b">
        <f aca="false">TRUE()</f>
        <v>1</v>
      </c>
      <c r="N1726" s="11" t="s">
        <v>89</v>
      </c>
      <c r="O1726" s="11" t="str">
        <f aca="false">IF(K1726&lt;=StockP33,"Low",IF(K1726&lt;=StockP67,"Moderate","High"))</f>
        <v>Low</v>
      </c>
      <c r="P1726" s="11" t="str">
        <f aca="false">IF(H1726=0,"Low",IF(H1726&lt;=MarkdownP75,"Moderate","High"))</f>
        <v>High</v>
      </c>
      <c r="Q1726" s="11" t="str">
        <f aca="false">IF(ISBLANK(L1726),"Unknown",IF(L1726&gt;=4,"Good",IF(L1726&lt;=2,"Poor","Neutral")))</f>
        <v>Neutral</v>
      </c>
      <c r="R1726" s="11" t="str">
        <f aca="false">IF(AND(O1726="Low",P1726="Low",Q1726="Good"),"BUY / PRIORITIZE",IF(AND(O1726="High",P1726="High",OR(Q1726="Poor",M1726=TRUE())),"HOLD / REVIEW","MONITOR"))</f>
        <v>MONITOR</v>
      </c>
      <c r="S1726" s="11" t="n">
        <f aca="false">K1726+(ROW()/10000000)</f>
        <v>13.0001726</v>
      </c>
    </row>
    <row r="1727" customFormat="false" ht="15" hidden="false" customHeight="false" outlineLevel="0" collapsed="false">
      <c r="A1727" s="11" t="s">
        <v>2072</v>
      </c>
      <c r="B1727" s="11" t="s">
        <v>29</v>
      </c>
      <c r="C1727" s="11" t="s">
        <v>77</v>
      </c>
      <c r="D1727" s="11" t="s">
        <v>35</v>
      </c>
      <c r="E1727" s="11" t="s">
        <v>102</v>
      </c>
      <c r="F1727" s="11" t="s">
        <v>98</v>
      </c>
      <c r="G1727" s="21" t="n">
        <v>80.63</v>
      </c>
      <c r="H1727" s="19" t="n">
        <v>17.4</v>
      </c>
      <c r="I1727" s="21" t="n">
        <v>66.6</v>
      </c>
      <c r="J1727" s="22" t="s">
        <v>80</v>
      </c>
      <c r="K1727" s="11" t="n">
        <v>6</v>
      </c>
      <c r="L1727" s="23"/>
      <c r="M1727" s="24" t="b">
        <f aca="false">TRUE()</f>
        <v>1</v>
      </c>
      <c r="N1727" s="11" t="s">
        <v>134</v>
      </c>
      <c r="O1727" s="11" t="str">
        <f aca="false">IF(K1727&lt;=StockP33,"Low",IF(K1727&lt;=StockP67,"Moderate","High"))</f>
        <v>Low</v>
      </c>
      <c r="P1727" s="11" t="str">
        <f aca="false">IF(H1727=0,"Low",IF(H1727&lt;=MarkdownP75,"Moderate","High"))</f>
        <v>Moderate</v>
      </c>
      <c r="Q1727" s="11" t="str">
        <f aca="false">IF(ISBLANK(L1727),"Unknown",IF(L1727&gt;=4,"Good",IF(L1727&lt;=2,"Poor","Neutral")))</f>
        <v>Unknown</v>
      </c>
      <c r="R1727" s="11" t="str">
        <f aca="false">IF(AND(O1727="Low",P1727="Low",Q1727="Good"),"BUY / PRIORITIZE",IF(AND(O1727="High",P1727="High",OR(Q1727="Poor",M1727=TRUE())),"HOLD / REVIEW","MONITOR"))</f>
        <v>MONITOR</v>
      </c>
      <c r="S1727" s="11" t="n">
        <f aca="false">K1727+(ROW()/10000000)</f>
        <v>6.0001727</v>
      </c>
    </row>
    <row r="1728" customFormat="false" ht="15" hidden="false" customHeight="false" outlineLevel="0" collapsed="false">
      <c r="A1728" s="11" t="s">
        <v>2073</v>
      </c>
      <c r="B1728" s="11" t="s">
        <v>27</v>
      </c>
      <c r="C1728" s="11" t="s">
        <v>95</v>
      </c>
      <c r="D1728" s="11" t="s">
        <v>34</v>
      </c>
      <c r="E1728" s="11" t="s">
        <v>73</v>
      </c>
      <c r="F1728" s="11" t="s">
        <v>98</v>
      </c>
      <c r="G1728" s="21" t="n">
        <v>101.09</v>
      </c>
      <c r="H1728" s="19" t="n">
        <v>24.8</v>
      </c>
      <c r="I1728" s="21" t="n">
        <v>76.02</v>
      </c>
      <c r="J1728" s="22" t="s">
        <v>1510</v>
      </c>
      <c r="K1728" s="11" t="n">
        <v>7</v>
      </c>
      <c r="L1728" s="23" t="n">
        <v>4.5</v>
      </c>
      <c r="M1728" s="24" t="b">
        <f aca="false">TRUE()</f>
        <v>1</v>
      </c>
      <c r="N1728" s="11" t="s">
        <v>134</v>
      </c>
      <c r="O1728" s="11" t="str">
        <f aca="false">IF(K1728&lt;=StockP33,"Low",IF(K1728&lt;=StockP67,"Moderate","High"))</f>
        <v>Low</v>
      </c>
      <c r="P1728" s="11" t="str">
        <f aca="false">IF(H1728=0,"Low",IF(H1728&lt;=MarkdownP75,"Moderate","High"))</f>
        <v>High</v>
      </c>
      <c r="Q1728" s="11" t="str">
        <f aca="false">IF(ISBLANK(L1728),"Unknown",IF(L1728&gt;=4,"Good",IF(L1728&lt;=2,"Poor","Neutral")))</f>
        <v>Good</v>
      </c>
      <c r="R1728" s="11" t="str">
        <f aca="false">IF(AND(O1728="Low",P1728="Low",Q1728="Good"),"BUY / PRIORITIZE",IF(AND(O1728="High",P1728="High",OR(Q1728="Poor",M1728=TRUE())),"HOLD / REVIEW","MONITOR"))</f>
        <v>MONITOR</v>
      </c>
      <c r="S1728" s="11" t="n">
        <f aca="false">K1728+(ROW()/10000000)</f>
        <v>7.0001728</v>
      </c>
    </row>
    <row r="1729" customFormat="false" ht="15" hidden="false" customHeight="false" outlineLevel="0" collapsed="false">
      <c r="A1729" s="11" t="s">
        <v>2074</v>
      </c>
      <c r="B1729" s="11" t="s">
        <v>8</v>
      </c>
      <c r="C1729" s="11" t="s">
        <v>72</v>
      </c>
      <c r="D1729" s="11" t="s">
        <v>34</v>
      </c>
      <c r="E1729" s="11"/>
      <c r="F1729" s="11" t="s">
        <v>118</v>
      </c>
      <c r="G1729" s="21" t="n">
        <v>75.48</v>
      </c>
      <c r="H1729" s="19" t="n">
        <v>0</v>
      </c>
      <c r="I1729" s="21" t="n">
        <v>75.48</v>
      </c>
      <c r="J1729" s="22" t="s">
        <v>2075</v>
      </c>
      <c r="K1729" s="11" t="n">
        <v>16</v>
      </c>
      <c r="L1729" s="23" t="n">
        <v>1.4</v>
      </c>
      <c r="M1729" s="24" t="b">
        <f aca="false">FALSE()</f>
        <v>0</v>
      </c>
      <c r="N1729" s="11"/>
      <c r="O1729" s="11" t="str">
        <f aca="false">IF(K1729&lt;=StockP33,"Low",IF(K1729&lt;=StockP67,"Moderate","High"))</f>
        <v>Low</v>
      </c>
      <c r="P1729" s="11" t="str">
        <f aca="false">IF(H1729=0,"Low",IF(H1729&lt;=MarkdownP75,"Moderate","High"))</f>
        <v>Low</v>
      </c>
      <c r="Q1729" s="11" t="str">
        <f aca="false">IF(ISBLANK(L1729),"Unknown",IF(L1729&gt;=4,"Good",IF(L1729&lt;=2,"Poor","Neutral")))</f>
        <v>Poor</v>
      </c>
      <c r="R1729" s="11" t="str">
        <f aca="false">IF(AND(O1729="Low",P1729="Low",Q1729="Good"),"BUY / PRIORITIZE",IF(AND(O1729="High",P1729="High",OR(Q1729="Poor",M1729=TRUE())),"HOLD / REVIEW","MONITOR"))</f>
        <v>MONITOR</v>
      </c>
      <c r="S1729" s="11" t="n">
        <f aca="false">K1729+(ROW()/10000000)</f>
        <v>16.0001729</v>
      </c>
    </row>
    <row r="1730" customFormat="false" ht="15" hidden="false" customHeight="false" outlineLevel="0" collapsed="false">
      <c r="A1730" s="11" t="s">
        <v>2076</v>
      </c>
      <c r="B1730" s="11" t="s">
        <v>29</v>
      </c>
      <c r="C1730" s="11" t="s">
        <v>86</v>
      </c>
      <c r="D1730" s="11" t="s">
        <v>35</v>
      </c>
      <c r="E1730" s="11" t="s">
        <v>91</v>
      </c>
      <c r="F1730" s="11" t="s">
        <v>124</v>
      </c>
      <c r="G1730" s="21" t="n">
        <v>159.95</v>
      </c>
      <c r="H1730" s="19" t="n">
        <v>6.4</v>
      </c>
      <c r="I1730" s="21" t="n">
        <v>149.71</v>
      </c>
      <c r="J1730" s="22" t="s">
        <v>80</v>
      </c>
      <c r="K1730" s="11" t="n">
        <v>39</v>
      </c>
      <c r="L1730" s="23" t="n">
        <v>3</v>
      </c>
      <c r="M1730" s="24" t="b">
        <f aca="false">FALSE()</f>
        <v>0</v>
      </c>
      <c r="N1730" s="11"/>
      <c r="O1730" s="11" t="str">
        <f aca="false">IF(K1730&lt;=StockP33,"Low",IF(K1730&lt;=StockP67,"Moderate","High"))</f>
        <v>High</v>
      </c>
      <c r="P1730" s="11" t="str">
        <f aca="false">IF(H1730=0,"Low",IF(H1730&lt;=MarkdownP75,"Moderate","High"))</f>
        <v>Moderate</v>
      </c>
      <c r="Q1730" s="11" t="str">
        <f aca="false">IF(ISBLANK(L1730),"Unknown",IF(L1730&gt;=4,"Good",IF(L1730&lt;=2,"Poor","Neutral")))</f>
        <v>Neutral</v>
      </c>
      <c r="R1730" s="11" t="str">
        <f aca="false">IF(AND(O1730="Low",P1730="Low",Q1730="Good"),"BUY / PRIORITIZE",IF(AND(O1730="High",P1730="High",OR(Q1730="Poor",M1730=TRUE())),"HOLD / REVIEW","MONITOR"))</f>
        <v>MONITOR</v>
      </c>
      <c r="S1730" s="11" t="n">
        <f aca="false">K1730+(ROW()/10000000)</f>
        <v>39.000173</v>
      </c>
    </row>
    <row r="1731" customFormat="false" ht="15" hidden="false" customHeight="false" outlineLevel="0" collapsed="false">
      <c r="A1731" s="11" t="s">
        <v>2077</v>
      </c>
      <c r="B1731" s="11" t="s">
        <v>27</v>
      </c>
      <c r="C1731" s="11" t="s">
        <v>116</v>
      </c>
      <c r="D1731" s="11" t="s">
        <v>35</v>
      </c>
      <c r="E1731" s="11" t="s">
        <v>78</v>
      </c>
      <c r="F1731" s="11" t="s">
        <v>82</v>
      </c>
      <c r="G1731" s="21" t="n">
        <v>61.9</v>
      </c>
      <c r="H1731" s="19" t="n">
        <v>0</v>
      </c>
      <c r="I1731" s="21" t="n">
        <v>61.9</v>
      </c>
      <c r="J1731" s="22" t="s">
        <v>80</v>
      </c>
      <c r="K1731" s="11" t="n">
        <v>29</v>
      </c>
      <c r="L1731" s="23" t="n">
        <v>4.4</v>
      </c>
      <c r="M1731" s="24" t="b">
        <f aca="false">FALSE()</f>
        <v>0</v>
      </c>
      <c r="N1731" s="11"/>
      <c r="O1731" s="11" t="str">
        <f aca="false">IF(K1731&lt;=StockP33,"Low",IF(K1731&lt;=StockP67,"Moderate","High"))</f>
        <v>Moderate</v>
      </c>
      <c r="P1731" s="11" t="str">
        <f aca="false">IF(H1731=0,"Low",IF(H1731&lt;=MarkdownP75,"Moderate","High"))</f>
        <v>Low</v>
      </c>
      <c r="Q1731" s="11" t="str">
        <f aca="false">IF(ISBLANK(L1731),"Unknown",IF(L1731&gt;=4,"Good",IF(L1731&lt;=2,"Poor","Neutral")))</f>
        <v>Good</v>
      </c>
      <c r="R1731" s="11" t="str">
        <f aca="false">IF(AND(O1731="Low",P1731="Low",Q1731="Good"),"BUY / PRIORITIZE",IF(AND(O1731="High",P1731="High",OR(Q1731="Poor",M1731=TRUE())),"HOLD / REVIEW","MONITOR"))</f>
        <v>MONITOR</v>
      </c>
      <c r="S1731" s="11" t="n">
        <f aca="false">K1731+(ROW()/10000000)</f>
        <v>29.0001731</v>
      </c>
    </row>
    <row r="1732" customFormat="false" ht="15" hidden="false" customHeight="false" outlineLevel="0" collapsed="false">
      <c r="A1732" s="11" t="s">
        <v>2078</v>
      </c>
      <c r="B1732" s="11" t="s">
        <v>30</v>
      </c>
      <c r="C1732" s="11" t="s">
        <v>86</v>
      </c>
      <c r="D1732" s="11" t="s">
        <v>36</v>
      </c>
      <c r="E1732" s="11" t="s">
        <v>73</v>
      </c>
      <c r="F1732" s="11" t="s">
        <v>120</v>
      </c>
      <c r="G1732" s="21" t="n">
        <v>63.45</v>
      </c>
      <c r="H1732" s="19" t="n">
        <v>12.3</v>
      </c>
      <c r="I1732" s="21" t="n">
        <v>55.65</v>
      </c>
      <c r="J1732" s="22" t="s">
        <v>80</v>
      </c>
      <c r="K1732" s="11" t="n">
        <v>23</v>
      </c>
      <c r="L1732" s="23" t="n">
        <v>4.9</v>
      </c>
      <c r="M1732" s="24" t="b">
        <f aca="false">FALSE()</f>
        <v>0</v>
      </c>
      <c r="N1732" s="11"/>
      <c r="O1732" s="11" t="str">
        <f aca="false">IF(K1732&lt;=StockP33,"Low",IF(K1732&lt;=StockP67,"Moderate","High"))</f>
        <v>Moderate</v>
      </c>
      <c r="P1732" s="11" t="str">
        <f aca="false">IF(H1732=0,"Low",IF(H1732&lt;=MarkdownP75,"Moderate","High"))</f>
        <v>Moderate</v>
      </c>
      <c r="Q1732" s="11" t="str">
        <f aca="false">IF(ISBLANK(L1732),"Unknown",IF(L1732&gt;=4,"Good",IF(L1732&lt;=2,"Poor","Neutral")))</f>
        <v>Good</v>
      </c>
      <c r="R1732" s="11" t="str">
        <f aca="false">IF(AND(O1732="Low",P1732="Low",Q1732="Good"),"BUY / PRIORITIZE",IF(AND(O1732="High",P1732="High",OR(Q1732="Poor",M1732=TRUE())),"HOLD / REVIEW","MONITOR"))</f>
        <v>MONITOR</v>
      </c>
      <c r="S1732" s="11" t="n">
        <f aca="false">K1732+(ROW()/10000000)</f>
        <v>23.0001732</v>
      </c>
    </row>
    <row r="1733" customFormat="false" ht="15" hidden="false" customHeight="false" outlineLevel="0" collapsed="false">
      <c r="A1733" s="11" t="s">
        <v>2079</v>
      </c>
      <c r="B1733" s="11" t="s">
        <v>30</v>
      </c>
      <c r="C1733" s="11" t="s">
        <v>95</v>
      </c>
      <c r="D1733" s="11" t="s">
        <v>35</v>
      </c>
      <c r="E1733" s="11" t="s">
        <v>91</v>
      </c>
      <c r="F1733" s="11" t="s">
        <v>74</v>
      </c>
      <c r="G1733" s="21" t="n">
        <v>43.22</v>
      </c>
      <c r="H1733" s="19" t="n">
        <v>46.7</v>
      </c>
      <c r="I1733" s="21" t="n">
        <v>23.04</v>
      </c>
      <c r="J1733" s="22" t="s">
        <v>80</v>
      </c>
      <c r="K1733" s="11" t="n">
        <v>29</v>
      </c>
      <c r="L1733" s="23" t="n">
        <v>1.3</v>
      </c>
      <c r="M1733" s="24" t="b">
        <f aca="false">FALSE()</f>
        <v>0</v>
      </c>
      <c r="N1733" s="11"/>
      <c r="O1733" s="11" t="str">
        <f aca="false">IF(K1733&lt;=StockP33,"Low",IF(K1733&lt;=StockP67,"Moderate","High"))</f>
        <v>Moderate</v>
      </c>
      <c r="P1733" s="11" t="str">
        <f aca="false">IF(H1733=0,"Low",IF(H1733&lt;=MarkdownP75,"Moderate","High"))</f>
        <v>High</v>
      </c>
      <c r="Q1733" s="11" t="str">
        <f aca="false">IF(ISBLANK(L1733),"Unknown",IF(L1733&gt;=4,"Good",IF(L1733&lt;=2,"Poor","Neutral")))</f>
        <v>Poor</v>
      </c>
      <c r="R1733" s="11" t="str">
        <f aca="false">IF(AND(O1733="Low",P1733="Low",Q1733="Good"),"BUY / PRIORITIZE",IF(AND(O1733="High",P1733="High",OR(Q1733="Poor",M1733=TRUE())),"HOLD / REVIEW","MONITOR"))</f>
        <v>MONITOR</v>
      </c>
      <c r="S1733" s="11" t="n">
        <f aca="false">K1733+(ROW()/10000000)</f>
        <v>29.0001733</v>
      </c>
    </row>
    <row r="1734" customFormat="false" ht="15" hidden="false" customHeight="false" outlineLevel="0" collapsed="false">
      <c r="A1734" s="11" t="s">
        <v>2080</v>
      </c>
      <c r="B1734" s="11" t="s">
        <v>29</v>
      </c>
      <c r="C1734" s="11" t="s">
        <v>86</v>
      </c>
      <c r="D1734" s="11" t="s">
        <v>37</v>
      </c>
      <c r="E1734" s="11" t="s">
        <v>91</v>
      </c>
      <c r="F1734" s="11" t="s">
        <v>118</v>
      </c>
      <c r="G1734" s="21" t="n">
        <v>64.65</v>
      </c>
      <c r="H1734" s="19" t="n">
        <v>26.8</v>
      </c>
      <c r="I1734" s="21" t="n">
        <v>47.32</v>
      </c>
      <c r="J1734" s="22" t="s">
        <v>80</v>
      </c>
      <c r="K1734" s="11" t="n">
        <v>28</v>
      </c>
      <c r="L1734" s="23" t="n">
        <v>4.7</v>
      </c>
      <c r="M1734" s="24" t="b">
        <f aca="false">FALSE()</f>
        <v>0</v>
      </c>
      <c r="N1734" s="11"/>
      <c r="O1734" s="11" t="str">
        <f aca="false">IF(K1734&lt;=StockP33,"Low",IF(K1734&lt;=StockP67,"Moderate","High"))</f>
        <v>Moderate</v>
      </c>
      <c r="P1734" s="11" t="str">
        <f aca="false">IF(H1734=0,"Low",IF(H1734&lt;=MarkdownP75,"Moderate","High"))</f>
        <v>High</v>
      </c>
      <c r="Q1734" s="11" t="str">
        <f aca="false">IF(ISBLANK(L1734),"Unknown",IF(L1734&gt;=4,"Good",IF(L1734&lt;=2,"Poor","Neutral")))</f>
        <v>Good</v>
      </c>
      <c r="R1734" s="11" t="str">
        <f aca="false">IF(AND(O1734="Low",P1734="Low",Q1734="Good"),"BUY / PRIORITIZE",IF(AND(O1734="High",P1734="High",OR(Q1734="Poor",M1734=TRUE())),"HOLD / REVIEW","MONITOR"))</f>
        <v>MONITOR</v>
      </c>
      <c r="S1734" s="11" t="n">
        <f aca="false">K1734+(ROW()/10000000)</f>
        <v>28.0001734</v>
      </c>
    </row>
    <row r="1735" customFormat="false" ht="15" hidden="false" customHeight="false" outlineLevel="0" collapsed="false">
      <c r="A1735" s="11" t="s">
        <v>2081</v>
      </c>
      <c r="B1735" s="11" t="s">
        <v>29</v>
      </c>
      <c r="C1735" s="11" t="s">
        <v>77</v>
      </c>
      <c r="D1735" s="11" t="s">
        <v>34</v>
      </c>
      <c r="E1735" s="11" t="s">
        <v>102</v>
      </c>
      <c r="F1735" s="11" t="s">
        <v>120</v>
      </c>
      <c r="G1735" s="21" t="n">
        <v>118.67</v>
      </c>
      <c r="H1735" s="19" t="n">
        <v>56</v>
      </c>
      <c r="I1735" s="21" t="n">
        <v>52.21</v>
      </c>
      <c r="J1735" s="22" t="s">
        <v>421</v>
      </c>
      <c r="K1735" s="11" t="n">
        <v>27</v>
      </c>
      <c r="L1735" s="23" t="n">
        <v>3.5</v>
      </c>
      <c r="M1735" s="24" t="b">
        <f aca="false">FALSE()</f>
        <v>0</v>
      </c>
      <c r="N1735" s="11"/>
      <c r="O1735" s="11" t="str">
        <f aca="false">IF(K1735&lt;=StockP33,"Low",IF(K1735&lt;=StockP67,"Moderate","High"))</f>
        <v>Moderate</v>
      </c>
      <c r="P1735" s="11" t="str">
        <f aca="false">IF(H1735=0,"Low",IF(H1735&lt;=MarkdownP75,"Moderate","High"))</f>
        <v>High</v>
      </c>
      <c r="Q1735" s="11" t="str">
        <f aca="false">IF(ISBLANK(L1735),"Unknown",IF(L1735&gt;=4,"Good",IF(L1735&lt;=2,"Poor","Neutral")))</f>
        <v>Neutral</v>
      </c>
      <c r="R1735" s="11" t="str">
        <f aca="false">IF(AND(O1735="Low",P1735="Low",Q1735="Good"),"BUY / PRIORITIZE",IF(AND(O1735="High",P1735="High",OR(Q1735="Poor",M1735=TRUE())),"HOLD / REVIEW","MONITOR"))</f>
        <v>MONITOR</v>
      </c>
      <c r="S1735" s="11" t="n">
        <f aca="false">K1735+(ROW()/10000000)</f>
        <v>27.0001735</v>
      </c>
    </row>
    <row r="1736" customFormat="false" ht="15" hidden="false" customHeight="false" outlineLevel="0" collapsed="false">
      <c r="A1736" s="11" t="s">
        <v>2082</v>
      </c>
      <c r="B1736" s="11" t="s">
        <v>27</v>
      </c>
      <c r="C1736" s="11" t="s">
        <v>86</v>
      </c>
      <c r="D1736" s="11" t="s">
        <v>34</v>
      </c>
      <c r="E1736" s="11" t="s">
        <v>110</v>
      </c>
      <c r="F1736" s="11" t="s">
        <v>88</v>
      </c>
      <c r="G1736" s="21" t="n">
        <v>169.32</v>
      </c>
      <c r="H1736" s="19" t="n">
        <v>0</v>
      </c>
      <c r="I1736" s="21" t="n">
        <v>169.32</v>
      </c>
      <c r="J1736" s="22" t="s">
        <v>1543</v>
      </c>
      <c r="K1736" s="11" t="n">
        <v>19</v>
      </c>
      <c r="L1736" s="23" t="n">
        <v>2.2</v>
      </c>
      <c r="M1736" s="24" t="b">
        <f aca="false">FALSE()</f>
        <v>0</v>
      </c>
      <c r="N1736" s="11"/>
      <c r="O1736" s="11" t="str">
        <f aca="false">IF(K1736&lt;=StockP33,"Low",IF(K1736&lt;=StockP67,"Moderate","High"))</f>
        <v>Moderate</v>
      </c>
      <c r="P1736" s="11" t="str">
        <f aca="false">IF(H1736=0,"Low",IF(H1736&lt;=MarkdownP75,"Moderate","High"))</f>
        <v>Low</v>
      </c>
      <c r="Q1736" s="11" t="str">
        <f aca="false">IF(ISBLANK(L1736),"Unknown",IF(L1736&gt;=4,"Good",IF(L1736&lt;=2,"Poor","Neutral")))</f>
        <v>Neutral</v>
      </c>
      <c r="R1736" s="11" t="str">
        <f aca="false">IF(AND(O1736="Low",P1736="Low",Q1736="Good"),"BUY / PRIORITIZE",IF(AND(O1736="High",P1736="High",OR(Q1736="Poor",M1736=TRUE())),"HOLD / REVIEW","MONITOR"))</f>
        <v>MONITOR</v>
      </c>
      <c r="S1736" s="11" t="n">
        <f aca="false">K1736+(ROW()/10000000)</f>
        <v>19.0001736</v>
      </c>
    </row>
    <row r="1737" customFormat="false" ht="15" hidden="false" customHeight="false" outlineLevel="0" collapsed="false">
      <c r="A1737" s="11" t="s">
        <v>2083</v>
      </c>
      <c r="B1737" s="11" t="s">
        <v>29</v>
      </c>
      <c r="C1737" s="11" t="s">
        <v>107</v>
      </c>
      <c r="D1737" s="11" t="s">
        <v>34</v>
      </c>
      <c r="E1737" s="11" t="s">
        <v>110</v>
      </c>
      <c r="F1737" s="11" t="s">
        <v>92</v>
      </c>
      <c r="G1737" s="21" t="n">
        <v>115.77</v>
      </c>
      <c r="H1737" s="19" t="n">
        <v>0</v>
      </c>
      <c r="I1737" s="21" t="n">
        <v>115.77</v>
      </c>
      <c r="J1737" s="22" t="s">
        <v>2084</v>
      </c>
      <c r="K1737" s="11" t="n">
        <v>43</v>
      </c>
      <c r="L1737" s="23"/>
      <c r="M1737" s="24" t="b">
        <f aca="false">FALSE()</f>
        <v>0</v>
      </c>
      <c r="N1737" s="11"/>
      <c r="O1737" s="11" t="str">
        <f aca="false">IF(K1737&lt;=StockP33,"Low",IF(K1737&lt;=StockP67,"Moderate","High"))</f>
        <v>High</v>
      </c>
      <c r="P1737" s="11" t="str">
        <f aca="false">IF(H1737=0,"Low",IF(H1737&lt;=MarkdownP75,"Moderate","High"))</f>
        <v>Low</v>
      </c>
      <c r="Q1737" s="11" t="str">
        <f aca="false">IF(ISBLANK(L1737),"Unknown",IF(L1737&gt;=4,"Good",IF(L1737&lt;=2,"Poor","Neutral")))</f>
        <v>Unknown</v>
      </c>
      <c r="R1737" s="11" t="str">
        <f aca="false">IF(AND(O1737="Low",P1737="Low",Q1737="Good"),"BUY / PRIORITIZE",IF(AND(O1737="High",P1737="High",OR(Q1737="Poor",M1737=TRUE())),"HOLD / REVIEW","MONITOR"))</f>
        <v>MONITOR</v>
      </c>
      <c r="S1737" s="11" t="n">
        <f aca="false">K1737+(ROW()/10000000)</f>
        <v>43.0001737</v>
      </c>
    </row>
    <row r="1738" customFormat="false" ht="15" hidden="false" customHeight="false" outlineLevel="0" collapsed="false">
      <c r="A1738" s="11" t="s">
        <v>2085</v>
      </c>
      <c r="B1738" s="11" t="s">
        <v>29</v>
      </c>
      <c r="C1738" s="11" t="s">
        <v>95</v>
      </c>
      <c r="D1738" s="11" t="s">
        <v>36</v>
      </c>
      <c r="E1738" s="11" t="s">
        <v>110</v>
      </c>
      <c r="F1738" s="11" t="s">
        <v>111</v>
      </c>
      <c r="G1738" s="21" t="n">
        <v>139.91</v>
      </c>
      <c r="H1738" s="19" t="n">
        <v>0</v>
      </c>
      <c r="I1738" s="21" t="n">
        <v>139.91</v>
      </c>
      <c r="J1738" s="22" t="s">
        <v>80</v>
      </c>
      <c r="K1738" s="11" t="n">
        <v>9</v>
      </c>
      <c r="L1738" s="23" t="n">
        <v>3.7</v>
      </c>
      <c r="M1738" s="24" t="b">
        <f aca="false">FALSE()</f>
        <v>0</v>
      </c>
      <c r="N1738" s="11"/>
      <c r="O1738" s="11" t="str">
        <f aca="false">IF(K1738&lt;=StockP33,"Low",IF(K1738&lt;=StockP67,"Moderate","High"))</f>
        <v>Low</v>
      </c>
      <c r="P1738" s="11" t="str">
        <f aca="false">IF(H1738=0,"Low",IF(H1738&lt;=MarkdownP75,"Moderate","High"))</f>
        <v>Low</v>
      </c>
      <c r="Q1738" s="11" t="str">
        <f aca="false">IF(ISBLANK(L1738),"Unknown",IF(L1738&gt;=4,"Good",IF(L1738&lt;=2,"Poor","Neutral")))</f>
        <v>Neutral</v>
      </c>
      <c r="R1738" s="11" t="str">
        <f aca="false">IF(AND(O1738="Low",P1738="Low",Q1738="Good"),"BUY / PRIORITIZE",IF(AND(O1738="High",P1738="High",OR(Q1738="Poor",M1738=TRUE())),"HOLD / REVIEW","MONITOR"))</f>
        <v>MONITOR</v>
      </c>
      <c r="S1738" s="11" t="n">
        <f aca="false">K1738+(ROW()/10000000)</f>
        <v>9.0001738</v>
      </c>
    </row>
    <row r="1739" customFormat="false" ht="15" hidden="false" customHeight="false" outlineLevel="0" collapsed="false">
      <c r="A1739" s="11" t="s">
        <v>2086</v>
      </c>
      <c r="B1739" s="11" t="s">
        <v>26</v>
      </c>
      <c r="C1739" s="11" t="s">
        <v>86</v>
      </c>
      <c r="D1739" s="11" t="s">
        <v>35</v>
      </c>
      <c r="E1739" s="11" t="s">
        <v>102</v>
      </c>
      <c r="F1739" s="11" t="s">
        <v>120</v>
      </c>
      <c r="G1739" s="21" t="n">
        <v>101.73</v>
      </c>
      <c r="H1739" s="19" t="n">
        <v>0</v>
      </c>
      <c r="I1739" s="21" t="n">
        <v>101.73</v>
      </c>
      <c r="J1739" s="22" t="s">
        <v>80</v>
      </c>
      <c r="K1739" s="11" t="n">
        <v>14</v>
      </c>
      <c r="L1739" s="23" t="n">
        <v>4.7</v>
      </c>
      <c r="M1739" s="24" t="b">
        <f aca="false">FALSE()</f>
        <v>0</v>
      </c>
      <c r="N1739" s="11"/>
      <c r="O1739" s="11" t="str">
        <f aca="false">IF(K1739&lt;=StockP33,"Low",IF(K1739&lt;=StockP67,"Moderate","High"))</f>
        <v>Low</v>
      </c>
      <c r="P1739" s="11" t="str">
        <f aca="false">IF(H1739=0,"Low",IF(H1739&lt;=MarkdownP75,"Moderate","High"))</f>
        <v>Low</v>
      </c>
      <c r="Q1739" s="11" t="str">
        <f aca="false">IF(ISBLANK(L1739),"Unknown",IF(L1739&gt;=4,"Good",IF(L1739&lt;=2,"Poor","Neutral")))</f>
        <v>Good</v>
      </c>
      <c r="R1739" s="11" t="str">
        <f aca="false">IF(AND(O1739="Low",P1739="Low",Q1739="Good"),"BUY / PRIORITIZE",IF(AND(O1739="High",P1739="High",OR(Q1739="Poor",M1739=TRUE())),"HOLD / REVIEW","MONITOR"))</f>
        <v>BUY / PRIORITIZE</v>
      </c>
      <c r="S1739" s="11" t="n">
        <f aca="false">K1739+(ROW()/10000000)</f>
        <v>14.0001739</v>
      </c>
    </row>
    <row r="1740" customFormat="false" ht="15" hidden="false" customHeight="false" outlineLevel="0" collapsed="false">
      <c r="A1740" s="11" t="s">
        <v>2087</v>
      </c>
      <c r="B1740" s="11" t="s">
        <v>30</v>
      </c>
      <c r="C1740" s="11" t="s">
        <v>130</v>
      </c>
      <c r="D1740" s="11" t="s">
        <v>35</v>
      </c>
      <c r="E1740" s="11"/>
      <c r="F1740" s="11" t="s">
        <v>79</v>
      </c>
      <c r="G1740" s="21" t="n">
        <v>105.85</v>
      </c>
      <c r="H1740" s="19" t="n">
        <v>0</v>
      </c>
      <c r="I1740" s="21" t="n">
        <v>105.85</v>
      </c>
      <c r="J1740" s="22" t="s">
        <v>80</v>
      </c>
      <c r="K1740" s="11" t="n">
        <v>29</v>
      </c>
      <c r="L1740" s="23" t="n">
        <v>2.1</v>
      </c>
      <c r="M1740" s="24" t="b">
        <f aca="false">FALSE()</f>
        <v>0</v>
      </c>
      <c r="N1740" s="11"/>
      <c r="O1740" s="11" t="str">
        <f aca="false">IF(K1740&lt;=StockP33,"Low",IF(K1740&lt;=StockP67,"Moderate","High"))</f>
        <v>Moderate</v>
      </c>
      <c r="P1740" s="11" t="str">
        <f aca="false">IF(H1740=0,"Low",IF(H1740&lt;=MarkdownP75,"Moderate","High"))</f>
        <v>Low</v>
      </c>
      <c r="Q1740" s="11" t="str">
        <f aca="false">IF(ISBLANK(L1740),"Unknown",IF(L1740&gt;=4,"Good",IF(L1740&lt;=2,"Poor","Neutral")))</f>
        <v>Neutral</v>
      </c>
      <c r="R1740" s="11" t="str">
        <f aca="false">IF(AND(O1740="Low",P1740="Low",Q1740="Good"),"BUY / PRIORITIZE",IF(AND(O1740="High",P1740="High",OR(Q1740="Poor",M1740=TRUE())),"HOLD / REVIEW","MONITOR"))</f>
        <v>MONITOR</v>
      </c>
      <c r="S1740" s="11" t="n">
        <f aca="false">K1740+(ROW()/10000000)</f>
        <v>29.000174</v>
      </c>
    </row>
    <row r="1741" customFormat="false" ht="15" hidden="false" customHeight="false" outlineLevel="0" collapsed="false">
      <c r="A1741" s="11" t="s">
        <v>2088</v>
      </c>
      <c r="B1741" s="11" t="s">
        <v>30</v>
      </c>
      <c r="C1741" s="11" t="s">
        <v>116</v>
      </c>
      <c r="D1741" s="11" t="s">
        <v>34</v>
      </c>
      <c r="E1741" s="11" t="s">
        <v>73</v>
      </c>
      <c r="F1741" s="11" t="s">
        <v>92</v>
      </c>
      <c r="G1741" s="21" t="n">
        <v>105.37</v>
      </c>
      <c r="H1741" s="19" t="n">
        <v>0</v>
      </c>
      <c r="I1741" s="21" t="n">
        <v>105.37</v>
      </c>
      <c r="J1741" s="22" t="s">
        <v>1349</v>
      </c>
      <c r="K1741" s="11" t="n">
        <v>24</v>
      </c>
      <c r="L1741" s="23" t="n">
        <v>1.2</v>
      </c>
      <c r="M1741" s="24" t="b">
        <f aca="false">FALSE()</f>
        <v>0</v>
      </c>
      <c r="N1741" s="11"/>
      <c r="O1741" s="11" t="str">
        <f aca="false">IF(K1741&lt;=StockP33,"Low",IF(K1741&lt;=StockP67,"Moderate","High"))</f>
        <v>Moderate</v>
      </c>
      <c r="P1741" s="11" t="str">
        <f aca="false">IF(H1741=0,"Low",IF(H1741&lt;=MarkdownP75,"Moderate","High"))</f>
        <v>Low</v>
      </c>
      <c r="Q1741" s="11" t="str">
        <f aca="false">IF(ISBLANK(L1741),"Unknown",IF(L1741&gt;=4,"Good",IF(L1741&lt;=2,"Poor","Neutral")))</f>
        <v>Poor</v>
      </c>
      <c r="R1741" s="11" t="str">
        <f aca="false">IF(AND(O1741="Low",P1741="Low",Q1741="Good"),"BUY / PRIORITIZE",IF(AND(O1741="High",P1741="High",OR(Q1741="Poor",M1741=TRUE())),"HOLD / REVIEW","MONITOR"))</f>
        <v>MONITOR</v>
      </c>
      <c r="S1741" s="11" t="n">
        <f aca="false">K1741+(ROW()/10000000)</f>
        <v>24.0001741</v>
      </c>
    </row>
    <row r="1742" customFormat="false" ht="15" hidden="false" customHeight="false" outlineLevel="0" collapsed="false">
      <c r="A1742" s="11" t="s">
        <v>2089</v>
      </c>
      <c r="B1742" s="11" t="s">
        <v>30</v>
      </c>
      <c r="C1742" s="11" t="s">
        <v>101</v>
      </c>
      <c r="D1742" s="11" t="s">
        <v>35</v>
      </c>
      <c r="E1742" s="11" t="s">
        <v>91</v>
      </c>
      <c r="F1742" s="11" t="s">
        <v>124</v>
      </c>
      <c r="G1742" s="21" t="n">
        <v>44.42</v>
      </c>
      <c r="H1742" s="19" t="n">
        <v>0</v>
      </c>
      <c r="I1742" s="21" t="n">
        <v>44.42</v>
      </c>
      <c r="J1742" s="22" t="s">
        <v>80</v>
      </c>
      <c r="K1742" s="11" t="n">
        <v>49</v>
      </c>
      <c r="L1742" s="23"/>
      <c r="M1742" s="24" t="b">
        <f aca="false">FALSE()</f>
        <v>0</v>
      </c>
      <c r="N1742" s="11"/>
      <c r="O1742" s="11" t="str">
        <f aca="false">IF(K1742&lt;=StockP33,"Low",IF(K1742&lt;=StockP67,"Moderate","High"))</f>
        <v>High</v>
      </c>
      <c r="P1742" s="11" t="str">
        <f aca="false">IF(H1742=0,"Low",IF(H1742&lt;=MarkdownP75,"Moderate","High"))</f>
        <v>Low</v>
      </c>
      <c r="Q1742" s="11" t="str">
        <f aca="false">IF(ISBLANK(L1742),"Unknown",IF(L1742&gt;=4,"Good",IF(L1742&lt;=2,"Poor","Neutral")))</f>
        <v>Unknown</v>
      </c>
      <c r="R1742" s="11" t="str">
        <f aca="false">IF(AND(O1742="Low",P1742="Low",Q1742="Good"),"BUY / PRIORITIZE",IF(AND(O1742="High",P1742="High",OR(Q1742="Poor",M1742=TRUE())),"HOLD / REVIEW","MONITOR"))</f>
        <v>MONITOR</v>
      </c>
      <c r="S1742" s="11" t="n">
        <f aca="false">K1742+(ROW()/10000000)</f>
        <v>49.0001742</v>
      </c>
    </row>
    <row r="1743" customFormat="false" ht="15" hidden="false" customHeight="false" outlineLevel="0" collapsed="false">
      <c r="A1743" s="11" t="s">
        <v>2090</v>
      </c>
      <c r="B1743" s="11" t="s">
        <v>29</v>
      </c>
      <c r="C1743" s="11" t="s">
        <v>77</v>
      </c>
      <c r="D1743" s="11" t="s">
        <v>34</v>
      </c>
      <c r="E1743" s="11" t="s">
        <v>110</v>
      </c>
      <c r="F1743" s="11" t="s">
        <v>92</v>
      </c>
      <c r="G1743" s="21" t="n">
        <v>164.86</v>
      </c>
      <c r="H1743" s="19" t="n">
        <v>14.3</v>
      </c>
      <c r="I1743" s="21" t="n">
        <v>141.29</v>
      </c>
      <c r="J1743" s="22" t="s">
        <v>605</v>
      </c>
      <c r="K1743" s="11" t="n">
        <v>7</v>
      </c>
      <c r="L1743" s="23" t="n">
        <v>2.3</v>
      </c>
      <c r="M1743" s="24" t="b">
        <f aca="false">FALSE()</f>
        <v>0</v>
      </c>
      <c r="N1743" s="11"/>
      <c r="O1743" s="11" t="str">
        <f aca="false">IF(K1743&lt;=StockP33,"Low",IF(K1743&lt;=StockP67,"Moderate","High"))</f>
        <v>Low</v>
      </c>
      <c r="P1743" s="11" t="str">
        <f aca="false">IF(H1743=0,"Low",IF(H1743&lt;=MarkdownP75,"Moderate","High"))</f>
        <v>Moderate</v>
      </c>
      <c r="Q1743" s="11" t="str">
        <f aca="false">IF(ISBLANK(L1743),"Unknown",IF(L1743&gt;=4,"Good",IF(L1743&lt;=2,"Poor","Neutral")))</f>
        <v>Neutral</v>
      </c>
      <c r="R1743" s="11" t="str">
        <f aca="false">IF(AND(O1743="Low",P1743="Low",Q1743="Good"),"BUY / PRIORITIZE",IF(AND(O1743="High",P1743="High",OR(Q1743="Poor",M1743=TRUE())),"HOLD / REVIEW","MONITOR"))</f>
        <v>MONITOR</v>
      </c>
      <c r="S1743" s="11" t="n">
        <f aca="false">K1743+(ROW()/10000000)</f>
        <v>7.0001743</v>
      </c>
    </row>
    <row r="1744" customFormat="false" ht="15" hidden="false" customHeight="false" outlineLevel="0" collapsed="false">
      <c r="A1744" s="11" t="s">
        <v>2091</v>
      </c>
      <c r="B1744" s="11" t="s">
        <v>29</v>
      </c>
      <c r="C1744" s="11" t="s">
        <v>95</v>
      </c>
      <c r="D1744" s="11" t="s">
        <v>36</v>
      </c>
      <c r="E1744" s="11" t="s">
        <v>102</v>
      </c>
      <c r="F1744" s="11" t="s">
        <v>82</v>
      </c>
      <c r="G1744" s="21" t="n">
        <v>163.88</v>
      </c>
      <c r="H1744" s="19" t="n">
        <v>5.9</v>
      </c>
      <c r="I1744" s="21" t="n">
        <v>154.21</v>
      </c>
      <c r="J1744" s="22" t="s">
        <v>80</v>
      </c>
      <c r="K1744" s="11" t="n">
        <v>39</v>
      </c>
      <c r="L1744" s="23" t="n">
        <v>2.6</v>
      </c>
      <c r="M1744" s="24" t="b">
        <f aca="false">FALSE()</f>
        <v>0</v>
      </c>
      <c r="N1744" s="11"/>
      <c r="O1744" s="11" t="str">
        <f aca="false">IF(K1744&lt;=StockP33,"Low",IF(K1744&lt;=StockP67,"Moderate","High"))</f>
        <v>High</v>
      </c>
      <c r="P1744" s="11" t="str">
        <f aca="false">IF(H1744=0,"Low",IF(H1744&lt;=MarkdownP75,"Moderate","High"))</f>
        <v>Moderate</v>
      </c>
      <c r="Q1744" s="11" t="str">
        <f aca="false">IF(ISBLANK(L1744),"Unknown",IF(L1744&gt;=4,"Good",IF(L1744&lt;=2,"Poor","Neutral")))</f>
        <v>Neutral</v>
      </c>
      <c r="R1744" s="11" t="str">
        <f aca="false">IF(AND(O1744="Low",P1744="Low",Q1744="Good"),"BUY / PRIORITIZE",IF(AND(O1744="High",P1744="High",OR(Q1744="Poor",M1744=TRUE())),"HOLD / REVIEW","MONITOR"))</f>
        <v>MONITOR</v>
      </c>
      <c r="S1744" s="11" t="n">
        <f aca="false">K1744+(ROW()/10000000)</f>
        <v>39.0001744</v>
      </c>
    </row>
    <row r="1745" customFormat="false" ht="15" hidden="false" customHeight="false" outlineLevel="0" collapsed="false">
      <c r="A1745" s="11" t="s">
        <v>2092</v>
      </c>
      <c r="B1745" s="11" t="s">
        <v>26</v>
      </c>
      <c r="C1745" s="11" t="s">
        <v>72</v>
      </c>
      <c r="D1745" s="11" t="s">
        <v>36</v>
      </c>
      <c r="E1745" s="11" t="s">
        <v>110</v>
      </c>
      <c r="F1745" s="11" t="s">
        <v>98</v>
      </c>
      <c r="G1745" s="21" t="n">
        <v>36.54</v>
      </c>
      <c r="H1745" s="19" t="n">
        <v>5.3</v>
      </c>
      <c r="I1745" s="21" t="n">
        <v>34.6</v>
      </c>
      <c r="J1745" s="22" t="s">
        <v>80</v>
      </c>
      <c r="K1745" s="11" t="n">
        <v>13</v>
      </c>
      <c r="L1745" s="23" t="n">
        <v>2.5</v>
      </c>
      <c r="M1745" s="24" t="b">
        <f aca="false">FALSE()</f>
        <v>0</v>
      </c>
      <c r="N1745" s="11"/>
      <c r="O1745" s="11" t="str">
        <f aca="false">IF(K1745&lt;=StockP33,"Low",IF(K1745&lt;=StockP67,"Moderate","High"))</f>
        <v>Low</v>
      </c>
      <c r="P1745" s="11" t="str">
        <f aca="false">IF(H1745=0,"Low",IF(H1745&lt;=MarkdownP75,"Moderate","High"))</f>
        <v>Moderate</v>
      </c>
      <c r="Q1745" s="11" t="str">
        <f aca="false">IF(ISBLANK(L1745),"Unknown",IF(L1745&gt;=4,"Good",IF(L1745&lt;=2,"Poor","Neutral")))</f>
        <v>Neutral</v>
      </c>
      <c r="R1745" s="11" t="str">
        <f aca="false">IF(AND(O1745="Low",P1745="Low",Q1745="Good"),"BUY / PRIORITIZE",IF(AND(O1745="High",P1745="High",OR(Q1745="Poor",M1745=TRUE())),"HOLD / REVIEW","MONITOR"))</f>
        <v>MONITOR</v>
      </c>
      <c r="S1745" s="11" t="n">
        <f aca="false">K1745+(ROW()/10000000)</f>
        <v>13.0001745</v>
      </c>
    </row>
    <row r="1746" customFormat="false" ht="15" hidden="false" customHeight="false" outlineLevel="0" collapsed="false">
      <c r="A1746" s="11" t="s">
        <v>2093</v>
      </c>
      <c r="B1746" s="11" t="s">
        <v>27</v>
      </c>
      <c r="C1746" s="11" t="s">
        <v>86</v>
      </c>
      <c r="D1746" s="11" t="s">
        <v>34</v>
      </c>
      <c r="E1746" s="11" t="s">
        <v>113</v>
      </c>
      <c r="F1746" s="11" t="s">
        <v>74</v>
      </c>
      <c r="G1746" s="21" t="n">
        <v>99.97</v>
      </c>
      <c r="H1746" s="19" t="n">
        <v>0</v>
      </c>
      <c r="I1746" s="21" t="n">
        <v>99.97</v>
      </c>
      <c r="J1746" s="22" t="s">
        <v>144</v>
      </c>
      <c r="K1746" s="11" t="n">
        <v>38</v>
      </c>
      <c r="L1746" s="23" t="n">
        <v>1.4</v>
      </c>
      <c r="M1746" s="24" t="b">
        <f aca="false">FALSE()</f>
        <v>0</v>
      </c>
      <c r="N1746" s="11"/>
      <c r="O1746" s="11" t="str">
        <f aca="false">IF(K1746&lt;=StockP33,"Low",IF(K1746&lt;=StockP67,"Moderate","High"))</f>
        <v>High</v>
      </c>
      <c r="P1746" s="11" t="str">
        <f aca="false">IF(H1746=0,"Low",IF(H1746&lt;=MarkdownP75,"Moderate","High"))</f>
        <v>Low</v>
      </c>
      <c r="Q1746" s="11" t="str">
        <f aca="false">IF(ISBLANK(L1746),"Unknown",IF(L1746&gt;=4,"Good",IF(L1746&lt;=2,"Poor","Neutral")))</f>
        <v>Poor</v>
      </c>
      <c r="R1746" s="11" t="str">
        <f aca="false">IF(AND(O1746="Low",P1746="Low",Q1746="Good"),"BUY / PRIORITIZE",IF(AND(O1746="High",P1746="High",OR(Q1746="Poor",M1746=TRUE())),"HOLD / REVIEW","MONITOR"))</f>
        <v>MONITOR</v>
      </c>
      <c r="S1746" s="11" t="n">
        <f aca="false">K1746+(ROW()/10000000)</f>
        <v>38.0001746</v>
      </c>
    </row>
    <row r="1747" customFormat="false" ht="15" hidden="false" customHeight="false" outlineLevel="0" collapsed="false">
      <c r="A1747" s="11" t="s">
        <v>2094</v>
      </c>
      <c r="B1747" s="11" t="s">
        <v>28</v>
      </c>
      <c r="C1747" s="11" t="s">
        <v>107</v>
      </c>
      <c r="D1747" s="11" t="s">
        <v>35</v>
      </c>
      <c r="E1747" s="11" t="s">
        <v>73</v>
      </c>
      <c r="F1747" s="11" t="s">
        <v>74</v>
      </c>
      <c r="G1747" s="21" t="n">
        <v>194.78</v>
      </c>
      <c r="H1747" s="19" t="n">
        <v>0</v>
      </c>
      <c r="I1747" s="21" t="n">
        <v>194.78</v>
      </c>
      <c r="J1747" s="22" t="s">
        <v>80</v>
      </c>
      <c r="K1747" s="11" t="n">
        <v>31</v>
      </c>
      <c r="L1747" s="23"/>
      <c r="M1747" s="24" t="b">
        <f aca="false">FALSE()</f>
        <v>0</v>
      </c>
      <c r="N1747" s="11"/>
      <c r="O1747" s="11" t="str">
        <f aca="false">IF(K1747&lt;=StockP33,"Low",IF(K1747&lt;=StockP67,"Moderate","High"))</f>
        <v>Moderate</v>
      </c>
      <c r="P1747" s="11" t="str">
        <f aca="false">IF(H1747=0,"Low",IF(H1747&lt;=MarkdownP75,"Moderate","High"))</f>
        <v>Low</v>
      </c>
      <c r="Q1747" s="11" t="str">
        <f aca="false">IF(ISBLANK(L1747),"Unknown",IF(L1747&gt;=4,"Good",IF(L1747&lt;=2,"Poor","Neutral")))</f>
        <v>Unknown</v>
      </c>
      <c r="R1747" s="11" t="str">
        <f aca="false">IF(AND(O1747="Low",P1747="Low",Q1747="Good"),"BUY / PRIORITIZE",IF(AND(O1747="High",P1747="High",OR(Q1747="Poor",M1747=TRUE())),"HOLD / REVIEW","MONITOR"))</f>
        <v>MONITOR</v>
      </c>
      <c r="S1747" s="11" t="n">
        <f aca="false">K1747+(ROW()/10000000)</f>
        <v>31.0001747</v>
      </c>
    </row>
    <row r="1748" customFormat="false" ht="15" hidden="false" customHeight="false" outlineLevel="0" collapsed="false">
      <c r="A1748" s="11" t="s">
        <v>2095</v>
      </c>
      <c r="B1748" s="11" t="s">
        <v>28</v>
      </c>
      <c r="C1748" s="11" t="s">
        <v>77</v>
      </c>
      <c r="D1748" s="11" t="s">
        <v>36</v>
      </c>
      <c r="E1748" s="11" t="s">
        <v>110</v>
      </c>
      <c r="F1748" s="11" t="s">
        <v>96</v>
      </c>
      <c r="G1748" s="21" t="n">
        <v>208.93</v>
      </c>
      <c r="H1748" s="19" t="n">
        <v>0</v>
      </c>
      <c r="I1748" s="21" t="n">
        <v>208.93</v>
      </c>
      <c r="J1748" s="22" t="s">
        <v>80</v>
      </c>
      <c r="K1748" s="11" t="n">
        <v>12</v>
      </c>
      <c r="L1748" s="23" t="n">
        <v>2.3</v>
      </c>
      <c r="M1748" s="24" t="b">
        <f aca="false">FALSE()</f>
        <v>0</v>
      </c>
      <c r="N1748" s="11"/>
      <c r="O1748" s="11" t="str">
        <f aca="false">IF(K1748&lt;=StockP33,"Low",IF(K1748&lt;=StockP67,"Moderate","High"))</f>
        <v>Low</v>
      </c>
      <c r="P1748" s="11" t="str">
        <f aca="false">IF(H1748=0,"Low",IF(H1748&lt;=MarkdownP75,"Moderate","High"))</f>
        <v>Low</v>
      </c>
      <c r="Q1748" s="11" t="str">
        <f aca="false">IF(ISBLANK(L1748),"Unknown",IF(L1748&gt;=4,"Good",IF(L1748&lt;=2,"Poor","Neutral")))</f>
        <v>Neutral</v>
      </c>
      <c r="R1748" s="11" t="str">
        <f aca="false">IF(AND(O1748="Low",P1748="Low",Q1748="Good"),"BUY / PRIORITIZE",IF(AND(O1748="High",P1748="High",OR(Q1748="Poor",M1748=TRUE())),"HOLD / REVIEW","MONITOR"))</f>
        <v>MONITOR</v>
      </c>
      <c r="S1748" s="11" t="n">
        <f aca="false">K1748+(ROW()/10000000)</f>
        <v>12.0001748</v>
      </c>
    </row>
    <row r="1749" customFormat="false" ht="15" hidden="false" customHeight="false" outlineLevel="0" collapsed="false">
      <c r="A1749" s="11" t="s">
        <v>2096</v>
      </c>
      <c r="B1749" s="11" t="s">
        <v>26</v>
      </c>
      <c r="C1749" s="11" t="s">
        <v>107</v>
      </c>
      <c r="D1749" s="11" t="s">
        <v>34</v>
      </c>
      <c r="E1749" s="11" t="s">
        <v>110</v>
      </c>
      <c r="F1749" s="11" t="s">
        <v>74</v>
      </c>
      <c r="G1749" s="21" t="n">
        <v>68.46</v>
      </c>
      <c r="H1749" s="19" t="n">
        <v>50</v>
      </c>
      <c r="I1749" s="21" t="n">
        <v>34.23</v>
      </c>
      <c r="J1749" s="22" t="s">
        <v>186</v>
      </c>
      <c r="K1749" s="11" t="n">
        <v>24</v>
      </c>
      <c r="L1749" s="23" t="n">
        <v>1.9</v>
      </c>
      <c r="M1749" s="24" t="b">
        <f aca="false">FALSE()</f>
        <v>0</v>
      </c>
      <c r="N1749" s="11"/>
      <c r="O1749" s="11" t="str">
        <f aca="false">IF(K1749&lt;=StockP33,"Low",IF(K1749&lt;=StockP67,"Moderate","High"))</f>
        <v>Moderate</v>
      </c>
      <c r="P1749" s="11" t="str">
        <f aca="false">IF(H1749=0,"Low",IF(H1749&lt;=MarkdownP75,"Moderate","High"))</f>
        <v>High</v>
      </c>
      <c r="Q1749" s="11" t="str">
        <f aca="false">IF(ISBLANK(L1749),"Unknown",IF(L1749&gt;=4,"Good",IF(L1749&lt;=2,"Poor","Neutral")))</f>
        <v>Poor</v>
      </c>
      <c r="R1749" s="11" t="str">
        <f aca="false">IF(AND(O1749="Low",P1749="Low",Q1749="Good"),"BUY / PRIORITIZE",IF(AND(O1749="High",P1749="High",OR(Q1749="Poor",M1749=TRUE())),"HOLD / REVIEW","MONITOR"))</f>
        <v>MONITOR</v>
      </c>
      <c r="S1749" s="11" t="n">
        <f aca="false">K1749+(ROW()/10000000)</f>
        <v>24.0001749</v>
      </c>
    </row>
    <row r="1750" customFormat="false" ht="15" hidden="false" customHeight="false" outlineLevel="0" collapsed="false">
      <c r="A1750" s="11" t="s">
        <v>2097</v>
      </c>
      <c r="B1750" s="11" t="s">
        <v>8</v>
      </c>
      <c r="C1750" s="11" t="s">
        <v>86</v>
      </c>
      <c r="D1750" s="11" t="s">
        <v>37</v>
      </c>
      <c r="E1750" s="11"/>
      <c r="F1750" s="11" t="s">
        <v>120</v>
      </c>
      <c r="G1750" s="21" t="n">
        <v>30.26</v>
      </c>
      <c r="H1750" s="19" t="n">
        <v>50</v>
      </c>
      <c r="I1750" s="21" t="n">
        <v>15.13</v>
      </c>
      <c r="J1750" s="22" t="s">
        <v>80</v>
      </c>
      <c r="K1750" s="11" t="n">
        <v>23</v>
      </c>
      <c r="L1750" s="23" t="n">
        <v>1.4</v>
      </c>
      <c r="M1750" s="24" t="b">
        <f aca="false">FALSE()</f>
        <v>0</v>
      </c>
      <c r="N1750" s="11"/>
      <c r="O1750" s="11" t="str">
        <f aca="false">IF(K1750&lt;=StockP33,"Low",IF(K1750&lt;=StockP67,"Moderate","High"))</f>
        <v>Moderate</v>
      </c>
      <c r="P1750" s="11" t="str">
        <f aca="false">IF(H1750=0,"Low",IF(H1750&lt;=MarkdownP75,"Moderate","High"))</f>
        <v>High</v>
      </c>
      <c r="Q1750" s="11" t="str">
        <f aca="false">IF(ISBLANK(L1750),"Unknown",IF(L1750&gt;=4,"Good",IF(L1750&lt;=2,"Poor","Neutral")))</f>
        <v>Poor</v>
      </c>
      <c r="R1750" s="11" t="str">
        <f aca="false">IF(AND(O1750="Low",P1750="Low",Q1750="Good"),"BUY / PRIORITIZE",IF(AND(O1750="High",P1750="High",OR(Q1750="Poor",M1750=TRUE())),"HOLD / REVIEW","MONITOR"))</f>
        <v>MONITOR</v>
      </c>
      <c r="S1750" s="11" t="n">
        <f aca="false">K1750+(ROW()/10000000)</f>
        <v>23.000175</v>
      </c>
    </row>
    <row r="1751" customFormat="false" ht="15" hidden="false" customHeight="false" outlineLevel="0" collapsed="false">
      <c r="A1751" s="11" t="s">
        <v>2098</v>
      </c>
      <c r="B1751" s="11" t="s">
        <v>28</v>
      </c>
      <c r="C1751" s="11" t="s">
        <v>95</v>
      </c>
      <c r="D1751" s="11" t="s">
        <v>35</v>
      </c>
      <c r="E1751" s="11" t="s">
        <v>110</v>
      </c>
      <c r="F1751" s="11" t="s">
        <v>98</v>
      </c>
      <c r="G1751" s="21" t="n">
        <v>186.66</v>
      </c>
      <c r="H1751" s="19" t="n">
        <v>30.9</v>
      </c>
      <c r="I1751" s="21" t="n">
        <v>128.98</v>
      </c>
      <c r="J1751" s="22" t="s">
        <v>80</v>
      </c>
      <c r="K1751" s="11" t="n">
        <v>7</v>
      </c>
      <c r="L1751" s="23" t="n">
        <v>1</v>
      </c>
      <c r="M1751" s="24" t="b">
        <f aca="false">FALSE()</f>
        <v>0</v>
      </c>
      <c r="N1751" s="11"/>
      <c r="O1751" s="11" t="str">
        <f aca="false">IF(K1751&lt;=StockP33,"Low",IF(K1751&lt;=StockP67,"Moderate","High"))</f>
        <v>Low</v>
      </c>
      <c r="P1751" s="11" t="str">
        <f aca="false">IF(H1751=0,"Low",IF(H1751&lt;=MarkdownP75,"Moderate","High"))</f>
        <v>High</v>
      </c>
      <c r="Q1751" s="11" t="str">
        <f aca="false">IF(ISBLANK(L1751),"Unknown",IF(L1751&gt;=4,"Good",IF(L1751&lt;=2,"Poor","Neutral")))</f>
        <v>Poor</v>
      </c>
      <c r="R1751" s="11" t="str">
        <f aca="false">IF(AND(O1751="Low",P1751="Low",Q1751="Good"),"BUY / PRIORITIZE",IF(AND(O1751="High",P1751="High",OR(Q1751="Poor",M1751=TRUE())),"HOLD / REVIEW","MONITOR"))</f>
        <v>MONITOR</v>
      </c>
      <c r="S1751" s="11" t="n">
        <f aca="false">K1751+(ROW()/10000000)</f>
        <v>7.0001751</v>
      </c>
    </row>
    <row r="1752" customFormat="false" ht="15" hidden="false" customHeight="false" outlineLevel="0" collapsed="false">
      <c r="A1752" s="11" t="s">
        <v>2099</v>
      </c>
      <c r="B1752" s="11" t="s">
        <v>30</v>
      </c>
      <c r="C1752" s="11" t="s">
        <v>72</v>
      </c>
      <c r="D1752" s="11" t="s">
        <v>37</v>
      </c>
      <c r="E1752" s="11" t="s">
        <v>91</v>
      </c>
      <c r="F1752" s="11" t="s">
        <v>82</v>
      </c>
      <c r="G1752" s="21" t="n">
        <v>78.05</v>
      </c>
      <c r="H1752" s="19" t="n">
        <v>48.1</v>
      </c>
      <c r="I1752" s="21" t="n">
        <v>40.51</v>
      </c>
      <c r="J1752" s="22" t="s">
        <v>80</v>
      </c>
      <c r="K1752" s="11" t="n">
        <v>36</v>
      </c>
      <c r="L1752" s="23" t="n">
        <v>2.9</v>
      </c>
      <c r="M1752" s="24" t="b">
        <f aca="false">TRUE()</f>
        <v>1</v>
      </c>
      <c r="N1752" s="11" t="s">
        <v>178</v>
      </c>
      <c r="O1752" s="11" t="str">
        <f aca="false">IF(K1752&lt;=StockP33,"Low",IF(K1752&lt;=StockP67,"Moderate","High"))</f>
        <v>High</v>
      </c>
      <c r="P1752" s="11" t="str">
        <f aca="false">IF(H1752=0,"Low",IF(H1752&lt;=MarkdownP75,"Moderate","High"))</f>
        <v>High</v>
      </c>
      <c r="Q1752" s="11" t="str">
        <f aca="false">IF(ISBLANK(L1752),"Unknown",IF(L1752&gt;=4,"Good",IF(L1752&lt;=2,"Poor","Neutral")))</f>
        <v>Neutral</v>
      </c>
      <c r="R1752" s="11" t="str">
        <f aca="false">IF(AND(O1752="Low",P1752="Low",Q1752="Good"),"BUY / PRIORITIZE",IF(AND(O1752="High",P1752="High",OR(Q1752="Poor",M1752=TRUE())),"HOLD / REVIEW","MONITOR"))</f>
        <v>HOLD / REVIEW</v>
      </c>
      <c r="S1752" s="11" t="n">
        <f aca="false">K1752+(ROW()/10000000)</f>
        <v>36.0001752</v>
      </c>
    </row>
    <row r="1753" customFormat="false" ht="15" hidden="false" customHeight="false" outlineLevel="0" collapsed="false">
      <c r="A1753" s="11" t="s">
        <v>2100</v>
      </c>
      <c r="B1753" s="11" t="s">
        <v>30</v>
      </c>
      <c r="C1753" s="11" t="s">
        <v>77</v>
      </c>
      <c r="D1753" s="11" t="s">
        <v>34</v>
      </c>
      <c r="E1753" s="11" t="s">
        <v>113</v>
      </c>
      <c r="F1753" s="11" t="s">
        <v>120</v>
      </c>
      <c r="G1753" s="21" t="n">
        <v>104.75</v>
      </c>
      <c r="H1753" s="19" t="n">
        <v>0</v>
      </c>
      <c r="I1753" s="21" t="n">
        <v>104.75</v>
      </c>
      <c r="J1753" s="22" t="s">
        <v>905</v>
      </c>
      <c r="K1753" s="11" t="n">
        <v>11</v>
      </c>
      <c r="L1753" s="23"/>
      <c r="M1753" s="24" t="b">
        <f aca="false">FALSE()</f>
        <v>0</v>
      </c>
      <c r="N1753" s="11"/>
      <c r="O1753" s="11" t="str">
        <f aca="false">IF(K1753&lt;=StockP33,"Low",IF(K1753&lt;=StockP67,"Moderate","High"))</f>
        <v>Low</v>
      </c>
      <c r="P1753" s="11" t="str">
        <f aca="false">IF(H1753=0,"Low",IF(H1753&lt;=MarkdownP75,"Moderate","High"))</f>
        <v>Low</v>
      </c>
      <c r="Q1753" s="11" t="str">
        <f aca="false">IF(ISBLANK(L1753),"Unknown",IF(L1753&gt;=4,"Good",IF(L1753&lt;=2,"Poor","Neutral")))</f>
        <v>Unknown</v>
      </c>
      <c r="R1753" s="11" t="str">
        <f aca="false">IF(AND(O1753="Low",P1753="Low",Q1753="Good"),"BUY / PRIORITIZE",IF(AND(O1753="High",P1753="High",OR(Q1753="Poor",M1753=TRUE())),"HOLD / REVIEW","MONITOR"))</f>
        <v>MONITOR</v>
      </c>
      <c r="S1753" s="11" t="n">
        <f aca="false">K1753+(ROW()/10000000)</f>
        <v>11.0001753</v>
      </c>
    </row>
    <row r="1754" customFormat="false" ht="15" hidden="false" customHeight="false" outlineLevel="0" collapsed="false">
      <c r="A1754" s="11" t="s">
        <v>2101</v>
      </c>
      <c r="B1754" s="11" t="s">
        <v>29</v>
      </c>
      <c r="C1754" s="11" t="s">
        <v>77</v>
      </c>
      <c r="D1754" s="11" t="s">
        <v>35</v>
      </c>
      <c r="E1754" s="11" t="s">
        <v>113</v>
      </c>
      <c r="F1754" s="11" t="s">
        <v>124</v>
      </c>
      <c r="G1754" s="21" t="n">
        <v>121.33</v>
      </c>
      <c r="H1754" s="19" t="n">
        <v>0</v>
      </c>
      <c r="I1754" s="21" t="n">
        <v>121.33</v>
      </c>
      <c r="J1754" s="22" t="s">
        <v>80</v>
      </c>
      <c r="K1754" s="11" t="n">
        <v>30</v>
      </c>
      <c r="L1754" s="23" t="n">
        <v>4.2</v>
      </c>
      <c r="M1754" s="24" t="b">
        <f aca="false">FALSE()</f>
        <v>0</v>
      </c>
      <c r="N1754" s="11"/>
      <c r="O1754" s="11" t="str">
        <f aca="false">IF(K1754&lt;=StockP33,"Low",IF(K1754&lt;=StockP67,"Moderate","High"))</f>
        <v>Moderate</v>
      </c>
      <c r="P1754" s="11" t="str">
        <f aca="false">IF(H1754=0,"Low",IF(H1754&lt;=MarkdownP75,"Moderate","High"))</f>
        <v>Low</v>
      </c>
      <c r="Q1754" s="11" t="str">
        <f aca="false">IF(ISBLANK(L1754),"Unknown",IF(L1754&gt;=4,"Good",IF(L1754&lt;=2,"Poor","Neutral")))</f>
        <v>Good</v>
      </c>
      <c r="R1754" s="11" t="str">
        <f aca="false">IF(AND(O1754="Low",P1754="Low",Q1754="Good"),"BUY / PRIORITIZE",IF(AND(O1754="High",P1754="High",OR(Q1754="Poor",M1754=TRUE())),"HOLD / REVIEW","MONITOR"))</f>
        <v>MONITOR</v>
      </c>
      <c r="S1754" s="11" t="n">
        <f aca="false">K1754+(ROW()/10000000)</f>
        <v>30.0001754</v>
      </c>
    </row>
    <row r="1755" customFormat="false" ht="15" hidden="false" customHeight="false" outlineLevel="0" collapsed="false">
      <c r="A1755" s="11" t="s">
        <v>2102</v>
      </c>
      <c r="B1755" s="11" t="s">
        <v>27</v>
      </c>
      <c r="C1755" s="11" t="s">
        <v>95</v>
      </c>
      <c r="D1755" s="11" t="s">
        <v>36</v>
      </c>
      <c r="E1755" s="11" t="s">
        <v>102</v>
      </c>
      <c r="F1755" s="11" t="s">
        <v>98</v>
      </c>
      <c r="G1755" s="21" t="n">
        <v>78.09</v>
      </c>
      <c r="H1755" s="19" t="n">
        <v>0</v>
      </c>
      <c r="I1755" s="21" t="n">
        <v>78.09</v>
      </c>
      <c r="J1755" s="22" t="s">
        <v>80</v>
      </c>
      <c r="K1755" s="11" t="n">
        <v>6</v>
      </c>
      <c r="L1755" s="23" t="n">
        <v>2</v>
      </c>
      <c r="M1755" s="24" t="b">
        <f aca="false">FALSE()</f>
        <v>0</v>
      </c>
      <c r="N1755" s="11"/>
      <c r="O1755" s="11" t="str">
        <f aca="false">IF(K1755&lt;=StockP33,"Low",IF(K1755&lt;=StockP67,"Moderate","High"))</f>
        <v>Low</v>
      </c>
      <c r="P1755" s="11" t="str">
        <f aca="false">IF(H1755=0,"Low",IF(H1755&lt;=MarkdownP75,"Moderate","High"))</f>
        <v>Low</v>
      </c>
      <c r="Q1755" s="11" t="str">
        <f aca="false">IF(ISBLANK(L1755),"Unknown",IF(L1755&gt;=4,"Good",IF(L1755&lt;=2,"Poor","Neutral")))</f>
        <v>Poor</v>
      </c>
      <c r="R1755" s="11" t="str">
        <f aca="false">IF(AND(O1755="Low",P1755="Low",Q1755="Good"),"BUY / PRIORITIZE",IF(AND(O1755="High",P1755="High",OR(Q1755="Poor",M1755=TRUE())),"HOLD / REVIEW","MONITOR"))</f>
        <v>MONITOR</v>
      </c>
      <c r="S1755" s="11" t="n">
        <f aca="false">K1755+(ROW()/10000000)</f>
        <v>6.0001755</v>
      </c>
    </row>
    <row r="1756" customFormat="false" ht="15" hidden="false" customHeight="false" outlineLevel="0" collapsed="false">
      <c r="A1756" s="11" t="s">
        <v>2103</v>
      </c>
      <c r="B1756" s="11" t="s">
        <v>30</v>
      </c>
      <c r="C1756" s="11" t="s">
        <v>77</v>
      </c>
      <c r="D1756" s="11" t="s">
        <v>36</v>
      </c>
      <c r="E1756" s="11" t="s">
        <v>102</v>
      </c>
      <c r="F1756" s="11" t="s">
        <v>74</v>
      </c>
      <c r="G1756" s="21" t="n">
        <v>109.19</v>
      </c>
      <c r="H1756" s="19" t="n">
        <v>0</v>
      </c>
      <c r="I1756" s="21" t="n">
        <v>109.19</v>
      </c>
      <c r="J1756" s="22" t="s">
        <v>80</v>
      </c>
      <c r="K1756" s="11" t="n">
        <v>47</v>
      </c>
      <c r="L1756" s="23" t="n">
        <v>4.5</v>
      </c>
      <c r="M1756" s="24" t="b">
        <f aca="false">FALSE()</f>
        <v>0</v>
      </c>
      <c r="N1756" s="11"/>
      <c r="O1756" s="11" t="str">
        <f aca="false">IF(K1756&lt;=StockP33,"Low",IF(K1756&lt;=StockP67,"Moderate","High"))</f>
        <v>High</v>
      </c>
      <c r="P1756" s="11" t="str">
        <f aca="false">IF(H1756=0,"Low",IF(H1756&lt;=MarkdownP75,"Moderate","High"))</f>
        <v>Low</v>
      </c>
      <c r="Q1756" s="11" t="str">
        <f aca="false">IF(ISBLANK(L1756),"Unknown",IF(L1756&gt;=4,"Good",IF(L1756&lt;=2,"Poor","Neutral")))</f>
        <v>Good</v>
      </c>
      <c r="R1756" s="11" t="str">
        <f aca="false">IF(AND(O1756="Low",P1756="Low",Q1756="Good"),"BUY / PRIORITIZE",IF(AND(O1756="High",P1756="High",OR(Q1756="Poor",M1756=TRUE())),"HOLD / REVIEW","MONITOR"))</f>
        <v>MONITOR</v>
      </c>
      <c r="S1756" s="11" t="n">
        <f aca="false">K1756+(ROW()/10000000)</f>
        <v>47.0001756</v>
      </c>
    </row>
    <row r="1757" customFormat="false" ht="15" hidden="false" customHeight="false" outlineLevel="0" collapsed="false">
      <c r="A1757" s="11" t="s">
        <v>2104</v>
      </c>
      <c r="B1757" s="11" t="s">
        <v>29</v>
      </c>
      <c r="C1757" s="11" t="s">
        <v>107</v>
      </c>
      <c r="D1757" s="11" t="s">
        <v>37</v>
      </c>
      <c r="E1757" s="11" t="s">
        <v>78</v>
      </c>
      <c r="F1757" s="11" t="s">
        <v>82</v>
      </c>
      <c r="G1757" s="21" t="n">
        <v>126.74</v>
      </c>
      <c r="H1757" s="19" t="n">
        <v>0</v>
      </c>
      <c r="I1757" s="21" t="n">
        <v>126.74</v>
      </c>
      <c r="J1757" s="22" t="s">
        <v>80</v>
      </c>
      <c r="K1757" s="11" t="n">
        <v>2</v>
      </c>
      <c r="L1757" s="23" t="n">
        <v>2.9</v>
      </c>
      <c r="M1757" s="24" t="b">
        <f aca="false">FALSE()</f>
        <v>0</v>
      </c>
      <c r="N1757" s="11"/>
      <c r="O1757" s="11" t="str">
        <f aca="false">IF(K1757&lt;=StockP33,"Low",IF(K1757&lt;=StockP67,"Moderate","High"))</f>
        <v>Low</v>
      </c>
      <c r="P1757" s="11" t="str">
        <f aca="false">IF(H1757=0,"Low",IF(H1757&lt;=MarkdownP75,"Moderate","High"))</f>
        <v>Low</v>
      </c>
      <c r="Q1757" s="11" t="str">
        <f aca="false">IF(ISBLANK(L1757),"Unknown",IF(L1757&gt;=4,"Good",IF(L1757&lt;=2,"Poor","Neutral")))</f>
        <v>Neutral</v>
      </c>
      <c r="R1757" s="11" t="str">
        <f aca="false">IF(AND(O1757="Low",P1757="Low",Q1757="Good"),"BUY / PRIORITIZE",IF(AND(O1757="High",P1757="High",OR(Q1757="Poor",M1757=TRUE())),"HOLD / REVIEW","MONITOR"))</f>
        <v>MONITOR</v>
      </c>
      <c r="S1757" s="11" t="n">
        <f aca="false">K1757+(ROW()/10000000)</f>
        <v>2.0001757</v>
      </c>
    </row>
    <row r="1758" customFormat="false" ht="15" hidden="false" customHeight="false" outlineLevel="0" collapsed="false">
      <c r="A1758" s="11" t="s">
        <v>2105</v>
      </c>
      <c r="B1758" s="11" t="s">
        <v>29</v>
      </c>
      <c r="C1758" s="11" t="s">
        <v>101</v>
      </c>
      <c r="D1758" s="11" t="s">
        <v>34</v>
      </c>
      <c r="E1758" s="11" t="s">
        <v>73</v>
      </c>
      <c r="F1758" s="11" t="s">
        <v>82</v>
      </c>
      <c r="G1758" s="21" t="n">
        <v>95.85</v>
      </c>
      <c r="H1758" s="19" t="n">
        <v>0</v>
      </c>
      <c r="I1758" s="21" t="n">
        <v>95.85</v>
      </c>
      <c r="J1758" s="22" t="s">
        <v>561</v>
      </c>
      <c r="K1758" s="11" t="n">
        <v>45</v>
      </c>
      <c r="L1758" s="23" t="n">
        <v>5</v>
      </c>
      <c r="M1758" s="24" t="b">
        <f aca="false">FALSE()</f>
        <v>0</v>
      </c>
      <c r="N1758" s="11"/>
      <c r="O1758" s="11" t="str">
        <f aca="false">IF(K1758&lt;=StockP33,"Low",IF(K1758&lt;=StockP67,"Moderate","High"))</f>
        <v>High</v>
      </c>
      <c r="P1758" s="11" t="str">
        <f aca="false">IF(H1758=0,"Low",IF(H1758&lt;=MarkdownP75,"Moderate","High"))</f>
        <v>Low</v>
      </c>
      <c r="Q1758" s="11" t="str">
        <f aca="false">IF(ISBLANK(L1758),"Unknown",IF(L1758&gt;=4,"Good",IF(L1758&lt;=2,"Poor","Neutral")))</f>
        <v>Good</v>
      </c>
      <c r="R1758" s="11" t="str">
        <f aca="false">IF(AND(O1758="Low",P1758="Low",Q1758="Good"),"BUY / PRIORITIZE",IF(AND(O1758="High",P1758="High",OR(Q1758="Poor",M1758=TRUE())),"HOLD / REVIEW","MONITOR"))</f>
        <v>MONITOR</v>
      </c>
      <c r="S1758" s="11" t="n">
        <f aca="false">K1758+(ROW()/10000000)</f>
        <v>45.0001758</v>
      </c>
    </row>
    <row r="1759" customFormat="false" ht="15" hidden="false" customHeight="false" outlineLevel="0" collapsed="false">
      <c r="A1759" s="11" t="s">
        <v>2106</v>
      </c>
      <c r="B1759" s="11" t="s">
        <v>28</v>
      </c>
      <c r="C1759" s="11" t="s">
        <v>95</v>
      </c>
      <c r="D1759" s="11" t="s">
        <v>35</v>
      </c>
      <c r="E1759" s="11" t="s">
        <v>91</v>
      </c>
      <c r="F1759" s="11" t="s">
        <v>96</v>
      </c>
      <c r="G1759" s="21" t="n">
        <v>213.98</v>
      </c>
      <c r="H1759" s="19" t="n">
        <v>0</v>
      </c>
      <c r="I1759" s="21" t="n">
        <v>213.98</v>
      </c>
      <c r="J1759" s="22" t="s">
        <v>80</v>
      </c>
      <c r="K1759" s="11" t="n">
        <v>38</v>
      </c>
      <c r="L1759" s="23"/>
      <c r="M1759" s="24" t="b">
        <f aca="false">FALSE()</f>
        <v>0</v>
      </c>
      <c r="N1759" s="11"/>
      <c r="O1759" s="11" t="str">
        <f aca="false">IF(K1759&lt;=StockP33,"Low",IF(K1759&lt;=StockP67,"Moderate","High"))</f>
        <v>High</v>
      </c>
      <c r="P1759" s="11" t="str">
        <f aca="false">IF(H1759=0,"Low",IF(H1759&lt;=MarkdownP75,"Moderate","High"))</f>
        <v>Low</v>
      </c>
      <c r="Q1759" s="11" t="str">
        <f aca="false">IF(ISBLANK(L1759),"Unknown",IF(L1759&gt;=4,"Good",IF(L1759&lt;=2,"Poor","Neutral")))</f>
        <v>Unknown</v>
      </c>
      <c r="R1759" s="11" t="str">
        <f aca="false">IF(AND(O1759="Low",P1759="Low",Q1759="Good"),"BUY / PRIORITIZE",IF(AND(O1759="High",P1759="High",OR(Q1759="Poor",M1759=TRUE())),"HOLD / REVIEW","MONITOR"))</f>
        <v>MONITOR</v>
      </c>
      <c r="S1759" s="11" t="n">
        <f aca="false">K1759+(ROW()/10000000)</f>
        <v>38.0001759</v>
      </c>
    </row>
    <row r="1760" customFormat="false" ht="15" hidden="false" customHeight="false" outlineLevel="0" collapsed="false">
      <c r="A1760" s="11" t="s">
        <v>2107</v>
      </c>
      <c r="B1760" s="11" t="s">
        <v>29</v>
      </c>
      <c r="C1760" s="11" t="s">
        <v>130</v>
      </c>
      <c r="D1760" s="11" t="s">
        <v>34</v>
      </c>
      <c r="E1760" s="11" t="s">
        <v>102</v>
      </c>
      <c r="F1760" s="11" t="s">
        <v>111</v>
      </c>
      <c r="G1760" s="21" t="n">
        <v>146.23</v>
      </c>
      <c r="H1760" s="19" t="n">
        <v>40</v>
      </c>
      <c r="I1760" s="21" t="n">
        <v>87.74</v>
      </c>
      <c r="J1760" s="22" t="s">
        <v>1083</v>
      </c>
      <c r="K1760" s="11" t="n">
        <v>17</v>
      </c>
      <c r="L1760" s="23" t="n">
        <v>2.6</v>
      </c>
      <c r="M1760" s="24" t="b">
        <f aca="false">TRUE()</f>
        <v>1</v>
      </c>
      <c r="N1760" s="11" t="s">
        <v>140</v>
      </c>
      <c r="O1760" s="11" t="str">
        <f aca="false">IF(K1760&lt;=StockP33,"Low",IF(K1760&lt;=StockP67,"Moderate","High"))</f>
        <v>Low</v>
      </c>
      <c r="P1760" s="11" t="str">
        <f aca="false">IF(H1760=0,"Low",IF(H1760&lt;=MarkdownP75,"Moderate","High"))</f>
        <v>High</v>
      </c>
      <c r="Q1760" s="11" t="str">
        <f aca="false">IF(ISBLANK(L1760),"Unknown",IF(L1760&gt;=4,"Good",IF(L1760&lt;=2,"Poor","Neutral")))</f>
        <v>Neutral</v>
      </c>
      <c r="R1760" s="11" t="str">
        <f aca="false">IF(AND(O1760="Low",P1760="Low",Q1760="Good"),"BUY / PRIORITIZE",IF(AND(O1760="High",P1760="High",OR(Q1760="Poor",M1760=TRUE())),"HOLD / REVIEW","MONITOR"))</f>
        <v>MONITOR</v>
      </c>
      <c r="S1760" s="11" t="n">
        <f aca="false">K1760+(ROW()/10000000)</f>
        <v>17.000176</v>
      </c>
    </row>
    <row r="1761" customFormat="false" ht="15" hidden="false" customHeight="false" outlineLevel="0" collapsed="false">
      <c r="A1761" s="11" t="s">
        <v>2108</v>
      </c>
      <c r="B1761" s="11" t="s">
        <v>26</v>
      </c>
      <c r="C1761" s="11" t="s">
        <v>95</v>
      </c>
      <c r="D1761" s="11" t="s">
        <v>37</v>
      </c>
      <c r="E1761" s="11" t="s">
        <v>78</v>
      </c>
      <c r="F1761" s="11" t="s">
        <v>79</v>
      </c>
      <c r="G1761" s="21" t="n">
        <v>115.57</v>
      </c>
      <c r="H1761" s="19" t="n">
        <v>16.1</v>
      </c>
      <c r="I1761" s="21" t="n">
        <v>96.96</v>
      </c>
      <c r="J1761" s="22" t="s">
        <v>80</v>
      </c>
      <c r="K1761" s="11" t="n">
        <v>32</v>
      </c>
      <c r="L1761" s="23" t="n">
        <v>3.1</v>
      </c>
      <c r="M1761" s="24" t="b">
        <f aca="false">TRUE()</f>
        <v>1</v>
      </c>
      <c r="N1761" s="11" t="s">
        <v>128</v>
      </c>
      <c r="O1761" s="11" t="str">
        <f aca="false">IF(K1761&lt;=StockP33,"Low",IF(K1761&lt;=StockP67,"Moderate","High"))</f>
        <v>Moderate</v>
      </c>
      <c r="P1761" s="11" t="str">
        <f aca="false">IF(H1761=0,"Low",IF(H1761&lt;=MarkdownP75,"Moderate","High"))</f>
        <v>Moderate</v>
      </c>
      <c r="Q1761" s="11" t="str">
        <f aca="false">IF(ISBLANK(L1761),"Unknown",IF(L1761&gt;=4,"Good",IF(L1761&lt;=2,"Poor","Neutral")))</f>
        <v>Neutral</v>
      </c>
      <c r="R1761" s="11" t="str">
        <f aca="false">IF(AND(O1761="Low",P1761="Low",Q1761="Good"),"BUY / PRIORITIZE",IF(AND(O1761="High",P1761="High",OR(Q1761="Poor",M1761=TRUE())),"HOLD / REVIEW","MONITOR"))</f>
        <v>MONITOR</v>
      </c>
      <c r="S1761" s="11" t="n">
        <f aca="false">K1761+(ROW()/10000000)</f>
        <v>32.0001761</v>
      </c>
    </row>
    <row r="1762" customFormat="false" ht="15" hidden="false" customHeight="false" outlineLevel="0" collapsed="false">
      <c r="A1762" s="11" t="s">
        <v>2109</v>
      </c>
      <c r="B1762" s="11" t="s">
        <v>8</v>
      </c>
      <c r="C1762" s="11" t="s">
        <v>86</v>
      </c>
      <c r="D1762" s="11" t="s">
        <v>34</v>
      </c>
      <c r="E1762" s="11"/>
      <c r="F1762" s="11" t="s">
        <v>96</v>
      </c>
      <c r="G1762" s="21" t="n">
        <v>66.62</v>
      </c>
      <c r="H1762" s="19" t="n">
        <v>0</v>
      </c>
      <c r="I1762" s="21" t="n">
        <v>66.62</v>
      </c>
      <c r="J1762" s="22" t="s">
        <v>2110</v>
      </c>
      <c r="K1762" s="11" t="n">
        <v>37</v>
      </c>
      <c r="L1762" s="23"/>
      <c r="M1762" s="24" t="b">
        <f aca="false">FALSE()</f>
        <v>0</v>
      </c>
      <c r="N1762" s="11"/>
      <c r="O1762" s="11" t="str">
        <f aca="false">IF(K1762&lt;=StockP33,"Low",IF(K1762&lt;=StockP67,"Moderate","High"))</f>
        <v>High</v>
      </c>
      <c r="P1762" s="11" t="str">
        <f aca="false">IF(H1762=0,"Low",IF(H1762&lt;=MarkdownP75,"Moderate","High"))</f>
        <v>Low</v>
      </c>
      <c r="Q1762" s="11" t="str">
        <f aca="false">IF(ISBLANK(L1762),"Unknown",IF(L1762&gt;=4,"Good",IF(L1762&lt;=2,"Poor","Neutral")))</f>
        <v>Unknown</v>
      </c>
      <c r="R1762" s="11" t="str">
        <f aca="false">IF(AND(O1762="Low",P1762="Low",Q1762="Good"),"BUY / PRIORITIZE",IF(AND(O1762="High",P1762="High",OR(Q1762="Poor",M1762=TRUE())),"HOLD / REVIEW","MONITOR"))</f>
        <v>MONITOR</v>
      </c>
      <c r="S1762" s="11" t="n">
        <f aca="false">K1762+(ROW()/10000000)</f>
        <v>37.0001762</v>
      </c>
    </row>
    <row r="1763" customFormat="false" ht="15" hidden="false" customHeight="false" outlineLevel="0" collapsed="false">
      <c r="A1763" s="11" t="s">
        <v>2111</v>
      </c>
      <c r="B1763" s="11" t="s">
        <v>27</v>
      </c>
      <c r="C1763" s="11" t="s">
        <v>86</v>
      </c>
      <c r="D1763" s="11" t="s">
        <v>34</v>
      </c>
      <c r="E1763" s="11" t="s">
        <v>110</v>
      </c>
      <c r="F1763" s="11" t="s">
        <v>120</v>
      </c>
      <c r="G1763" s="21" t="n">
        <v>60.37</v>
      </c>
      <c r="H1763" s="19" t="n">
        <v>23.1</v>
      </c>
      <c r="I1763" s="21" t="n">
        <v>46.42</v>
      </c>
      <c r="J1763" s="22" t="s">
        <v>605</v>
      </c>
      <c r="K1763" s="11" t="n">
        <v>30</v>
      </c>
      <c r="L1763" s="23" t="n">
        <v>4.8</v>
      </c>
      <c r="M1763" s="24" t="b">
        <f aca="false">FALSE()</f>
        <v>0</v>
      </c>
      <c r="N1763" s="11"/>
      <c r="O1763" s="11" t="str">
        <f aca="false">IF(K1763&lt;=StockP33,"Low",IF(K1763&lt;=StockP67,"Moderate","High"))</f>
        <v>Moderate</v>
      </c>
      <c r="P1763" s="11" t="str">
        <f aca="false">IF(H1763=0,"Low",IF(H1763&lt;=MarkdownP75,"Moderate","High"))</f>
        <v>High</v>
      </c>
      <c r="Q1763" s="11" t="str">
        <f aca="false">IF(ISBLANK(L1763),"Unknown",IF(L1763&gt;=4,"Good",IF(L1763&lt;=2,"Poor","Neutral")))</f>
        <v>Good</v>
      </c>
      <c r="R1763" s="11" t="str">
        <f aca="false">IF(AND(O1763="Low",P1763="Low",Q1763="Good"),"BUY / PRIORITIZE",IF(AND(O1763="High",P1763="High",OR(Q1763="Poor",M1763=TRUE())),"HOLD / REVIEW","MONITOR"))</f>
        <v>MONITOR</v>
      </c>
      <c r="S1763" s="11" t="n">
        <f aca="false">K1763+(ROW()/10000000)</f>
        <v>30.0001763</v>
      </c>
    </row>
    <row r="1764" customFormat="false" ht="15" hidden="false" customHeight="false" outlineLevel="0" collapsed="false">
      <c r="A1764" s="11" t="s">
        <v>2112</v>
      </c>
      <c r="B1764" s="11" t="s">
        <v>29</v>
      </c>
      <c r="C1764" s="11" t="s">
        <v>101</v>
      </c>
      <c r="D1764" s="11" t="s">
        <v>37</v>
      </c>
      <c r="E1764" s="11" t="s">
        <v>113</v>
      </c>
      <c r="F1764" s="11" t="s">
        <v>96</v>
      </c>
      <c r="G1764" s="21" t="n">
        <v>83.2</v>
      </c>
      <c r="H1764" s="19" t="n">
        <v>57.1</v>
      </c>
      <c r="I1764" s="21" t="n">
        <v>35.69</v>
      </c>
      <c r="J1764" s="22" t="s">
        <v>80</v>
      </c>
      <c r="K1764" s="11" t="n">
        <v>10</v>
      </c>
      <c r="L1764" s="23" t="n">
        <v>3.3</v>
      </c>
      <c r="M1764" s="24" t="b">
        <f aca="false">FALSE()</f>
        <v>0</v>
      </c>
      <c r="N1764" s="11"/>
      <c r="O1764" s="11" t="str">
        <f aca="false">IF(K1764&lt;=StockP33,"Low",IF(K1764&lt;=StockP67,"Moderate","High"))</f>
        <v>Low</v>
      </c>
      <c r="P1764" s="11" t="str">
        <f aca="false">IF(H1764=0,"Low",IF(H1764&lt;=MarkdownP75,"Moderate","High"))</f>
        <v>High</v>
      </c>
      <c r="Q1764" s="11" t="str">
        <f aca="false">IF(ISBLANK(L1764),"Unknown",IF(L1764&gt;=4,"Good",IF(L1764&lt;=2,"Poor","Neutral")))</f>
        <v>Neutral</v>
      </c>
      <c r="R1764" s="11" t="str">
        <f aca="false">IF(AND(O1764="Low",P1764="Low",Q1764="Good"),"BUY / PRIORITIZE",IF(AND(O1764="High",P1764="High",OR(Q1764="Poor",M1764=TRUE())),"HOLD / REVIEW","MONITOR"))</f>
        <v>MONITOR</v>
      </c>
      <c r="S1764" s="11" t="n">
        <f aca="false">K1764+(ROW()/10000000)</f>
        <v>10.0001764</v>
      </c>
    </row>
    <row r="1765" customFormat="false" ht="15" hidden="false" customHeight="false" outlineLevel="0" collapsed="false">
      <c r="A1765" s="11" t="s">
        <v>2113</v>
      </c>
      <c r="B1765" s="11" t="s">
        <v>28</v>
      </c>
      <c r="C1765" s="11" t="s">
        <v>77</v>
      </c>
      <c r="D1765" s="11" t="s">
        <v>35</v>
      </c>
      <c r="E1765" s="11" t="s">
        <v>91</v>
      </c>
      <c r="F1765" s="11" t="s">
        <v>118</v>
      </c>
      <c r="G1765" s="21" t="n">
        <v>204.47</v>
      </c>
      <c r="H1765" s="19" t="n">
        <v>3.6</v>
      </c>
      <c r="I1765" s="21" t="n">
        <v>197.11</v>
      </c>
      <c r="J1765" s="22" t="s">
        <v>80</v>
      </c>
      <c r="K1765" s="11" t="n">
        <v>26</v>
      </c>
      <c r="L1765" s="23"/>
      <c r="M1765" s="24" t="b">
        <f aca="false">FALSE()</f>
        <v>0</v>
      </c>
      <c r="N1765" s="11"/>
      <c r="O1765" s="11" t="str">
        <f aca="false">IF(K1765&lt;=StockP33,"Low",IF(K1765&lt;=StockP67,"Moderate","High"))</f>
        <v>Moderate</v>
      </c>
      <c r="P1765" s="11" t="str">
        <f aca="false">IF(H1765=0,"Low",IF(H1765&lt;=MarkdownP75,"Moderate","High"))</f>
        <v>Moderate</v>
      </c>
      <c r="Q1765" s="11" t="str">
        <f aca="false">IF(ISBLANK(L1765),"Unknown",IF(L1765&gt;=4,"Good",IF(L1765&lt;=2,"Poor","Neutral")))</f>
        <v>Unknown</v>
      </c>
      <c r="R1765" s="11" t="str">
        <f aca="false">IF(AND(O1765="Low",P1765="Low",Q1765="Good"),"BUY / PRIORITIZE",IF(AND(O1765="High",P1765="High",OR(Q1765="Poor",M1765=TRUE())),"HOLD / REVIEW","MONITOR"))</f>
        <v>MONITOR</v>
      </c>
      <c r="S1765" s="11" t="n">
        <f aca="false">K1765+(ROW()/10000000)</f>
        <v>26.0001765</v>
      </c>
    </row>
    <row r="1766" customFormat="false" ht="15" hidden="false" customHeight="false" outlineLevel="0" collapsed="false">
      <c r="A1766" s="11" t="s">
        <v>2114</v>
      </c>
      <c r="B1766" s="11" t="s">
        <v>8</v>
      </c>
      <c r="C1766" s="11" t="s">
        <v>95</v>
      </c>
      <c r="D1766" s="11" t="s">
        <v>36</v>
      </c>
      <c r="E1766" s="11"/>
      <c r="F1766" s="11" t="s">
        <v>120</v>
      </c>
      <c r="G1766" s="21" t="n">
        <v>52.73</v>
      </c>
      <c r="H1766" s="19" t="n">
        <v>0</v>
      </c>
      <c r="I1766" s="21" t="n">
        <v>52.73</v>
      </c>
      <c r="J1766" s="22" t="s">
        <v>80</v>
      </c>
      <c r="K1766" s="11" t="n">
        <v>42</v>
      </c>
      <c r="L1766" s="23"/>
      <c r="M1766" s="24" t="b">
        <f aca="false">FALSE()</f>
        <v>0</v>
      </c>
      <c r="N1766" s="11"/>
      <c r="O1766" s="11" t="str">
        <f aca="false">IF(K1766&lt;=StockP33,"Low",IF(K1766&lt;=StockP67,"Moderate","High"))</f>
        <v>High</v>
      </c>
      <c r="P1766" s="11" t="str">
        <f aca="false">IF(H1766=0,"Low",IF(H1766&lt;=MarkdownP75,"Moderate","High"))</f>
        <v>Low</v>
      </c>
      <c r="Q1766" s="11" t="str">
        <f aca="false">IF(ISBLANK(L1766),"Unknown",IF(L1766&gt;=4,"Good",IF(L1766&lt;=2,"Poor","Neutral")))</f>
        <v>Unknown</v>
      </c>
      <c r="R1766" s="11" t="str">
        <f aca="false">IF(AND(O1766="Low",P1766="Low",Q1766="Good"),"BUY / PRIORITIZE",IF(AND(O1766="High",P1766="High",OR(Q1766="Poor",M1766=TRUE())),"HOLD / REVIEW","MONITOR"))</f>
        <v>MONITOR</v>
      </c>
      <c r="S1766" s="11" t="n">
        <f aca="false">K1766+(ROW()/10000000)</f>
        <v>42.0001766</v>
      </c>
    </row>
    <row r="1767" customFormat="false" ht="15" hidden="false" customHeight="false" outlineLevel="0" collapsed="false">
      <c r="A1767" s="11" t="s">
        <v>2115</v>
      </c>
      <c r="B1767" s="11" t="s">
        <v>26</v>
      </c>
      <c r="C1767" s="11" t="s">
        <v>130</v>
      </c>
      <c r="D1767" s="11" t="s">
        <v>36</v>
      </c>
      <c r="E1767" s="11" t="s">
        <v>102</v>
      </c>
      <c r="F1767" s="11" t="s">
        <v>111</v>
      </c>
      <c r="G1767" s="21" t="n">
        <v>61.1</v>
      </c>
      <c r="H1767" s="19" t="n">
        <v>0</v>
      </c>
      <c r="I1767" s="21" t="n">
        <v>61.1</v>
      </c>
      <c r="J1767" s="22" t="s">
        <v>80</v>
      </c>
      <c r="K1767" s="11" t="n">
        <v>30</v>
      </c>
      <c r="L1767" s="23" t="n">
        <v>4.6</v>
      </c>
      <c r="M1767" s="24" t="b">
        <f aca="false">FALSE()</f>
        <v>0</v>
      </c>
      <c r="N1767" s="11"/>
      <c r="O1767" s="11" t="str">
        <f aca="false">IF(K1767&lt;=StockP33,"Low",IF(K1767&lt;=StockP67,"Moderate","High"))</f>
        <v>Moderate</v>
      </c>
      <c r="P1767" s="11" t="str">
        <f aca="false">IF(H1767=0,"Low",IF(H1767&lt;=MarkdownP75,"Moderate","High"))</f>
        <v>Low</v>
      </c>
      <c r="Q1767" s="11" t="str">
        <f aca="false">IF(ISBLANK(L1767),"Unknown",IF(L1767&gt;=4,"Good",IF(L1767&lt;=2,"Poor","Neutral")))</f>
        <v>Good</v>
      </c>
      <c r="R1767" s="11" t="str">
        <f aca="false">IF(AND(O1767="Low",P1767="Low",Q1767="Good"),"BUY / PRIORITIZE",IF(AND(O1767="High",P1767="High",OR(Q1767="Poor",M1767=TRUE())),"HOLD / REVIEW","MONITOR"))</f>
        <v>MONITOR</v>
      </c>
      <c r="S1767" s="11" t="n">
        <f aca="false">K1767+(ROW()/10000000)</f>
        <v>30.0001767</v>
      </c>
    </row>
    <row r="1768" customFormat="false" ht="15" hidden="false" customHeight="false" outlineLevel="0" collapsed="false">
      <c r="A1768" s="11" t="s">
        <v>2116</v>
      </c>
      <c r="B1768" s="11" t="s">
        <v>28</v>
      </c>
      <c r="C1768" s="11" t="s">
        <v>72</v>
      </c>
      <c r="D1768" s="11" t="s">
        <v>35</v>
      </c>
      <c r="E1768" s="11" t="s">
        <v>91</v>
      </c>
      <c r="F1768" s="11" t="s">
        <v>92</v>
      </c>
      <c r="G1768" s="21" t="n">
        <v>227.92</v>
      </c>
      <c r="H1768" s="19" t="n">
        <v>0</v>
      </c>
      <c r="I1768" s="21" t="n">
        <v>227.92</v>
      </c>
      <c r="J1768" s="22" t="s">
        <v>80</v>
      </c>
      <c r="K1768" s="11" t="n">
        <v>34</v>
      </c>
      <c r="L1768" s="23"/>
      <c r="M1768" s="24" t="b">
        <f aca="false">FALSE()</f>
        <v>0</v>
      </c>
      <c r="N1768" s="11"/>
      <c r="O1768" s="11" t="str">
        <f aca="false">IF(K1768&lt;=StockP33,"Low",IF(K1768&lt;=StockP67,"Moderate","High"))</f>
        <v>High</v>
      </c>
      <c r="P1768" s="11" t="str">
        <f aca="false">IF(H1768=0,"Low",IF(H1768&lt;=MarkdownP75,"Moderate","High"))</f>
        <v>Low</v>
      </c>
      <c r="Q1768" s="11" t="str">
        <f aca="false">IF(ISBLANK(L1768),"Unknown",IF(L1768&gt;=4,"Good",IF(L1768&lt;=2,"Poor","Neutral")))</f>
        <v>Unknown</v>
      </c>
      <c r="R1768" s="11" t="str">
        <f aca="false">IF(AND(O1768="Low",P1768="Low",Q1768="Good"),"BUY / PRIORITIZE",IF(AND(O1768="High",P1768="High",OR(Q1768="Poor",M1768=TRUE())),"HOLD / REVIEW","MONITOR"))</f>
        <v>MONITOR</v>
      </c>
      <c r="S1768" s="11" t="n">
        <f aca="false">K1768+(ROW()/10000000)</f>
        <v>34.0001768</v>
      </c>
    </row>
    <row r="1769" customFormat="false" ht="15" hidden="false" customHeight="false" outlineLevel="0" collapsed="false">
      <c r="A1769" s="11" t="s">
        <v>2117</v>
      </c>
      <c r="B1769" s="11" t="s">
        <v>27</v>
      </c>
      <c r="C1769" s="11" t="s">
        <v>101</v>
      </c>
      <c r="D1769" s="11" t="s">
        <v>36</v>
      </c>
      <c r="E1769" s="11" t="s">
        <v>78</v>
      </c>
      <c r="F1769" s="11" t="s">
        <v>96</v>
      </c>
      <c r="G1769" s="21" t="n">
        <v>111.55</v>
      </c>
      <c r="H1769" s="19" t="n">
        <v>0</v>
      </c>
      <c r="I1769" s="21" t="n">
        <v>111.55</v>
      </c>
      <c r="J1769" s="22" t="s">
        <v>80</v>
      </c>
      <c r="K1769" s="11" t="n">
        <v>14</v>
      </c>
      <c r="L1769" s="23"/>
      <c r="M1769" s="24" t="b">
        <f aca="false">FALSE()</f>
        <v>0</v>
      </c>
      <c r="N1769" s="11"/>
      <c r="O1769" s="11" t="str">
        <f aca="false">IF(K1769&lt;=StockP33,"Low",IF(K1769&lt;=StockP67,"Moderate","High"))</f>
        <v>Low</v>
      </c>
      <c r="P1769" s="11" t="str">
        <f aca="false">IF(H1769=0,"Low",IF(H1769&lt;=MarkdownP75,"Moderate","High"))</f>
        <v>Low</v>
      </c>
      <c r="Q1769" s="11" t="str">
        <f aca="false">IF(ISBLANK(L1769),"Unknown",IF(L1769&gt;=4,"Good",IF(L1769&lt;=2,"Poor","Neutral")))</f>
        <v>Unknown</v>
      </c>
      <c r="R1769" s="11" t="str">
        <f aca="false">IF(AND(O1769="Low",P1769="Low",Q1769="Good"),"BUY / PRIORITIZE",IF(AND(O1769="High",P1769="High",OR(Q1769="Poor",M1769=TRUE())),"HOLD / REVIEW","MONITOR"))</f>
        <v>MONITOR</v>
      </c>
      <c r="S1769" s="11" t="n">
        <f aca="false">K1769+(ROW()/10000000)</f>
        <v>14.0001769</v>
      </c>
    </row>
    <row r="1770" customFormat="false" ht="15" hidden="false" customHeight="false" outlineLevel="0" collapsed="false">
      <c r="A1770" s="11" t="s">
        <v>2118</v>
      </c>
      <c r="B1770" s="11" t="s">
        <v>26</v>
      </c>
      <c r="C1770" s="11" t="s">
        <v>130</v>
      </c>
      <c r="D1770" s="11" t="s">
        <v>36</v>
      </c>
      <c r="E1770" s="11" t="s">
        <v>110</v>
      </c>
      <c r="F1770" s="11" t="s">
        <v>79</v>
      </c>
      <c r="G1770" s="21" t="n">
        <v>29.09</v>
      </c>
      <c r="H1770" s="19" t="n">
        <v>29.6</v>
      </c>
      <c r="I1770" s="21" t="n">
        <v>20.48</v>
      </c>
      <c r="J1770" s="22" t="s">
        <v>80</v>
      </c>
      <c r="K1770" s="11" t="n">
        <v>25</v>
      </c>
      <c r="L1770" s="23" t="n">
        <v>4.8</v>
      </c>
      <c r="M1770" s="24" t="b">
        <f aca="false">FALSE()</f>
        <v>0</v>
      </c>
      <c r="N1770" s="11"/>
      <c r="O1770" s="11" t="str">
        <f aca="false">IF(K1770&lt;=StockP33,"Low",IF(K1770&lt;=StockP67,"Moderate","High"))</f>
        <v>Moderate</v>
      </c>
      <c r="P1770" s="11" t="str">
        <f aca="false">IF(H1770=0,"Low",IF(H1770&lt;=MarkdownP75,"Moderate","High"))</f>
        <v>High</v>
      </c>
      <c r="Q1770" s="11" t="str">
        <f aca="false">IF(ISBLANK(L1770),"Unknown",IF(L1770&gt;=4,"Good",IF(L1770&lt;=2,"Poor","Neutral")))</f>
        <v>Good</v>
      </c>
      <c r="R1770" s="11" t="str">
        <f aca="false">IF(AND(O1770="Low",P1770="Low",Q1770="Good"),"BUY / PRIORITIZE",IF(AND(O1770="High",P1770="High",OR(Q1770="Poor",M1770=TRUE())),"HOLD / REVIEW","MONITOR"))</f>
        <v>MONITOR</v>
      </c>
      <c r="S1770" s="11" t="n">
        <f aca="false">K1770+(ROW()/10000000)</f>
        <v>25.000177</v>
      </c>
    </row>
    <row r="1771" customFormat="false" ht="15" hidden="false" customHeight="false" outlineLevel="0" collapsed="false">
      <c r="A1771" s="11" t="s">
        <v>2119</v>
      </c>
      <c r="B1771" s="11" t="s">
        <v>27</v>
      </c>
      <c r="C1771" s="11" t="s">
        <v>101</v>
      </c>
      <c r="D1771" s="11" t="s">
        <v>36</v>
      </c>
      <c r="E1771" s="11" t="s">
        <v>113</v>
      </c>
      <c r="F1771" s="11" t="s">
        <v>79</v>
      </c>
      <c r="G1771" s="21" t="n">
        <v>179.71</v>
      </c>
      <c r="H1771" s="19" t="n">
        <v>0</v>
      </c>
      <c r="I1771" s="21" t="n">
        <v>179.71</v>
      </c>
      <c r="J1771" s="22" t="s">
        <v>80</v>
      </c>
      <c r="K1771" s="11" t="n">
        <v>9</v>
      </c>
      <c r="L1771" s="23" t="n">
        <v>3.9</v>
      </c>
      <c r="M1771" s="24" t="b">
        <f aca="false">FALSE()</f>
        <v>0</v>
      </c>
      <c r="N1771" s="11"/>
      <c r="O1771" s="11" t="str">
        <f aca="false">IF(K1771&lt;=StockP33,"Low",IF(K1771&lt;=StockP67,"Moderate","High"))</f>
        <v>Low</v>
      </c>
      <c r="P1771" s="11" t="str">
        <f aca="false">IF(H1771=0,"Low",IF(H1771&lt;=MarkdownP75,"Moderate","High"))</f>
        <v>Low</v>
      </c>
      <c r="Q1771" s="11" t="str">
        <f aca="false">IF(ISBLANK(L1771),"Unknown",IF(L1771&gt;=4,"Good",IF(L1771&lt;=2,"Poor","Neutral")))</f>
        <v>Neutral</v>
      </c>
      <c r="R1771" s="11" t="str">
        <f aca="false">IF(AND(O1771="Low",P1771="Low",Q1771="Good"),"BUY / PRIORITIZE",IF(AND(O1771="High",P1771="High",OR(Q1771="Poor",M1771=TRUE())),"HOLD / REVIEW","MONITOR"))</f>
        <v>MONITOR</v>
      </c>
      <c r="S1771" s="11" t="n">
        <f aca="false">K1771+(ROW()/10000000)</f>
        <v>9.0001771</v>
      </c>
    </row>
    <row r="1772" customFormat="false" ht="15" hidden="false" customHeight="false" outlineLevel="0" collapsed="false">
      <c r="A1772" s="11" t="s">
        <v>2120</v>
      </c>
      <c r="B1772" s="11" t="s">
        <v>8</v>
      </c>
      <c r="C1772" s="11" t="s">
        <v>101</v>
      </c>
      <c r="D1772" s="11" t="s">
        <v>35</v>
      </c>
      <c r="E1772" s="11"/>
      <c r="F1772" s="11" t="s">
        <v>79</v>
      </c>
      <c r="G1772" s="21" t="n">
        <v>52.76</v>
      </c>
      <c r="H1772" s="19" t="n">
        <v>39.4</v>
      </c>
      <c r="I1772" s="21" t="n">
        <v>31.97</v>
      </c>
      <c r="J1772" s="22" t="s">
        <v>80</v>
      </c>
      <c r="K1772" s="11" t="n">
        <v>0</v>
      </c>
      <c r="L1772" s="23" t="n">
        <v>1.4</v>
      </c>
      <c r="M1772" s="24" t="b">
        <f aca="false">FALSE()</f>
        <v>0</v>
      </c>
      <c r="N1772" s="11"/>
      <c r="O1772" s="11" t="str">
        <f aca="false">IF(K1772&lt;=StockP33,"Low",IF(K1772&lt;=StockP67,"Moderate","High"))</f>
        <v>Low</v>
      </c>
      <c r="P1772" s="11" t="str">
        <f aca="false">IF(H1772=0,"Low",IF(H1772&lt;=MarkdownP75,"Moderate","High"))</f>
        <v>High</v>
      </c>
      <c r="Q1772" s="11" t="str">
        <f aca="false">IF(ISBLANK(L1772),"Unknown",IF(L1772&gt;=4,"Good",IF(L1772&lt;=2,"Poor","Neutral")))</f>
        <v>Poor</v>
      </c>
      <c r="R1772" s="11" t="str">
        <f aca="false">IF(AND(O1772="Low",P1772="Low",Q1772="Good"),"BUY / PRIORITIZE",IF(AND(O1772="High",P1772="High",OR(Q1772="Poor",M1772=TRUE())),"HOLD / REVIEW","MONITOR"))</f>
        <v>MONITOR</v>
      </c>
      <c r="S1772" s="11" t="n">
        <f aca="false">K1772+(ROW()/10000000)</f>
        <v>0.0001772</v>
      </c>
    </row>
    <row r="1773" customFormat="false" ht="15" hidden="false" customHeight="false" outlineLevel="0" collapsed="false">
      <c r="A1773" s="11" t="s">
        <v>2121</v>
      </c>
      <c r="B1773" s="11" t="s">
        <v>8</v>
      </c>
      <c r="C1773" s="11" t="s">
        <v>77</v>
      </c>
      <c r="D1773" s="11" t="s">
        <v>34</v>
      </c>
      <c r="E1773" s="11"/>
      <c r="F1773" s="11" t="s">
        <v>98</v>
      </c>
      <c r="G1773" s="21" t="n">
        <v>67.9</v>
      </c>
      <c r="H1773" s="19" t="n">
        <v>0</v>
      </c>
      <c r="I1773" s="21" t="n">
        <v>67.9</v>
      </c>
      <c r="J1773" s="22" t="s">
        <v>2122</v>
      </c>
      <c r="K1773" s="11" t="n">
        <v>1</v>
      </c>
      <c r="L1773" s="23" t="n">
        <v>1.3</v>
      </c>
      <c r="M1773" s="24" t="b">
        <f aca="false">FALSE()</f>
        <v>0</v>
      </c>
      <c r="N1773" s="11"/>
      <c r="O1773" s="11" t="str">
        <f aca="false">IF(K1773&lt;=StockP33,"Low",IF(K1773&lt;=StockP67,"Moderate","High"))</f>
        <v>Low</v>
      </c>
      <c r="P1773" s="11" t="str">
        <f aca="false">IF(H1773=0,"Low",IF(H1773&lt;=MarkdownP75,"Moderate","High"))</f>
        <v>Low</v>
      </c>
      <c r="Q1773" s="11" t="str">
        <f aca="false">IF(ISBLANK(L1773),"Unknown",IF(L1773&gt;=4,"Good",IF(L1773&lt;=2,"Poor","Neutral")))</f>
        <v>Poor</v>
      </c>
      <c r="R1773" s="11" t="str">
        <f aca="false">IF(AND(O1773="Low",P1773="Low",Q1773="Good"),"BUY / PRIORITIZE",IF(AND(O1773="High",P1773="High",OR(Q1773="Poor",M1773=TRUE())),"HOLD / REVIEW","MONITOR"))</f>
        <v>MONITOR</v>
      </c>
      <c r="S1773" s="11" t="n">
        <f aca="false">K1773+(ROW()/10000000)</f>
        <v>1.0001773</v>
      </c>
    </row>
    <row r="1774" customFormat="false" ht="15" hidden="false" customHeight="false" outlineLevel="0" collapsed="false">
      <c r="A1774" s="11" t="s">
        <v>2123</v>
      </c>
      <c r="B1774" s="11" t="s">
        <v>8</v>
      </c>
      <c r="C1774" s="11" t="s">
        <v>77</v>
      </c>
      <c r="D1774" s="11" t="s">
        <v>36</v>
      </c>
      <c r="E1774" s="11"/>
      <c r="F1774" s="11" t="s">
        <v>118</v>
      </c>
      <c r="G1774" s="21" t="n">
        <v>46.77</v>
      </c>
      <c r="H1774" s="19" t="n">
        <v>40.8</v>
      </c>
      <c r="I1774" s="21" t="n">
        <v>27.69</v>
      </c>
      <c r="J1774" s="22" t="s">
        <v>80</v>
      </c>
      <c r="K1774" s="11" t="n">
        <v>25</v>
      </c>
      <c r="L1774" s="23" t="n">
        <v>2.6</v>
      </c>
      <c r="M1774" s="24" t="b">
        <f aca="false">FALSE()</f>
        <v>0</v>
      </c>
      <c r="N1774" s="11"/>
      <c r="O1774" s="11" t="str">
        <f aca="false">IF(K1774&lt;=StockP33,"Low",IF(K1774&lt;=StockP67,"Moderate","High"))</f>
        <v>Moderate</v>
      </c>
      <c r="P1774" s="11" t="str">
        <f aca="false">IF(H1774=0,"Low",IF(H1774&lt;=MarkdownP75,"Moderate","High"))</f>
        <v>High</v>
      </c>
      <c r="Q1774" s="11" t="str">
        <f aca="false">IF(ISBLANK(L1774),"Unknown",IF(L1774&gt;=4,"Good",IF(L1774&lt;=2,"Poor","Neutral")))</f>
        <v>Neutral</v>
      </c>
      <c r="R1774" s="11" t="str">
        <f aca="false">IF(AND(O1774="Low",P1774="Low",Q1774="Good"),"BUY / PRIORITIZE",IF(AND(O1774="High",P1774="High",OR(Q1774="Poor",M1774=TRUE())),"HOLD / REVIEW","MONITOR"))</f>
        <v>MONITOR</v>
      </c>
      <c r="S1774" s="11" t="n">
        <f aca="false">K1774+(ROW()/10000000)</f>
        <v>25.0001774</v>
      </c>
    </row>
    <row r="1775" customFormat="false" ht="15" hidden="false" customHeight="false" outlineLevel="0" collapsed="false">
      <c r="A1775" s="11" t="s">
        <v>2124</v>
      </c>
      <c r="B1775" s="11" t="s">
        <v>30</v>
      </c>
      <c r="C1775" s="11" t="s">
        <v>77</v>
      </c>
      <c r="D1775" s="11" t="s">
        <v>37</v>
      </c>
      <c r="E1775" s="11" t="s">
        <v>73</v>
      </c>
      <c r="F1775" s="11" t="s">
        <v>118</v>
      </c>
      <c r="G1775" s="21" t="n">
        <v>91.6</v>
      </c>
      <c r="H1775" s="19" t="n">
        <v>0</v>
      </c>
      <c r="I1775" s="21" t="n">
        <v>91.6</v>
      </c>
      <c r="J1775" s="22" t="s">
        <v>80</v>
      </c>
      <c r="K1775" s="11" t="n">
        <v>6</v>
      </c>
      <c r="L1775" s="23" t="n">
        <v>2.7</v>
      </c>
      <c r="M1775" s="24" t="b">
        <f aca="false">FALSE()</f>
        <v>0</v>
      </c>
      <c r="N1775" s="11"/>
      <c r="O1775" s="11" t="str">
        <f aca="false">IF(K1775&lt;=StockP33,"Low",IF(K1775&lt;=StockP67,"Moderate","High"))</f>
        <v>Low</v>
      </c>
      <c r="P1775" s="11" t="str">
        <f aca="false">IF(H1775=0,"Low",IF(H1775&lt;=MarkdownP75,"Moderate","High"))</f>
        <v>Low</v>
      </c>
      <c r="Q1775" s="11" t="str">
        <f aca="false">IF(ISBLANK(L1775),"Unknown",IF(L1775&gt;=4,"Good",IF(L1775&lt;=2,"Poor","Neutral")))</f>
        <v>Neutral</v>
      </c>
      <c r="R1775" s="11" t="str">
        <f aca="false">IF(AND(O1775="Low",P1775="Low",Q1775="Good"),"BUY / PRIORITIZE",IF(AND(O1775="High",P1775="High",OR(Q1775="Poor",M1775=TRUE())),"HOLD / REVIEW","MONITOR"))</f>
        <v>MONITOR</v>
      </c>
      <c r="S1775" s="11" t="n">
        <f aca="false">K1775+(ROW()/10000000)</f>
        <v>6.0001775</v>
      </c>
    </row>
    <row r="1776" customFormat="false" ht="15" hidden="false" customHeight="false" outlineLevel="0" collapsed="false">
      <c r="A1776" s="11" t="s">
        <v>2125</v>
      </c>
      <c r="B1776" s="11" t="s">
        <v>28</v>
      </c>
      <c r="C1776" s="11" t="s">
        <v>77</v>
      </c>
      <c r="D1776" s="11" t="s">
        <v>34</v>
      </c>
      <c r="E1776" s="11" t="s">
        <v>110</v>
      </c>
      <c r="F1776" s="11" t="s">
        <v>79</v>
      </c>
      <c r="G1776" s="21" t="n">
        <v>230.39</v>
      </c>
      <c r="H1776" s="19" t="n">
        <v>4.2</v>
      </c>
      <c r="I1776" s="21" t="n">
        <v>220.71</v>
      </c>
      <c r="J1776" s="22" t="s">
        <v>2126</v>
      </c>
      <c r="K1776" s="11" t="n">
        <v>34</v>
      </c>
      <c r="L1776" s="23" t="n">
        <v>3.5</v>
      </c>
      <c r="M1776" s="24" t="b">
        <f aca="false">FALSE()</f>
        <v>0</v>
      </c>
      <c r="N1776" s="11"/>
      <c r="O1776" s="11" t="str">
        <f aca="false">IF(K1776&lt;=StockP33,"Low",IF(K1776&lt;=StockP67,"Moderate","High"))</f>
        <v>High</v>
      </c>
      <c r="P1776" s="11" t="str">
        <f aca="false">IF(H1776=0,"Low",IF(H1776&lt;=MarkdownP75,"Moderate","High"))</f>
        <v>Moderate</v>
      </c>
      <c r="Q1776" s="11" t="str">
        <f aca="false">IF(ISBLANK(L1776),"Unknown",IF(L1776&gt;=4,"Good",IF(L1776&lt;=2,"Poor","Neutral")))</f>
        <v>Neutral</v>
      </c>
      <c r="R1776" s="11" t="str">
        <f aca="false">IF(AND(O1776="Low",P1776="Low",Q1776="Good"),"BUY / PRIORITIZE",IF(AND(O1776="High",P1776="High",OR(Q1776="Poor",M1776=TRUE())),"HOLD / REVIEW","MONITOR"))</f>
        <v>MONITOR</v>
      </c>
      <c r="S1776" s="11" t="n">
        <f aca="false">K1776+(ROW()/10000000)</f>
        <v>34.0001776</v>
      </c>
    </row>
    <row r="1777" customFormat="false" ht="15" hidden="false" customHeight="false" outlineLevel="0" collapsed="false">
      <c r="A1777" s="11" t="s">
        <v>2127</v>
      </c>
      <c r="B1777" s="11" t="s">
        <v>28</v>
      </c>
      <c r="C1777" s="11" t="s">
        <v>107</v>
      </c>
      <c r="D1777" s="11" t="s">
        <v>36</v>
      </c>
      <c r="E1777" s="11" t="s">
        <v>113</v>
      </c>
      <c r="F1777" s="11" t="s">
        <v>96</v>
      </c>
      <c r="G1777" s="21" t="n">
        <v>118.37</v>
      </c>
      <c r="H1777" s="19" t="n">
        <v>0</v>
      </c>
      <c r="I1777" s="21" t="n">
        <v>118.37</v>
      </c>
      <c r="J1777" s="22" t="s">
        <v>80</v>
      </c>
      <c r="K1777" s="11" t="n">
        <v>45</v>
      </c>
      <c r="L1777" s="23"/>
      <c r="M1777" s="24" t="b">
        <f aca="false">FALSE()</f>
        <v>0</v>
      </c>
      <c r="N1777" s="11"/>
      <c r="O1777" s="11" t="str">
        <f aca="false">IF(K1777&lt;=StockP33,"Low",IF(K1777&lt;=StockP67,"Moderate","High"))</f>
        <v>High</v>
      </c>
      <c r="P1777" s="11" t="str">
        <f aca="false">IF(H1777=0,"Low",IF(H1777&lt;=MarkdownP75,"Moderate","High"))</f>
        <v>Low</v>
      </c>
      <c r="Q1777" s="11" t="str">
        <f aca="false">IF(ISBLANK(L1777),"Unknown",IF(L1777&gt;=4,"Good",IF(L1777&lt;=2,"Poor","Neutral")))</f>
        <v>Unknown</v>
      </c>
      <c r="R1777" s="11" t="str">
        <f aca="false">IF(AND(O1777="Low",P1777="Low",Q1777="Good"),"BUY / PRIORITIZE",IF(AND(O1777="High",P1777="High",OR(Q1777="Poor",M1777=TRUE())),"HOLD / REVIEW","MONITOR"))</f>
        <v>MONITOR</v>
      </c>
      <c r="S1777" s="11" t="n">
        <f aca="false">K1777+(ROW()/10000000)</f>
        <v>45.0001777</v>
      </c>
    </row>
    <row r="1778" customFormat="false" ht="15" hidden="false" customHeight="false" outlineLevel="0" collapsed="false">
      <c r="A1778" s="11" t="s">
        <v>2128</v>
      </c>
      <c r="B1778" s="11" t="s">
        <v>29</v>
      </c>
      <c r="C1778" s="11" t="s">
        <v>116</v>
      </c>
      <c r="D1778" s="11" t="s">
        <v>37</v>
      </c>
      <c r="E1778" s="11" t="s">
        <v>113</v>
      </c>
      <c r="F1778" s="11" t="s">
        <v>74</v>
      </c>
      <c r="G1778" s="21" t="n">
        <v>81.26</v>
      </c>
      <c r="H1778" s="19" t="n">
        <v>32.7</v>
      </c>
      <c r="I1778" s="21" t="n">
        <v>54.69</v>
      </c>
      <c r="J1778" s="22" t="s">
        <v>80</v>
      </c>
      <c r="K1778" s="11" t="n">
        <v>2</v>
      </c>
      <c r="L1778" s="23" t="n">
        <v>3.3</v>
      </c>
      <c r="M1778" s="24" t="b">
        <f aca="false">FALSE()</f>
        <v>0</v>
      </c>
      <c r="N1778" s="11"/>
      <c r="O1778" s="11" t="str">
        <f aca="false">IF(K1778&lt;=StockP33,"Low",IF(K1778&lt;=StockP67,"Moderate","High"))</f>
        <v>Low</v>
      </c>
      <c r="P1778" s="11" t="str">
        <f aca="false">IF(H1778=0,"Low",IF(H1778&lt;=MarkdownP75,"Moderate","High"))</f>
        <v>High</v>
      </c>
      <c r="Q1778" s="11" t="str">
        <f aca="false">IF(ISBLANK(L1778),"Unknown",IF(L1778&gt;=4,"Good",IF(L1778&lt;=2,"Poor","Neutral")))</f>
        <v>Neutral</v>
      </c>
      <c r="R1778" s="11" t="str">
        <f aca="false">IF(AND(O1778="Low",P1778="Low",Q1778="Good"),"BUY / PRIORITIZE",IF(AND(O1778="High",P1778="High",OR(Q1778="Poor",M1778=TRUE())),"HOLD / REVIEW","MONITOR"))</f>
        <v>MONITOR</v>
      </c>
      <c r="S1778" s="11" t="n">
        <f aca="false">K1778+(ROW()/10000000)</f>
        <v>2.0001778</v>
      </c>
    </row>
    <row r="1779" customFormat="false" ht="15" hidden="false" customHeight="false" outlineLevel="0" collapsed="false">
      <c r="A1779" s="11" t="s">
        <v>2129</v>
      </c>
      <c r="B1779" s="11" t="s">
        <v>8</v>
      </c>
      <c r="C1779" s="11" t="s">
        <v>101</v>
      </c>
      <c r="D1779" s="11" t="s">
        <v>36</v>
      </c>
      <c r="E1779" s="11"/>
      <c r="F1779" s="11" t="s">
        <v>120</v>
      </c>
      <c r="G1779" s="21" t="n">
        <v>57.21</v>
      </c>
      <c r="H1779" s="19" t="n">
        <v>18</v>
      </c>
      <c r="I1779" s="21" t="n">
        <v>46.91</v>
      </c>
      <c r="J1779" s="22" t="s">
        <v>80</v>
      </c>
      <c r="K1779" s="11" t="n">
        <v>7</v>
      </c>
      <c r="L1779" s="23" t="n">
        <v>2.5</v>
      </c>
      <c r="M1779" s="24" t="b">
        <f aca="false">FALSE()</f>
        <v>0</v>
      </c>
      <c r="N1779" s="11"/>
      <c r="O1779" s="11" t="str">
        <f aca="false">IF(K1779&lt;=StockP33,"Low",IF(K1779&lt;=StockP67,"Moderate","High"))</f>
        <v>Low</v>
      </c>
      <c r="P1779" s="11" t="str">
        <f aca="false">IF(H1779=0,"Low",IF(H1779&lt;=MarkdownP75,"Moderate","High"))</f>
        <v>Moderate</v>
      </c>
      <c r="Q1779" s="11" t="str">
        <f aca="false">IF(ISBLANK(L1779),"Unknown",IF(L1779&gt;=4,"Good",IF(L1779&lt;=2,"Poor","Neutral")))</f>
        <v>Neutral</v>
      </c>
      <c r="R1779" s="11" t="str">
        <f aca="false">IF(AND(O1779="Low",P1779="Low",Q1779="Good"),"BUY / PRIORITIZE",IF(AND(O1779="High",P1779="High",OR(Q1779="Poor",M1779=TRUE())),"HOLD / REVIEW","MONITOR"))</f>
        <v>MONITOR</v>
      </c>
      <c r="S1779" s="11" t="n">
        <f aca="false">K1779+(ROW()/10000000)</f>
        <v>7.0001779</v>
      </c>
    </row>
    <row r="1780" customFormat="false" ht="15" hidden="false" customHeight="false" outlineLevel="0" collapsed="false">
      <c r="A1780" s="11" t="s">
        <v>2130</v>
      </c>
      <c r="B1780" s="11" t="s">
        <v>27</v>
      </c>
      <c r="C1780" s="11" t="s">
        <v>130</v>
      </c>
      <c r="D1780" s="11" t="s">
        <v>35</v>
      </c>
      <c r="E1780" s="11" t="s">
        <v>73</v>
      </c>
      <c r="F1780" s="11" t="s">
        <v>124</v>
      </c>
      <c r="G1780" s="21" t="n">
        <v>74.53</v>
      </c>
      <c r="H1780" s="19" t="n">
        <v>0</v>
      </c>
      <c r="I1780" s="21" t="n">
        <v>74.53</v>
      </c>
      <c r="J1780" s="22" t="s">
        <v>80</v>
      </c>
      <c r="K1780" s="11" t="n">
        <v>9</v>
      </c>
      <c r="L1780" s="23"/>
      <c r="M1780" s="24" t="b">
        <f aca="false">FALSE()</f>
        <v>0</v>
      </c>
      <c r="N1780" s="11"/>
      <c r="O1780" s="11" t="str">
        <f aca="false">IF(K1780&lt;=StockP33,"Low",IF(K1780&lt;=StockP67,"Moderate","High"))</f>
        <v>Low</v>
      </c>
      <c r="P1780" s="11" t="str">
        <f aca="false">IF(H1780=0,"Low",IF(H1780&lt;=MarkdownP75,"Moderate","High"))</f>
        <v>Low</v>
      </c>
      <c r="Q1780" s="11" t="str">
        <f aca="false">IF(ISBLANK(L1780),"Unknown",IF(L1780&gt;=4,"Good",IF(L1780&lt;=2,"Poor","Neutral")))</f>
        <v>Unknown</v>
      </c>
      <c r="R1780" s="11" t="str">
        <f aca="false">IF(AND(O1780="Low",P1780="Low",Q1780="Good"),"BUY / PRIORITIZE",IF(AND(O1780="High",P1780="High",OR(Q1780="Poor",M1780=TRUE())),"HOLD / REVIEW","MONITOR"))</f>
        <v>MONITOR</v>
      </c>
      <c r="S1780" s="11" t="n">
        <f aca="false">K1780+(ROW()/10000000)</f>
        <v>9.000178</v>
      </c>
    </row>
    <row r="1781" customFormat="false" ht="15" hidden="false" customHeight="false" outlineLevel="0" collapsed="false">
      <c r="A1781" s="11" t="s">
        <v>2131</v>
      </c>
      <c r="B1781" s="11" t="s">
        <v>27</v>
      </c>
      <c r="C1781" s="11" t="s">
        <v>86</v>
      </c>
      <c r="D1781" s="11" t="s">
        <v>35</v>
      </c>
      <c r="E1781" s="11" t="s">
        <v>113</v>
      </c>
      <c r="F1781" s="11" t="s">
        <v>74</v>
      </c>
      <c r="G1781" s="21" t="n">
        <v>69.54</v>
      </c>
      <c r="H1781" s="19" t="n">
        <v>0</v>
      </c>
      <c r="I1781" s="21" t="n">
        <v>69.54</v>
      </c>
      <c r="J1781" s="22" t="s">
        <v>80</v>
      </c>
      <c r="K1781" s="11" t="n">
        <v>40</v>
      </c>
      <c r="L1781" s="23" t="n">
        <v>3.2</v>
      </c>
      <c r="M1781" s="24" t="b">
        <f aca="false">TRUE()</f>
        <v>1</v>
      </c>
      <c r="N1781" s="11" t="s">
        <v>128</v>
      </c>
      <c r="O1781" s="11" t="str">
        <f aca="false">IF(K1781&lt;=StockP33,"Low",IF(K1781&lt;=StockP67,"Moderate","High"))</f>
        <v>High</v>
      </c>
      <c r="P1781" s="11" t="str">
        <f aca="false">IF(H1781=0,"Low",IF(H1781&lt;=MarkdownP75,"Moderate","High"))</f>
        <v>Low</v>
      </c>
      <c r="Q1781" s="11" t="str">
        <f aca="false">IF(ISBLANK(L1781),"Unknown",IF(L1781&gt;=4,"Good",IF(L1781&lt;=2,"Poor","Neutral")))</f>
        <v>Neutral</v>
      </c>
      <c r="R1781" s="11" t="str">
        <f aca="false">IF(AND(O1781="Low",P1781="Low",Q1781="Good"),"BUY / PRIORITIZE",IF(AND(O1781="High",P1781="High",OR(Q1781="Poor",M1781=TRUE())),"HOLD / REVIEW","MONITOR"))</f>
        <v>MONITOR</v>
      </c>
      <c r="S1781" s="11" t="n">
        <f aca="false">K1781+(ROW()/10000000)</f>
        <v>40.0001781</v>
      </c>
    </row>
    <row r="1782" customFormat="false" ht="15" hidden="false" customHeight="false" outlineLevel="0" collapsed="false">
      <c r="A1782" s="11" t="s">
        <v>2132</v>
      </c>
      <c r="B1782" s="11" t="s">
        <v>27</v>
      </c>
      <c r="C1782" s="11" t="s">
        <v>107</v>
      </c>
      <c r="D1782" s="11" t="s">
        <v>35</v>
      </c>
      <c r="E1782" s="11" t="s">
        <v>73</v>
      </c>
      <c r="F1782" s="11" t="s">
        <v>124</v>
      </c>
      <c r="G1782" s="21" t="n">
        <v>102.71</v>
      </c>
      <c r="H1782" s="19" t="n">
        <v>55.9</v>
      </c>
      <c r="I1782" s="21" t="n">
        <v>45.3</v>
      </c>
      <c r="J1782" s="22" t="s">
        <v>80</v>
      </c>
      <c r="K1782" s="11" t="n">
        <v>31</v>
      </c>
      <c r="L1782" s="23" t="n">
        <v>4.6</v>
      </c>
      <c r="M1782" s="24" t="b">
        <f aca="false">FALSE()</f>
        <v>0</v>
      </c>
      <c r="N1782" s="11"/>
      <c r="O1782" s="11" t="str">
        <f aca="false">IF(K1782&lt;=StockP33,"Low",IF(K1782&lt;=StockP67,"Moderate","High"))</f>
        <v>Moderate</v>
      </c>
      <c r="P1782" s="11" t="str">
        <f aca="false">IF(H1782=0,"Low",IF(H1782&lt;=MarkdownP75,"Moderate","High"))</f>
        <v>High</v>
      </c>
      <c r="Q1782" s="11" t="str">
        <f aca="false">IF(ISBLANK(L1782),"Unknown",IF(L1782&gt;=4,"Good",IF(L1782&lt;=2,"Poor","Neutral")))</f>
        <v>Good</v>
      </c>
      <c r="R1782" s="11" t="str">
        <f aca="false">IF(AND(O1782="Low",P1782="Low",Q1782="Good"),"BUY / PRIORITIZE",IF(AND(O1782="High",P1782="High",OR(Q1782="Poor",M1782=TRUE())),"HOLD / REVIEW","MONITOR"))</f>
        <v>MONITOR</v>
      </c>
      <c r="S1782" s="11" t="n">
        <f aca="false">K1782+(ROW()/10000000)</f>
        <v>31.0001782</v>
      </c>
    </row>
    <row r="1783" customFormat="false" ht="15" hidden="false" customHeight="false" outlineLevel="0" collapsed="false">
      <c r="A1783" s="11" t="s">
        <v>2133</v>
      </c>
      <c r="B1783" s="11" t="s">
        <v>29</v>
      </c>
      <c r="C1783" s="11" t="s">
        <v>116</v>
      </c>
      <c r="D1783" s="11" t="s">
        <v>35</v>
      </c>
      <c r="E1783" s="11" t="s">
        <v>78</v>
      </c>
      <c r="F1783" s="11" t="s">
        <v>111</v>
      </c>
      <c r="G1783" s="21" t="n">
        <v>117.82</v>
      </c>
      <c r="H1783" s="19" t="n">
        <v>0</v>
      </c>
      <c r="I1783" s="21" t="n">
        <v>117.82</v>
      </c>
      <c r="J1783" s="22" t="s">
        <v>80</v>
      </c>
      <c r="K1783" s="11" t="n">
        <v>7</v>
      </c>
      <c r="L1783" s="23" t="n">
        <v>4.9</v>
      </c>
      <c r="M1783" s="24" t="b">
        <f aca="false">FALSE()</f>
        <v>0</v>
      </c>
      <c r="N1783" s="11"/>
      <c r="O1783" s="11" t="str">
        <f aca="false">IF(K1783&lt;=StockP33,"Low",IF(K1783&lt;=StockP67,"Moderate","High"))</f>
        <v>Low</v>
      </c>
      <c r="P1783" s="11" t="str">
        <f aca="false">IF(H1783=0,"Low",IF(H1783&lt;=MarkdownP75,"Moderate","High"))</f>
        <v>Low</v>
      </c>
      <c r="Q1783" s="11" t="str">
        <f aca="false">IF(ISBLANK(L1783),"Unknown",IF(L1783&gt;=4,"Good",IF(L1783&lt;=2,"Poor","Neutral")))</f>
        <v>Good</v>
      </c>
      <c r="R1783" s="11" t="str">
        <f aca="false">IF(AND(O1783="Low",P1783="Low",Q1783="Good"),"BUY / PRIORITIZE",IF(AND(O1783="High",P1783="High",OR(Q1783="Poor",M1783=TRUE())),"HOLD / REVIEW","MONITOR"))</f>
        <v>BUY / PRIORITIZE</v>
      </c>
      <c r="S1783" s="11" t="n">
        <f aca="false">K1783+(ROW()/10000000)</f>
        <v>7.0001783</v>
      </c>
    </row>
    <row r="1784" customFormat="false" ht="15" hidden="false" customHeight="false" outlineLevel="0" collapsed="false">
      <c r="A1784" s="11" t="s">
        <v>2134</v>
      </c>
      <c r="B1784" s="11" t="s">
        <v>8</v>
      </c>
      <c r="C1784" s="11" t="s">
        <v>116</v>
      </c>
      <c r="D1784" s="11" t="s">
        <v>34</v>
      </c>
      <c r="E1784" s="11"/>
      <c r="F1784" s="11" t="s">
        <v>120</v>
      </c>
      <c r="G1784" s="21" t="n">
        <v>61.01</v>
      </c>
      <c r="H1784" s="19" t="n">
        <v>0</v>
      </c>
      <c r="I1784" s="21" t="n">
        <v>61.01</v>
      </c>
      <c r="J1784" s="22" t="s">
        <v>104</v>
      </c>
      <c r="K1784" s="11" t="n">
        <v>30</v>
      </c>
      <c r="L1784" s="23" t="n">
        <v>3.4</v>
      </c>
      <c r="M1784" s="24" t="b">
        <f aca="false">FALSE()</f>
        <v>0</v>
      </c>
      <c r="N1784" s="11"/>
      <c r="O1784" s="11" t="str">
        <f aca="false">IF(K1784&lt;=StockP33,"Low",IF(K1784&lt;=StockP67,"Moderate","High"))</f>
        <v>Moderate</v>
      </c>
      <c r="P1784" s="11" t="str">
        <f aca="false">IF(H1784=0,"Low",IF(H1784&lt;=MarkdownP75,"Moderate","High"))</f>
        <v>Low</v>
      </c>
      <c r="Q1784" s="11" t="str">
        <f aca="false">IF(ISBLANK(L1784),"Unknown",IF(L1784&gt;=4,"Good",IF(L1784&lt;=2,"Poor","Neutral")))</f>
        <v>Neutral</v>
      </c>
      <c r="R1784" s="11" t="str">
        <f aca="false">IF(AND(O1784="Low",P1784="Low",Q1784="Good"),"BUY / PRIORITIZE",IF(AND(O1784="High",P1784="High",OR(Q1784="Poor",M1784=TRUE())),"HOLD / REVIEW","MONITOR"))</f>
        <v>MONITOR</v>
      </c>
      <c r="S1784" s="11" t="n">
        <f aca="false">K1784+(ROW()/10000000)</f>
        <v>30.0001784</v>
      </c>
    </row>
    <row r="1785" customFormat="false" ht="15" hidden="false" customHeight="false" outlineLevel="0" collapsed="false">
      <c r="A1785" s="11" t="s">
        <v>2135</v>
      </c>
      <c r="B1785" s="11" t="s">
        <v>28</v>
      </c>
      <c r="C1785" s="11" t="s">
        <v>130</v>
      </c>
      <c r="D1785" s="11" t="s">
        <v>37</v>
      </c>
      <c r="E1785" s="11" t="s">
        <v>73</v>
      </c>
      <c r="F1785" s="11" t="s">
        <v>79</v>
      </c>
      <c r="G1785" s="21" t="n">
        <v>222.01</v>
      </c>
      <c r="H1785" s="19" t="n">
        <v>0</v>
      </c>
      <c r="I1785" s="21" t="n">
        <v>222.01</v>
      </c>
      <c r="J1785" s="22" t="s">
        <v>80</v>
      </c>
      <c r="K1785" s="11" t="n">
        <v>27</v>
      </c>
      <c r="L1785" s="23" t="n">
        <v>2.1</v>
      </c>
      <c r="M1785" s="24" t="b">
        <f aca="false">FALSE()</f>
        <v>0</v>
      </c>
      <c r="N1785" s="11"/>
      <c r="O1785" s="11" t="str">
        <f aca="false">IF(K1785&lt;=StockP33,"Low",IF(K1785&lt;=StockP67,"Moderate","High"))</f>
        <v>Moderate</v>
      </c>
      <c r="P1785" s="11" t="str">
        <f aca="false">IF(H1785=0,"Low",IF(H1785&lt;=MarkdownP75,"Moderate","High"))</f>
        <v>Low</v>
      </c>
      <c r="Q1785" s="11" t="str">
        <f aca="false">IF(ISBLANK(L1785),"Unknown",IF(L1785&gt;=4,"Good",IF(L1785&lt;=2,"Poor","Neutral")))</f>
        <v>Neutral</v>
      </c>
      <c r="R1785" s="11" t="str">
        <f aca="false">IF(AND(O1785="Low",P1785="Low",Q1785="Good"),"BUY / PRIORITIZE",IF(AND(O1785="High",P1785="High",OR(Q1785="Poor",M1785=TRUE())),"HOLD / REVIEW","MONITOR"))</f>
        <v>MONITOR</v>
      </c>
      <c r="S1785" s="11" t="n">
        <f aca="false">K1785+(ROW()/10000000)</f>
        <v>27.0001785</v>
      </c>
    </row>
    <row r="1786" customFormat="false" ht="15" hidden="false" customHeight="false" outlineLevel="0" collapsed="false">
      <c r="A1786" s="11" t="s">
        <v>2136</v>
      </c>
      <c r="B1786" s="11" t="s">
        <v>28</v>
      </c>
      <c r="C1786" s="11" t="s">
        <v>101</v>
      </c>
      <c r="D1786" s="11" t="s">
        <v>35</v>
      </c>
      <c r="E1786" s="11" t="s">
        <v>78</v>
      </c>
      <c r="F1786" s="11" t="s">
        <v>124</v>
      </c>
      <c r="G1786" s="21" t="n">
        <v>123.55</v>
      </c>
      <c r="H1786" s="19" t="n">
        <v>0</v>
      </c>
      <c r="I1786" s="21" t="n">
        <v>123.55</v>
      </c>
      <c r="J1786" s="22" t="s">
        <v>80</v>
      </c>
      <c r="K1786" s="11" t="n">
        <v>28</v>
      </c>
      <c r="L1786" s="23" t="n">
        <v>1.2</v>
      </c>
      <c r="M1786" s="24" t="b">
        <f aca="false">FALSE()</f>
        <v>0</v>
      </c>
      <c r="N1786" s="11"/>
      <c r="O1786" s="11" t="str">
        <f aca="false">IF(K1786&lt;=StockP33,"Low",IF(K1786&lt;=StockP67,"Moderate","High"))</f>
        <v>Moderate</v>
      </c>
      <c r="P1786" s="11" t="str">
        <f aca="false">IF(H1786=0,"Low",IF(H1786&lt;=MarkdownP75,"Moderate","High"))</f>
        <v>Low</v>
      </c>
      <c r="Q1786" s="11" t="str">
        <f aca="false">IF(ISBLANK(L1786),"Unknown",IF(L1786&gt;=4,"Good",IF(L1786&lt;=2,"Poor","Neutral")))</f>
        <v>Poor</v>
      </c>
      <c r="R1786" s="11" t="str">
        <f aca="false">IF(AND(O1786="Low",P1786="Low",Q1786="Good"),"BUY / PRIORITIZE",IF(AND(O1786="High",P1786="High",OR(Q1786="Poor",M1786=TRUE())),"HOLD / REVIEW","MONITOR"))</f>
        <v>MONITOR</v>
      </c>
      <c r="S1786" s="11" t="n">
        <f aca="false">K1786+(ROW()/10000000)</f>
        <v>28.0001786</v>
      </c>
    </row>
    <row r="1787" customFormat="false" ht="15" hidden="false" customHeight="false" outlineLevel="0" collapsed="false">
      <c r="A1787" s="11" t="s">
        <v>2137</v>
      </c>
      <c r="B1787" s="11" t="s">
        <v>8</v>
      </c>
      <c r="C1787" s="11" t="s">
        <v>72</v>
      </c>
      <c r="D1787" s="11" t="s">
        <v>36</v>
      </c>
      <c r="E1787" s="11"/>
      <c r="F1787" s="11" t="s">
        <v>82</v>
      </c>
      <c r="G1787" s="21" t="n">
        <v>24.65</v>
      </c>
      <c r="H1787" s="19" t="n">
        <v>0</v>
      </c>
      <c r="I1787" s="21" t="n">
        <v>24.65</v>
      </c>
      <c r="J1787" s="22" t="s">
        <v>80</v>
      </c>
      <c r="K1787" s="11" t="n">
        <v>43</v>
      </c>
      <c r="L1787" s="23" t="n">
        <v>1.1</v>
      </c>
      <c r="M1787" s="24" t="b">
        <f aca="false">FALSE()</f>
        <v>0</v>
      </c>
      <c r="N1787" s="11"/>
      <c r="O1787" s="11" t="str">
        <f aca="false">IF(K1787&lt;=StockP33,"Low",IF(K1787&lt;=StockP67,"Moderate","High"))</f>
        <v>High</v>
      </c>
      <c r="P1787" s="11" t="str">
        <f aca="false">IF(H1787=0,"Low",IF(H1787&lt;=MarkdownP75,"Moderate","High"))</f>
        <v>Low</v>
      </c>
      <c r="Q1787" s="11" t="str">
        <f aca="false">IF(ISBLANK(L1787),"Unknown",IF(L1787&gt;=4,"Good",IF(L1787&lt;=2,"Poor","Neutral")))</f>
        <v>Poor</v>
      </c>
      <c r="R1787" s="11" t="str">
        <f aca="false">IF(AND(O1787="Low",P1787="Low",Q1787="Good"),"BUY / PRIORITIZE",IF(AND(O1787="High",P1787="High",OR(Q1787="Poor",M1787=TRUE())),"HOLD / REVIEW","MONITOR"))</f>
        <v>MONITOR</v>
      </c>
      <c r="S1787" s="11" t="n">
        <f aca="false">K1787+(ROW()/10000000)</f>
        <v>43.0001787</v>
      </c>
    </row>
    <row r="1788" customFormat="false" ht="15" hidden="false" customHeight="false" outlineLevel="0" collapsed="false">
      <c r="A1788" s="11" t="s">
        <v>2138</v>
      </c>
      <c r="B1788" s="11" t="s">
        <v>28</v>
      </c>
      <c r="C1788" s="11" t="s">
        <v>86</v>
      </c>
      <c r="D1788" s="11" t="s">
        <v>36</v>
      </c>
      <c r="E1788" s="11" t="s">
        <v>102</v>
      </c>
      <c r="F1788" s="11" t="s">
        <v>118</v>
      </c>
      <c r="G1788" s="21" t="n">
        <v>168.8</v>
      </c>
      <c r="H1788" s="19" t="n">
        <v>0</v>
      </c>
      <c r="I1788" s="21" t="n">
        <v>168.8</v>
      </c>
      <c r="J1788" s="22" t="s">
        <v>80</v>
      </c>
      <c r="K1788" s="11" t="n">
        <v>1</v>
      </c>
      <c r="L1788" s="23" t="n">
        <v>1</v>
      </c>
      <c r="M1788" s="24" t="b">
        <f aca="false">FALSE()</f>
        <v>0</v>
      </c>
      <c r="N1788" s="11"/>
      <c r="O1788" s="11" t="str">
        <f aca="false">IF(K1788&lt;=StockP33,"Low",IF(K1788&lt;=StockP67,"Moderate","High"))</f>
        <v>Low</v>
      </c>
      <c r="P1788" s="11" t="str">
        <f aca="false">IF(H1788=0,"Low",IF(H1788&lt;=MarkdownP75,"Moderate","High"))</f>
        <v>Low</v>
      </c>
      <c r="Q1788" s="11" t="str">
        <f aca="false">IF(ISBLANK(L1788),"Unknown",IF(L1788&gt;=4,"Good",IF(L1788&lt;=2,"Poor","Neutral")))</f>
        <v>Poor</v>
      </c>
      <c r="R1788" s="11" t="str">
        <f aca="false">IF(AND(O1788="Low",P1788="Low",Q1788="Good"),"BUY / PRIORITIZE",IF(AND(O1788="High",P1788="High",OR(Q1788="Poor",M1788=TRUE())),"HOLD / REVIEW","MONITOR"))</f>
        <v>MONITOR</v>
      </c>
      <c r="S1788" s="11" t="n">
        <f aca="false">K1788+(ROW()/10000000)</f>
        <v>1.0001788</v>
      </c>
    </row>
    <row r="1789" customFormat="false" ht="15" hidden="false" customHeight="false" outlineLevel="0" collapsed="false">
      <c r="A1789" s="11" t="s">
        <v>2139</v>
      </c>
      <c r="B1789" s="11" t="s">
        <v>30</v>
      </c>
      <c r="C1789" s="11" t="s">
        <v>116</v>
      </c>
      <c r="D1789" s="11" t="s">
        <v>36</v>
      </c>
      <c r="E1789" s="11" t="s">
        <v>91</v>
      </c>
      <c r="F1789" s="11" t="s">
        <v>98</v>
      </c>
      <c r="G1789" s="21" t="n">
        <v>39.16</v>
      </c>
      <c r="H1789" s="19" t="n">
        <v>40.1</v>
      </c>
      <c r="I1789" s="21" t="n">
        <v>23.46</v>
      </c>
      <c r="J1789" s="22" t="s">
        <v>80</v>
      </c>
      <c r="K1789" s="11" t="n">
        <v>4</v>
      </c>
      <c r="L1789" s="23" t="n">
        <v>2.8</v>
      </c>
      <c r="M1789" s="24" t="b">
        <f aca="false">FALSE()</f>
        <v>0</v>
      </c>
      <c r="N1789" s="11"/>
      <c r="O1789" s="11" t="str">
        <f aca="false">IF(K1789&lt;=StockP33,"Low",IF(K1789&lt;=StockP67,"Moderate","High"))</f>
        <v>Low</v>
      </c>
      <c r="P1789" s="11" t="str">
        <f aca="false">IF(H1789=0,"Low",IF(H1789&lt;=MarkdownP75,"Moderate","High"))</f>
        <v>High</v>
      </c>
      <c r="Q1789" s="11" t="str">
        <f aca="false">IF(ISBLANK(L1789),"Unknown",IF(L1789&gt;=4,"Good",IF(L1789&lt;=2,"Poor","Neutral")))</f>
        <v>Neutral</v>
      </c>
      <c r="R1789" s="11" t="str">
        <f aca="false">IF(AND(O1789="Low",P1789="Low",Q1789="Good"),"BUY / PRIORITIZE",IF(AND(O1789="High",P1789="High",OR(Q1789="Poor",M1789=TRUE())),"HOLD / REVIEW","MONITOR"))</f>
        <v>MONITOR</v>
      </c>
      <c r="S1789" s="11" t="n">
        <f aca="false">K1789+(ROW()/10000000)</f>
        <v>4.0001789</v>
      </c>
    </row>
    <row r="1790" customFormat="false" ht="15" hidden="false" customHeight="false" outlineLevel="0" collapsed="false">
      <c r="A1790" s="11" t="s">
        <v>2140</v>
      </c>
      <c r="B1790" s="11" t="s">
        <v>26</v>
      </c>
      <c r="C1790" s="11" t="s">
        <v>101</v>
      </c>
      <c r="D1790" s="11" t="s">
        <v>36</v>
      </c>
      <c r="E1790" s="11"/>
      <c r="F1790" s="11" t="s">
        <v>124</v>
      </c>
      <c r="G1790" s="21" t="n">
        <v>74.76</v>
      </c>
      <c r="H1790" s="19" t="n">
        <v>0</v>
      </c>
      <c r="I1790" s="21" t="n">
        <v>74.76</v>
      </c>
      <c r="J1790" s="22" t="s">
        <v>80</v>
      </c>
      <c r="K1790" s="11" t="n">
        <v>50</v>
      </c>
      <c r="L1790" s="23" t="n">
        <v>4.4</v>
      </c>
      <c r="M1790" s="24" t="b">
        <f aca="false">TRUE()</f>
        <v>1</v>
      </c>
      <c r="N1790" s="11" t="s">
        <v>89</v>
      </c>
      <c r="O1790" s="11" t="str">
        <f aca="false">IF(K1790&lt;=StockP33,"Low",IF(K1790&lt;=StockP67,"Moderate","High"))</f>
        <v>High</v>
      </c>
      <c r="P1790" s="11" t="str">
        <f aca="false">IF(H1790=0,"Low",IF(H1790&lt;=MarkdownP75,"Moderate","High"))</f>
        <v>Low</v>
      </c>
      <c r="Q1790" s="11" t="str">
        <f aca="false">IF(ISBLANK(L1790),"Unknown",IF(L1790&gt;=4,"Good",IF(L1790&lt;=2,"Poor","Neutral")))</f>
        <v>Good</v>
      </c>
      <c r="R1790" s="11" t="str">
        <f aca="false">IF(AND(O1790="Low",P1790="Low",Q1790="Good"),"BUY / PRIORITIZE",IF(AND(O1790="High",P1790="High",OR(Q1790="Poor",M1790=TRUE())),"HOLD / REVIEW","MONITOR"))</f>
        <v>MONITOR</v>
      </c>
      <c r="S1790" s="11" t="n">
        <f aca="false">K1790+(ROW()/10000000)</f>
        <v>50.000179</v>
      </c>
    </row>
    <row r="1791" customFormat="false" ht="15" hidden="false" customHeight="false" outlineLevel="0" collapsed="false">
      <c r="A1791" s="11" t="s">
        <v>2141</v>
      </c>
      <c r="B1791" s="11" t="s">
        <v>8</v>
      </c>
      <c r="C1791" s="11" t="s">
        <v>116</v>
      </c>
      <c r="D1791" s="11" t="s">
        <v>37</v>
      </c>
      <c r="E1791" s="11"/>
      <c r="F1791" s="11" t="s">
        <v>118</v>
      </c>
      <c r="G1791" s="21" t="n">
        <v>37</v>
      </c>
      <c r="H1791" s="19" t="n">
        <v>0</v>
      </c>
      <c r="I1791" s="21" t="n">
        <v>37</v>
      </c>
      <c r="J1791" s="22" t="s">
        <v>80</v>
      </c>
      <c r="K1791" s="11" t="n">
        <v>5</v>
      </c>
      <c r="L1791" s="23" t="n">
        <v>4.9</v>
      </c>
      <c r="M1791" s="24" t="b">
        <f aca="false">FALSE()</f>
        <v>0</v>
      </c>
      <c r="N1791" s="11"/>
      <c r="O1791" s="11" t="str">
        <f aca="false">IF(K1791&lt;=StockP33,"Low",IF(K1791&lt;=StockP67,"Moderate","High"))</f>
        <v>Low</v>
      </c>
      <c r="P1791" s="11" t="str">
        <f aca="false">IF(H1791=0,"Low",IF(H1791&lt;=MarkdownP75,"Moderate","High"))</f>
        <v>Low</v>
      </c>
      <c r="Q1791" s="11" t="str">
        <f aca="false">IF(ISBLANK(L1791),"Unknown",IF(L1791&gt;=4,"Good",IF(L1791&lt;=2,"Poor","Neutral")))</f>
        <v>Good</v>
      </c>
      <c r="R1791" s="11" t="str">
        <f aca="false">IF(AND(O1791="Low",P1791="Low",Q1791="Good"),"BUY / PRIORITIZE",IF(AND(O1791="High",P1791="High",OR(Q1791="Poor",M1791=TRUE())),"HOLD / REVIEW","MONITOR"))</f>
        <v>BUY / PRIORITIZE</v>
      </c>
      <c r="S1791" s="11" t="n">
        <f aca="false">K1791+(ROW()/10000000)</f>
        <v>5.0001791</v>
      </c>
    </row>
    <row r="1792" customFormat="false" ht="15" hidden="false" customHeight="false" outlineLevel="0" collapsed="false">
      <c r="A1792" s="11" t="s">
        <v>2142</v>
      </c>
      <c r="B1792" s="11" t="s">
        <v>8</v>
      </c>
      <c r="C1792" s="11" t="s">
        <v>95</v>
      </c>
      <c r="D1792" s="11" t="s">
        <v>37</v>
      </c>
      <c r="E1792" s="11"/>
      <c r="F1792" s="11" t="s">
        <v>82</v>
      </c>
      <c r="G1792" s="21" t="n">
        <v>67.38</v>
      </c>
      <c r="H1792" s="19" t="n">
        <v>0</v>
      </c>
      <c r="I1792" s="21" t="n">
        <v>67.38</v>
      </c>
      <c r="J1792" s="22" t="s">
        <v>80</v>
      </c>
      <c r="K1792" s="11" t="n">
        <v>15</v>
      </c>
      <c r="L1792" s="23" t="n">
        <v>1.6</v>
      </c>
      <c r="M1792" s="24" t="b">
        <f aca="false">FALSE()</f>
        <v>0</v>
      </c>
      <c r="N1792" s="11"/>
      <c r="O1792" s="11" t="str">
        <f aca="false">IF(K1792&lt;=StockP33,"Low",IF(K1792&lt;=StockP67,"Moderate","High"))</f>
        <v>Low</v>
      </c>
      <c r="P1792" s="11" t="str">
        <f aca="false">IF(H1792=0,"Low",IF(H1792&lt;=MarkdownP75,"Moderate","High"))</f>
        <v>Low</v>
      </c>
      <c r="Q1792" s="11" t="str">
        <f aca="false">IF(ISBLANK(L1792),"Unknown",IF(L1792&gt;=4,"Good",IF(L1792&lt;=2,"Poor","Neutral")))</f>
        <v>Poor</v>
      </c>
      <c r="R1792" s="11" t="str">
        <f aca="false">IF(AND(O1792="Low",P1792="Low",Q1792="Good"),"BUY / PRIORITIZE",IF(AND(O1792="High",P1792="High",OR(Q1792="Poor",M1792=TRUE())),"HOLD / REVIEW","MONITOR"))</f>
        <v>MONITOR</v>
      </c>
      <c r="S1792" s="11" t="n">
        <f aca="false">K1792+(ROW()/10000000)</f>
        <v>15.0001792</v>
      </c>
    </row>
    <row r="1793" customFormat="false" ht="15" hidden="false" customHeight="false" outlineLevel="0" collapsed="false">
      <c r="A1793" s="11" t="s">
        <v>2143</v>
      </c>
      <c r="B1793" s="11" t="s">
        <v>26</v>
      </c>
      <c r="C1793" s="11" t="s">
        <v>101</v>
      </c>
      <c r="D1793" s="11" t="s">
        <v>35</v>
      </c>
      <c r="E1793" s="11" t="s">
        <v>110</v>
      </c>
      <c r="F1793" s="11" t="s">
        <v>88</v>
      </c>
      <c r="G1793" s="21" t="n">
        <v>77.44</v>
      </c>
      <c r="H1793" s="19" t="n">
        <v>1.4</v>
      </c>
      <c r="I1793" s="21" t="n">
        <v>76.36</v>
      </c>
      <c r="J1793" s="22" t="s">
        <v>80</v>
      </c>
      <c r="K1793" s="11" t="n">
        <v>18</v>
      </c>
      <c r="L1793" s="23" t="n">
        <v>3.3</v>
      </c>
      <c r="M1793" s="24" t="b">
        <f aca="false">FALSE()</f>
        <v>0</v>
      </c>
      <c r="N1793" s="11"/>
      <c r="O1793" s="11" t="str">
        <f aca="false">IF(K1793&lt;=StockP33,"Low",IF(K1793&lt;=StockP67,"Moderate","High"))</f>
        <v>Moderate</v>
      </c>
      <c r="P1793" s="11" t="str">
        <f aca="false">IF(H1793=0,"Low",IF(H1793&lt;=MarkdownP75,"Moderate","High"))</f>
        <v>Moderate</v>
      </c>
      <c r="Q1793" s="11" t="str">
        <f aca="false">IF(ISBLANK(L1793),"Unknown",IF(L1793&gt;=4,"Good",IF(L1793&lt;=2,"Poor","Neutral")))</f>
        <v>Neutral</v>
      </c>
      <c r="R1793" s="11" t="str">
        <f aca="false">IF(AND(O1793="Low",P1793="Low",Q1793="Good"),"BUY / PRIORITIZE",IF(AND(O1793="High",P1793="High",OR(Q1793="Poor",M1793=TRUE())),"HOLD / REVIEW","MONITOR"))</f>
        <v>MONITOR</v>
      </c>
      <c r="S1793" s="11" t="n">
        <f aca="false">K1793+(ROW()/10000000)</f>
        <v>18.0001793</v>
      </c>
    </row>
    <row r="1794" customFormat="false" ht="15" hidden="false" customHeight="false" outlineLevel="0" collapsed="false">
      <c r="A1794" s="11" t="s">
        <v>2144</v>
      </c>
      <c r="B1794" s="11" t="s">
        <v>28</v>
      </c>
      <c r="C1794" s="11" t="s">
        <v>101</v>
      </c>
      <c r="D1794" s="11" t="s">
        <v>35</v>
      </c>
      <c r="E1794" s="11" t="s">
        <v>110</v>
      </c>
      <c r="F1794" s="11" t="s">
        <v>92</v>
      </c>
      <c r="G1794" s="21" t="n">
        <v>215.06</v>
      </c>
      <c r="H1794" s="19" t="n">
        <v>0</v>
      </c>
      <c r="I1794" s="21" t="n">
        <v>215.06</v>
      </c>
      <c r="J1794" s="22" t="s">
        <v>80</v>
      </c>
      <c r="K1794" s="11" t="n">
        <v>50</v>
      </c>
      <c r="L1794" s="23" t="n">
        <v>1.6</v>
      </c>
      <c r="M1794" s="24" t="b">
        <f aca="false">FALSE()</f>
        <v>0</v>
      </c>
      <c r="N1794" s="11"/>
      <c r="O1794" s="11" t="str">
        <f aca="false">IF(K1794&lt;=StockP33,"Low",IF(K1794&lt;=StockP67,"Moderate","High"))</f>
        <v>High</v>
      </c>
      <c r="P1794" s="11" t="str">
        <f aca="false">IF(H1794=0,"Low",IF(H1794&lt;=MarkdownP75,"Moderate","High"))</f>
        <v>Low</v>
      </c>
      <c r="Q1794" s="11" t="str">
        <f aca="false">IF(ISBLANK(L1794),"Unknown",IF(L1794&gt;=4,"Good",IF(L1794&lt;=2,"Poor","Neutral")))</f>
        <v>Poor</v>
      </c>
      <c r="R1794" s="11" t="str">
        <f aca="false">IF(AND(O1794="Low",P1794="Low",Q1794="Good"),"BUY / PRIORITIZE",IF(AND(O1794="High",P1794="High",OR(Q1794="Poor",M1794=TRUE())),"HOLD / REVIEW","MONITOR"))</f>
        <v>MONITOR</v>
      </c>
      <c r="S1794" s="11" t="n">
        <f aca="false">K1794+(ROW()/10000000)</f>
        <v>50.0001794</v>
      </c>
    </row>
    <row r="1795" customFormat="false" ht="15" hidden="false" customHeight="false" outlineLevel="0" collapsed="false">
      <c r="A1795" s="11" t="s">
        <v>2145</v>
      </c>
      <c r="B1795" s="11" t="s">
        <v>28</v>
      </c>
      <c r="C1795" s="11" t="s">
        <v>86</v>
      </c>
      <c r="D1795" s="11" t="s">
        <v>37</v>
      </c>
      <c r="E1795" s="11" t="s">
        <v>110</v>
      </c>
      <c r="F1795" s="11" t="s">
        <v>92</v>
      </c>
      <c r="G1795" s="21" t="n">
        <v>141.44</v>
      </c>
      <c r="H1795" s="19" t="n">
        <v>0</v>
      </c>
      <c r="I1795" s="21" t="n">
        <v>141.44</v>
      </c>
      <c r="J1795" s="22" t="s">
        <v>80</v>
      </c>
      <c r="K1795" s="11" t="n">
        <v>34</v>
      </c>
      <c r="L1795" s="23" t="n">
        <v>2.4</v>
      </c>
      <c r="M1795" s="24" t="b">
        <f aca="false">FALSE()</f>
        <v>0</v>
      </c>
      <c r="N1795" s="11"/>
      <c r="O1795" s="11" t="str">
        <f aca="false">IF(K1795&lt;=StockP33,"Low",IF(K1795&lt;=StockP67,"Moderate","High"))</f>
        <v>High</v>
      </c>
      <c r="P1795" s="11" t="str">
        <f aca="false">IF(H1795=0,"Low",IF(H1795&lt;=MarkdownP75,"Moderate","High"))</f>
        <v>Low</v>
      </c>
      <c r="Q1795" s="11" t="str">
        <f aca="false">IF(ISBLANK(L1795),"Unknown",IF(L1795&gt;=4,"Good",IF(L1795&lt;=2,"Poor","Neutral")))</f>
        <v>Neutral</v>
      </c>
      <c r="R1795" s="11" t="str">
        <f aca="false">IF(AND(O1795="Low",P1795="Low",Q1795="Good"),"BUY / PRIORITIZE",IF(AND(O1795="High",P1795="High",OR(Q1795="Poor",M1795=TRUE())),"HOLD / REVIEW","MONITOR"))</f>
        <v>MONITOR</v>
      </c>
      <c r="S1795" s="11" t="n">
        <f aca="false">K1795+(ROW()/10000000)</f>
        <v>34.0001795</v>
      </c>
    </row>
    <row r="1796" customFormat="false" ht="15" hidden="false" customHeight="false" outlineLevel="0" collapsed="false">
      <c r="A1796" s="11" t="s">
        <v>2146</v>
      </c>
      <c r="B1796" s="11" t="s">
        <v>27</v>
      </c>
      <c r="C1796" s="11" t="s">
        <v>107</v>
      </c>
      <c r="D1796" s="11" t="s">
        <v>34</v>
      </c>
      <c r="E1796" s="11" t="s">
        <v>102</v>
      </c>
      <c r="F1796" s="11" t="s">
        <v>88</v>
      </c>
      <c r="G1796" s="21" t="n">
        <v>151.83</v>
      </c>
      <c r="H1796" s="19" t="n">
        <v>0</v>
      </c>
      <c r="I1796" s="21" t="n">
        <v>151.83</v>
      </c>
      <c r="J1796" s="22" t="s">
        <v>235</v>
      </c>
      <c r="K1796" s="11" t="n">
        <v>24</v>
      </c>
      <c r="L1796" s="23" t="n">
        <v>4.3</v>
      </c>
      <c r="M1796" s="24" t="b">
        <f aca="false">TRUE()</f>
        <v>1</v>
      </c>
      <c r="N1796" s="11" t="s">
        <v>191</v>
      </c>
      <c r="O1796" s="11" t="str">
        <f aca="false">IF(K1796&lt;=StockP33,"Low",IF(K1796&lt;=StockP67,"Moderate","High"))</f>
        <v>Moderate</v>
      </c>
      <c r="P1796" s="11" t="str">
        <f aca="false">IF(H1796=0,"Low",IF(H1796&lt;=MarkdownP75,"Moderate","High"))</f>
        <v>Low</v>
      </c>
      <c r="Q1796" s="11" t="str">
        <f aca="false">IF(ISBLANK(L1796),"Unknown",IF(L1796&gt;=4,"Good",IF(L1796&lt;=2,"Poor","Neutral")))</f>
        <v>Good</v>
      </c>
      <c r="R1796" s="11" t="str">
        <f aca="false">IF(AND(O1796="Low",P1796="Low",Q1796="Good"),"BUY / PRIORITIZE",IF(AND(O1796="High",P1796="High",OR(Q1796="Poor",M1796=TRUE())),"HOLD / REVIEW","MONITOR"))</f>
        <v>MONITOR</v>
      </c>
      <c r="S1796" s="11" t="n">
        <f aca="false">K1796+(ROW()/10000000)</f>
        <v>24.0001796</v>
      </c>
    </row>
    <row r="1797" customFormat="false" ht="15" hidden="false" customHeight="false" outlineLevel="0" collapsed="false">
      <c r="A1797" s="11" t="s">
        <v>2147</v>
      </c>
      <c r="B1797" s="11" t="s">
        <v>28</v>
      </c>
      <c r="C1797" s="11" t="s">
        <v>116</v>
      </c>
      <c r="D1797" s="11" t="s">
        <v>37</v>
      </c>
      <c r="E1797" s="11" t="s">
        <v>73</v>
      </c>
      <c r="F1797" s="11" t="s">
        <v>92</v>
      </c>
      <c r="G1797" s="21" t="n">
        <v>140.07</v>
      </c>
      <c r="H1797" s="19" t="n">
        <v>0</v>
      </c>
      <c r="I1797" s="21" t="n">
        <v>140.07</v>
      </c>
      <c r="J1797" s="22" t="s">
        <v>80</v>
      </c>
      <c r="K1797" s="11" t="n">
        <v>23</v>
      </c>
      <c r="L1797" s="23" t="n">
        <v>2.7</v>
      </c>
      <c r="M1797" s="24" t="b">
        <f aca="false">FALSE()</f>
        <v>0</v>
      </c>
      <c r="N1797" s="11"/>
      <c r="O1797" s="11" t="str">
        <f aca="false">IF(K1797&lt;=StockP33,"Low",IF(K1797&lt;=StockP67,"Moderate","High"))</f>
        <v>Moderate</v>
      </c>
      <c r="P1797" s="11" t="str">
        <f aca="false">IF(H1797=0,"Low",IF(H1797&lt;=MarkdownP75,"Moderate","High"))</f>
        <v>Low</v>
      </c>
      <c r="Q1797" s="11" t="str">
        <f aca="false">IF(ISBLANK(L1797),"Unknown",IF(L1797&gt;=4,"Good",IF(L1797&lt;=2,"Poor","Neutral")))</f>
        <v>Neutral</v>
      </c>
      <c r="R1797" s="11" t="str">
        <f aca="false">IF(AND(O1797="Low",P1797="Low",Q1797="Good"),"BUY / PRIORITIZE",IF(AND(O1797="High",P1797="High",OR(Q1797="Poor",M1797=TRUE())),"HOLD / REVIEW","MONITOR"))</f>
        <v>MONITOR</v>
      </c>
      <c r="S1797" s="11" t="n">
        <f aca="false">K1797+(ROW()/10000000)</f>
        <v>23.0001797</v>
      </c>
    </row>
    <row r="1798" customFormat="false" ht="15" hidden="false" customHeight="false" outlineLevel="0" collapsed="false">
      <c r="A1798" s="11" t="s">
        <v>2148</v>
      </c>
      <c r="B1798" s="11" t="s">
        <v>27</v>
      </c>
      <c r="C1798" s="11" t="s">
        <v>95</v>
      </c>
      <c r="D1798" s="11" t="s">
        <v>35</v>
      </c>
      <c r="E1798" s="11" t="s">
        <v>102</v>
      </c>
      <c r="F1798" s="11" t="s">
        <v>79</v>
      </c>
      <c r="G1798" s="21" t="n">
        <v>94.26</v>
      </c>
      <c r="H1798" s="19" t="n">
        <v>28.9</v>
      </c>
      <c r="I1798" s="21" t="n">
        <v>67.02</v>
      </c>
      <c r="J1798" s="22" t="s">
        <v>80</v>
      </c>
      <c r="K1798" s="11" t="n">
        <v>44</v>
      </c>
      <c r="L1798" s="23" t="n">
        <v>3.6</v>
      </c>
      <c r="M1798" s="24" t="b">
        <f aca="false">FALSE()</f>
        <v>0</v>
      </c>
      <c r="N1798" s="11"/>
      <c r="O1798" s="11" t="str">
        <f aca="false">IF(K1798&lt;=StockP33,"Low",IF(K1798&lt;=StockP67,"Moderate","High"))</f>
        <v>High</v>
      </c>
      <c r="P1798" s="11" t="str">
        <f aca="false">IF(H1798=0,"Low",IF(H1798&lt;=MarkdownP75,"Moderate","High"))</f>
        <v>High</v>
      </c>
      <c r="Q1798" s="11" t="str">
        <f aca="false">IF(ISBLANK(L1798),"Unknown",IF(L1798&gt;=4,"Good",IF(L1798&lt;=2,"Poor","Neutral")))</f>
        <v>Neutral</v>
      </c>
      <c r="R1798" s="11" t="str">
        <f aca="false">IF(AND(O1798="Low",P1798="Low",Q1798="Good"),"BUY / PRIORITIZE",IF(AND(O1798="High",P1798="High",OR(Q1798="Poor",M1798=TRUE())),"HOLD / REVIEW","MONITOR"))</f>
        <v>MONITOR</v>
      </c>
      <c r="S1798" s="11" t="n">
        <f aca="false">K1798+(ROW()/10000000)</f>
        <v>44.0001798</v>
      </c>
    </row>
    <row r="1799" customFormat="false" ht="15" hidden="false" customHeight="false" outlineLevel="0" collapsed="false">
      <c r="A1799" s="11" t="s">
        <v>2149</v>
      </c>
      <c r="B1799" s="11" t="s">
        <v>8</v>
      </c>
      <c r="C1799" s="11" t="s">
        <v>107</v>
      </c>
      <c r="D1799" s="11" t="s">
        <v>37</v>
      </c>
      <c r="E1799" s="11"/>
      <c r="F1799" s="11" t="s">
        <v>98</v>
      </c>
      <c r="G1799" s="21" t="n">
        <v>55.79</v>
      </c>
      <c r="H1799" s="19" t="n">
        <v>27.3</v>
      </c>
      <c r="I1799" s="21" t="n">
        <v>40.56</v>
      </c>
      <c r="J1799" s="22" t="s">
        <v>80</v>
      </c>
      <c r="K1799" s="11" t="n">
        <v>39</v>
      </c>
      <c r="L1799" s="23" t="n">
        <v>4.9</v>
      </c>
      <c r="M1799" s="24" t="b">
        <f aca="false">FALSE()</f>
        <v>0</v>
      </c>
      <c r="N1799" s="11"/>
      <c r="O1799" s="11" t="str">
        <f aca="false">IF(K1799&lt;=StockP33,"Low",IF(K1799&lt;=StockP67,"Moderate","High"))</f>
        <v>High</v>
      </c>
      <c r="P1799" s="11" t="str">
        <f aca="false">IF(H1799=0,"Low",IF(H1799&lt;=MarkdownP75,"Moderate","High"))</f>
        <v>High</v>
      </c>
      <c r="Q1799" s="11" t="str">
        <f aca="false">IF(ISBLANK(L1799),"Unknown",IF(L1799&gt;=4,"Good",IF(L1799&lt;=2,"Poor","Neutral")))</f>
        <v>Good</v>
      </c>
      <c r="R1799" s="11" t="str">
        <f aca="false">IF(AND(O1799="Low",P1799="Low",Q1799="Good"),"BUY / PRIORITIZE",IF(AND(O1799="High",P1799="High",OR(Q1799="Poor",M1799=TRUE())),"HOLD / REVIEW","MONITOR"))</f>
        <v>MONITOR</v>
      </c>
      <c r="S1799" s="11" t="n">
        <f aca="false">K1799+(ROW()/10000000)</f>
        <v>39.0001799</v>
      </c>
    </row>
    <row r="1800" customFormat="false" ht="15" hidden="false" customHeight="false" outlineLevel="0" collapsed="false">
      <c r="A1800" s="11" t="s">
        <v>2150</v>
      </c>
      <c r="B1800" s="11" t="s">
        <v>8</v>
      </c>
      <c r="C1800" s="11" t="s">
        <v>116</v>
      </c>
      <c r="D1800" s="11" t="s">
        <v>37</v>
      </c>
      <c r="E1800" s="11"/>
      <c r="F1800" s="11" t="s">
        <v>82</v>
      </c>
      <c r="G1800" s="21" t="n">
        <v>58.99</v>
      </c>
      <c r="H1800" s="19" t="n">
        <v>0</v>
      </c>
      <c r="I1800" s="21" t="n">
        <v>58.99</v>
      </c>
      <c r="J1800" s="22" t="s">
        <v>80</v>
      </c>
      <c r="K1800" s="11" t="n">
        <v>50</v>
      </c>
      <c r="L1800" s="23" t="n">
        <v>2.7</v>
      </c>
      <c r="M1800" s="24" t="b">
        <f aca="false">FALSE()</f>
        <v>0</v>
      </c>
      <c r="N1800" s="11"/>
      <c r="O1800" s="11" t="str">
        <f aca="false">IF(K1800&lt;=StockP33,"Low",IF(K1800&lt;=StockP67,"Moderate","High"))</f>
        <v>High</v>
      </c>
      <c r="P1800" s="11" t="str">
        <f aca="false">IF(H1800=0,"Low",IF(H1800&lt;=MarkdownP75,"Moderate","High"))</f>
        <v>Low</v>
      </c>
      <c r="Q1800" s="11" t="str">
        <f aca="false">IF(ISBLANK(L1800),"Unknown",IF(L1800&gt;=4,"Good",IF(L1800&lt;=2,"Poor","Neutral")))</f>
        <v>Neutral</v>
      </c>
      <c r="R1800" s="11" t="str">
        <f aca="false">IF(AND(O1800="Low",P1800="Low",Q1800="Good"),"BUY / PRIORITIZE",IF(AND(O1800="High",P1800="High",OR(Q1800="Poor",M1800=TRUE())),"HOLD / REVIEW","MONITOR"))</f>
        <v>MONITOR</v>
      </c>
      <c r="S1800" s="11" t="n">
        <f aca="false">K1800+(ROW()/10000000)</f>
        <v>50.00018</v>
      </c>
    </row>
    <row r="1801" customFormat="false" ht="15" hidden="false" customHeight="false" outlineLevel="0" collapsed="false">
      <c r="A1801" s="11" t="s">
        <v>2151</v>
      </c>
      <c r="B1801" s="11" t="s">
        <v>26</v>
      </c>
      <c r="C1801" s="11" t="s">
        <v>130</v>
      </c>
      <c r="D1801" s="11" t="s">
        <v>35</v>
      </c>
      <c r="E1801" s="11" t="s">
        <v>102</v>
      </c>
      <c r="F1801" s="11" t="s">
        <v>120</v>
      </c>
      <c r="G1801" s="21" t="n">
        <v>61.96</v>
      </c>
      <c r="H1801" s="19" t="n">
        <v>0</v>
      </c>
      <c r="I1801" s="21" t="n">
        <v>61.96</v>
      </c>
      <c r="J1801" s="22" t="s">
        <v>80</v>
      </c>
      <c r="K1801" s="11" t="n">
        <v>13</v>
      </c>
      <c r="L1801" s="23" t="n">
        <v>3.9</v>
      </c>
      <c r="M1801" s="24" t="b">
        <f aca="false">FALSE()</f>
        <v>0</v>
      </c>
      <c r="N1801" s="11"/>
      <c r="O1801" s="11" t="str">
        <f aca="false">IF(K1801&lt;=StockP33,"Low",IF(K1801&lt;=StockP67,"Moderate","High"))</f>
        <v>Low</v>
      </c>
      <c r="P1801" s="11" t="str">
        <f aca="false">IF(H1801=0,"Low",IF(H1801&lt;=MarkdownP75,"Moderate","High"))</f>
        <v>Low</v>
      </c>
      <c r="Q1801" s="11" t="str">
        <f aca="false">IF(ISBLANK(L1801),"Unknown",IF(L1801&gt;=4,"Good",IF(L1801&lt;=2,"Poor","Neutral")))</f>
        <v>Neutral</v>
      </c>
      <c r="R1801" s="11" t="str">
        <f aca="false">IF(AND(O1801="Low",P1801="Low",Q1801="Good"),"BUY / PRIORITIZE",IF(AND(O1801="High",P1801="High",OR(Q1801="Poor",M1801=TRUE())),"HOLD / REVIEW","MONITOR"))</f>
        <v>MONITOR</v>
      </c>
      <c r="S1801" s="11" t="n">
        <f aca="false">K1801+(ROW()/10000000)</f>
        <v>13.0001801</v>
      </c>
    </row>
    <row r="1802" customFormat="false" ht="15" hidden="false" customHeight="false" outlineLevel="0" collapsed="false">
      <c r="A1802" s="11" t="s">
        <v>2152</v>
      </c>
      <c r="B1802" s="11" t="s">
        <v>26</v>
      </c>
      <c r="C1802" s="11" t="s">
        <v>72</v>
      </c>
      <c r="D1802" s="11" t="s">
        <v>36</v>
      </c>
      <c r="E1802" s="11" t="s">
        <v>78</v>
      </c>
      <c r="F1802" s="11" t="s">
        <v>124</v>
      </c>
      <c r="G1802" s="21" t="n">
        <v>104.25</v>
      </c>
      <c r="H1802" s="19" t="n">
        <v>0</v>
      </c>
      <c r="I1802" s="21" t="n">
        <v>104.25</v>
      </c>
      <c r="J1802" s="22" t="s">
        <v>80</v>
      </c>
      <c r="K1802" s="11" t="n">
        <v>35</v>
      </c>
      <c r="L1802" s="23" t="n">
        <v>3.1</v>
      </c>
      <c r="M1802" s="24" t="b">
        <f aca="false">FALSE()</f>
        <v>0</v>
      </c>
      <c r="N1802" s="11"/>
      <c r="O1802" s="11" t="str">
        <f aca="false">IF(K1802&lt;=StockP33,"Low",IF(K1802&lt;=StockP67,"Moderate","High"))</f>
        <v>High</v>
      </c>
      <c r="P1802" s="11" t="str">
        <f aca="false">IF(H1802=0,"Low",IF(H1802&lt;=MarkdownP75,"Moderate","High"))</f>
        <v>Low</v>
      </c>
      <c r="Q1802" s="11" t="str">
        <f aca="false">IF(ISBLANK(L1802),"Unknown",IF(L1802&gt;=4,"Good",IF(L1802&lt;=2,"Poor","Neutral")))</f>
        <v>Neutral</v>
      </c>
      <c r="R1802" s="11" t="str">
        <f aca="false">IF(AND(O1802="Low",P1802="Low",Q1802="Good"),"BUY / PRIORITIZE",IF(AND(O1802="High",P1802="High",OR(Q1802="Poor",M1802=TRUE())),"HOLD / REVIEW","MONITOR"))</f>
        <v>MONITOR</v>
      </c>
      <c r="S1802" s="11" t="n">
        <f aca="false">K1802+(ROW()/10000000)</f>
        <v>35.0001802</v>
      </c>
    </row>
    <row r="1803" customFormat="false" ht="15" hidden="false" customHeight="false" outlineLevel="0" collapsed="false">
      <c r="A1803" s="11" t="s">
        <v>2153</v>
      </c>
      <c r="B1803" s="11" t="s">
        <v>28</v>
      </c>
      <c r="C1803" s="11" t="s">
        <v>101</v>
      </c>
      <c r="D1803" s="11" t="s">
        <v>37</v>
      </c>
      <c r="E1803" s="11" t="s">
        <v>78</v>
      </c>
      <c r="F1803" s="11" t="s">
        <v>92</v>
      </c>
      <c r="G1803" s="21" t="n">
        <v>102.68</v>
      </c>
      <c r="H1803" s="19" t="n">
        <v>0</v>
      </c>
      <c r="I1803" s="21" t="n">
        <v>102.68</v>
      </c>
      <c r="J1803" s="22" t="s">
        <v>80</v>
      </c>
      <c r="K1803" s="11" t="n">
        <v>18</v>
      </c>
      <c r="L1803" s="23" t="n">
        <v>1.9</v>
      </c>
      <c r="M1803" s="24" t="b">
        <f aca="false">FALSE()</f>
        <v>0</v>
      </c>
      <c r="N1803" s="11"/>
      <c r="O1803" s="11" t="str">
        <f aca="false">IF(K1803&lt;=StockP33,"Low",IF(K1803&lt;=StockP67,"Moderate","High"))</f>
        <v>Moderate</v>
      </c>
      <c r="P1803" s="11" t="str">
        <f aca="false">IF(H1803=0,"Low",IF(H1803&lt;=MarkdownP75,"Moderate","High"))</f>
        <v>Low</v>
      </c>
      <c r="Q1803" s="11" t="str">
        <f aca="false">IF(ISBLANK(L1803),"Unknown",IF(L1803&gt;=4,"Good",IF(L1803&lt;=2,"Poor","Neutral")))</f>
        <v>Poor</v>
      </c>
      <c r="R1803" s="11" t="str">
        <f aca="false">IF(AND(O1803="Low",P1803="Low",Q1803="Good"),"BUY / PRIORITIZE",IF(AND(O1803="High",P1803="High",OR(Q1803="Poor",M1803=TRUE())),"HOLD / REVIEW","MONITOR"))</f>
        <v>MONITOR</v>
      </c>
      <c r="S1803" s="11" t="n">
        <f aca="false">K1803+(ROW()/10000000)</f>
        <v>18.0001803</v>
      </c>
    </row>
    <row r="1804" customFormat="false" ht="15" hidden="false" customHeight="false" outlineLevel="0" collapsed="false">
      <c r="A1804" s="11" t="s">
        <v>2154</v>
      </c>
      <c r="B1804" s="11" t="s">
        <v>27</v>
      </c>
      <c r="C1804" s="11" t="s">
        <v>116</v>
      </c>
      <c r="D1804" s="11" t="s">
        <v>37</v>
      </c>
      <c r="E1804" s="11" t="s">
        <v>102</v>
      </c>
      <c r="F1804" s="11" t="s">
        <v>111</v>
      </c>
      <c r="G1804" s="21" t="n">
        <v>131.05</v>
      </c>
      <c r="H1804" s="19" t="n">
        <v>32.6</v>
      </c>
      <c r="I1804" s="21" t="n">
        <v>88.33</v>
      </c>
      <c r="J1804" s="22" t="s">
        <v>80</v>
      </c>
      <c r="K1804" s="11" t="n">
        <v>9</v>
      </c>
      <c r="L1804" s="23"/>
      <c r="M1804" s="24" t="b">
        <f aca="false">FALSE()</f>
        <v>0</v>
      </c>
      <c r="N1804" s="11"/>
      <c r="O1804" s="11" t="str">
        <f aca="false">IF(K1804&lt;=StockP33,"Low",IF(K1804&lt;=StockP67,"Moderate","High"))</f>
        <v>Low</v>
      </c>
      <c r="P1804" s="11" t="str">
        <f aca="false">IF(H1804=0,"Low",IF(H1804&lt;=MarkdownP75,"Moderate","High"))</f>
        <v>High</v>
      </c>
      <c r="Q1804" s="11" t="str">
        <f aca="false">IF(ISBLANK(L1804),"Unknown",IF(L1804&gt;=4,"Good",IF(L1804&lt;=2,"Poor","Neutral")))</f>
        <v>Unknown</v>
      </c>
      <c r="R1804" s="11" t="str">
        <f aca="false">IF(AND(O1804="Low",P1804="Low",Q1804="Good"),"BUY / PRIORITIZE",IF(AND(O1804="High",P1804="High",OR(Q1804="Poor",M1804=TRUE())),"HOLD / REVIEW","MONITOR"))</f>
        <v>MONITOR</v>
      </c>
      <c r="S1804" s="11" t="n">
        <f aca="false">K1804+(ROW()/10000000)</f>
        <v>9.0001804</v>
      </c>
    </row>
    <row r="1805" customFormat="false" ht="15" hidden="false" customHeight="false" outlineLevel="0" collapsed="false">
      <c r="A1805" s="11" t="s">
        <v>2155</v>
      </c>
      <c r="B1805" s="11" t="s">
        <v>28</v>
      </c>
      <c r="C1805" s="11" t="s">
        <v>86</v>
      </c>
      <c r="D1805" s="11" t="s">
        <v>34</v>
      </c>
      <c r="E1805" s="11" t="s">
        <v>110</v>
      </c>
      <c r="F1805" s="11" t="s">
        <v>118</v>
      </c>
      <c r="G1805" s="21" t="n">
        <v>139.73</v>
      </c>
      <c r="H1805" s="19" t="n">
        <v>54.3</v>
      </c>
      <c r="I1805" s="21" t="n">
        <v>63.86</v>
      </c>
      <c r="J1805" s="22" t="s">
        <v>1268</v>
      </c>
      <c r="K1805" s="11" t="n">
        <v>38</v>
      </c>
      <c r="L1805" s="23"/>
      <c r="M1805" s="24" t="b">
        <f aca="false">TRUE()</f>
        <v>1</v>
      </c>
      <c r="N1805" s="11" t="s">
        <v>178</v>
      </c>
      <c r="O1805" s="11" t="str">
        <f aca="false">IF(K1805&lt;=StockP33,"Low",IF(K1805&lt;=StockP67,"Moderate","High"))</f>
        <v>High</v>
      </c>
      <c r="P1805" s="11" t="str">
        <f aca="false">IF(H1805=0,"Low",IF(H1805&lt;=MarkdownP75,"Moderate","High"))</f>
        <v>High</v>
      </c>
      <c r="Q1805" s="11" t="str">
        <f aca="false">IF(ISBLANK(L1805),"Unknown",IF(L1805&gt;=4,"Good",IF(L1805&lt;=2,"Poor","Neutral")))</f>
        <v>Unknown</v>
      </c>
      <c r="R1805" s="11" t="str">
        <f aca="false">IF(AND(O1805="Low",P1805="Low",Q1805="Good"),"BUY / PRIORITIZE",IF(AND(O1805="High",P1805="High",OR(Q1805="Poor",M1805=TRUE())),"HOLD / REVIEW","MONITOR"))</f>
        <v>HOLD / REVIEW</v>
      </c>
      <c r="S1805" s="11" t="n">
        <f aca="false">K1805+(ROW()/10000000)</f>
        <v>38.0001805</v>
      </c>
    </row>
    <row r="1806" customFormat="false" ht="15" hidden="false" customHeight="false" outlineLevel="0" collapsed="false">
      <c r="A1806" s="11" t="s">
        <v>2156</v>
      </c>
      <c r="B1806" s="11" t="s">
        <v>8</v>
      </c>
      <c r="C1806" s="11" t="s">
        <v>130</v>
      </c>
      <c r="D1806" s="11" t="s">
        <v>37</v>
      </c>
      <c r="E1806" s="11"/>
      <c r="F1806" s="11" t="s">
        <v>118</v>
      </c>
      <c r="G1806" s="21" t="n">
        <v>17.59</v>
      </c>
      <c r="H1806" s="19" t="n">
        <v>0</v>
      </c>
      <c r="I1806" s="21" t="n">
        <v>17.59</v>
      </c>
      <c r="J1806" s="22" t="s">
        <v>80</v>
      </c>
      <c r="K1806" s="11" t="n">
        <v>14</v>
      </c>
      <c r="L1806" s="23"/>
      <c r="M1806" s="24" t="b">
        <f aca="false">FALSE()</f>
        <v>0</v>
      </c>
      <c r="N1806" s="11"/>
      <c r="O1806" s="11" t="str">
        <f aca="false">IF(K1806&lt;=StockP33,"Low",IF(K1806&lt;=StockP67,"Moderate","High"))</f>
        <v>Low</v>
      </c>
      <c r="P1806" s="11" t="str">
        <f aca="false">IF(H1806=0,"Low",IF(H1806&lt;=MarkdownP75,"Moderate","High"))</f>
        <v>Low</v>
      </c>
      <c r="Q1806" s="11" t="str">
        <f aca="false">IF(ISBLANK(L1806),"Unknown",IF(L1806&gt;=4,"Good",IF(L1806&lt;=2,"Poor","Neutral")))</f>
        <v>Unknown</v>
      </c>
      <c r="R1806" s="11" t="str">
        <f aca="false">IF(AND(O1806="Low",P1806="Low",Q1806="Good"),"BUY / PRIORITIZE",IF(AND(O1806="High",P1806="High",OR(Q1806="Poor",M1806=TRUE())),"HOLD / REVIEW","MONITOR"))</f>
        <v>MONITOR</v>
      </c>
      <c r="S1806" s="11" t="n">
        <f aca="false">K1806+(ROW()/10000000)</f>
        <v>14.0001806</v>
      </c>
    </row>
    <row r="1807" customFormat="false" ht="15" hidden="false" customHeight="false" outlineLevel="0" collapsed="false">
      <c r="A1807" s="11" t="s">
        <v>2157</v>
      </c>
      <c r="B1807" s="11" t="s">
        <v>29</v>
      </c>
      <c r="C1807" s="11" t="s">
        <v>72</v>
      </c>
      <c r="D1807" s="11" t="s">
        <v>36</v>
      </c>
      <c r="E1807" s="11" t="s">
        <v>78</v>
      </c>
      <c r="F1807" s="11" t="s">
        <v>74</v>
      </c>
      <c r="G1807" s="21" t="n">
        <v>115.09</v>
      </c>
      <c r="H1807" s="19" t="n">
        <v>0</v>
      </c>
      <c r="I1807" s="21" t="n">
        <v>115.09</v>
      </c>
      <c r="J1807" s="22" t="s">
        <v>80</v>
      </c>
      <c r="K1807" s="11" t="n">
        <v>10</v>
      </c>
      <c r="L1807" s="23" t="n">
        <v>2.5</v>
      </c>
      <c r="M1807" s="24" t="b">
        <f aca="false">FALSE()</f>
        <v>0</v>
      </c>
      <c r="N1807" s="11"/>
      <c r="O1807" s="11" t="str">
        <f aca="false">IF(K1807&lt;=StockP33,"Low",IF(K1807&lt;=StockP67,"Moderate","High"))</f>
        <v>Low</v>
      </c>
      <c r="P1807" s="11" t="str">
        <f aca="false">IF(H1807=0,"Low",IF(H1807&lt;=MarkdownP75,"Moderate","High"))</f>
        <v>Low</v>
      </c>
      <c r="Q1807" s="11" t="str">
        <f aca="false">IF(ISBLANK(L1807),"Unknown",IF(L1807&gt;=4,"Good",IF(L1807&lt;=2,"Poor","Neutral")))</f>
        <v>Neutral</v>
      </c>
      <c r="R1807" s="11" t="str">
        <f aca="false">IF(AND(O1807="Low",P1807="Low",Q1807="Good"),"BUY / PRIORITIZE",IF(AND(O1807="High",P1807="High",OR(Q1807="Poor",M1807=TRUE())),"HOLD / REVIEW","MONITOR"))</f>
        <v>MONITOR</v>
      </c>
      <c r="S1807" s="11" t="n">
        <f aca="false">K1807+(ROW()/10000000)</f>
        <v>10.0001807</v>
      </c>
    </row>
    <row r="1808" customFormat="false" ht="15" hidden="false" customHeight="false" outlineLevel="0" collapsed="false">
      <c r="A1808" s="11" t="s">
        <v>2158</v>
      </c>
      <c r="B1808" s="11" t="s">
        <v>8</v>
      </c>
      <c r="C1808" s="11" t="s">
        <v>72</v>
      </c>
      <c r="D1808" s="11" t="s">
        <v>35</v>
      </c>
      <c r="E1808" s="11"/>
      <c r="F1808" s="11" t="s">
        <v>82</v>
      </c>
      <c r="G1808" s="21" t="n">
        <v>73.75</v>
      </c>
      <c r="H1808" s="19" t="n">
        <v>0</v>
      </c>
      <c r="I1808" s="21" t="n">
        <v>73.75</v>
      </c>
      <c r="J1808" s="22" t="s">
        <v>80</v>
      </c>
      <c r="K1808" s="11" t="n">
        <v>23</v>
      </c>
      <c r="L1808" s="23" t="n">
        <v>4.5</v>
      </c>
      <c r="M1808" s="24" t="b">
        <f aca="false">FALSE()</f>
        <v>0</v>
      </c>
      <c r="N1808" s="11"/>
      <c r="O1808" s="11" t="str">
        <f aca="false">IF(K1808&lt;=StockP33,"Low",IF(K1808&lt;=StockP67,"Moderate","High"))</f>
        <v>Moderate</v>
      </c>
      <c r="P1808" s="11" t="str">
        <f aca="false">IF(H1808=0,"Low",IF(H1808&lt;=MarkdownP75,"Moderate","High"))</f>
        <v>Low</v>
      </c>
      <c r="Q1808" s="11" t="str">
        <f aca="false">IF(ISBLANK(L1808),"Unknown",IF(L1808&gt;=4,"Good",IF(L1808&lt;=2,"Poor","Neutral")))</f>
        <v>Good</v>
      </c>
      <c r="R1808" s="11" t="str">
        <f aca="false">IF(AND(O1808="Low",P1808="Low",Q1808="Good"),"BUY / PRIORITIZE",IF(AND(O1808="High",P1808="High",OR(Q1808="Poor",M1808=TRUE())),"HOLD / REVIEW","MONITOR"))</f>
        <v>MONITOR</v>
      </c>
      <c r="S1808" s="11" t="n">
        <f aca="false">K1808+(ROW()/10000000)</f>
        <v>23.0001808</v>
      </c>
    </row>
    <row r="1809" customFormat="false" ht="15" hidden="false" customHeight="false" outlineLevel="0" collapsed="false">
      <c r="A1809" s="11" t="s">
        <v>2159</v>
      </c>
      <c r="B1809" s="11" t="s">
        <v>8</v>
      </c>
      <c r="C1809" s="11" t="s">
        <v>107</v>
      </c>
      <c r="D1809" s="11" t="s">
        <v>37</v>
      </c>
      <c r="E1809" s="11"/>
      <c r="F1809" s="11" t="s">
        <v>118</v>
      </c>
      <c r="G1809" s="21" t="n">
        <v>66.77</v>
      </c>
      <c r="H1809" s="19" t="n">
        <v>0</v>
      </c>
      <c r="I1809" s="21" t="n">
        <v>66.77</v>
      </c>
      <c r="J1809" s="22" t="s">
        <v>80</v>
      </c>
      <c r="K1809" s="11" t="n">
        <v>28</v>
      </c>
      <c r="L1809" s="23" t="n">
        <v>5</v>
      </c>
      <c r="M1809" s="24" t="b">
        <f aca="false">TRUE()</f>
        <v>1</v>
      </c>
      <c r="N1809" s="11" t="s">
        <v>128</v>
      </c>
      <c r="O1809" s="11" t="str">
        <f aca="false">IF(K1809&lt;=StockP33,"Low",IF(K1809&lt;=StockP67,"Moderate","High"))</f>
        <v>Moderate</v>
      </c>
      <c r="P1809" s="11" t="str">
        <f aca="false">IF(H1809=0,"Low",IF(H1809&lt;=MarkdownP75,"Moderate","High"))</f>
        <v>Low</v>
      </c>
      <c r="Q1809" s="11" t="str">
        <f aca="false">IF(ISBLANK(L1809),"Unknown",IF(L1809&gt;=4,"Good",IF(L1809&lt;=2,"Poor","Neutral")))</f>
        <v>Good</v>
      </c>
      <c r="R1809" s="11" t="str">
        <f aca="false">IF(AND(O1809="Low",P1809="Low",Q1809="Good"),"BUY / PRIORITIZE",IF(AND(O1809="High",P1809="High",OR(Q1809="Poor",M1809=TRUE())),"HOLD / REVIEW","MONITOR"))</f>
        <v>MONITOR</v>
      </c>
      <c r="S1809" s="11" t="n">
        <f aca="false">K1809+(ROW()/10000000)</f>
        <v>28.0001809</v>
      </c>
    </row>
    <row r="1810" customFormat="false" ht="15" hidden="false" customHeight="false" outlineLevel="0" collapsed="false">
      <c r="A1810" s="11" t="s">
        <v>2160</v>
      </c>
      <c r="B1810" s="11" t="s">
        <v>30</v>
      </c>
      <c r="C1810" s="11" t="s">
        <v>101</v>
      </c>
      <c r="D1810" s="11" t="s">
        <v>36</v>
      </c>
      <c r="E1810" s="11" t="s">
        <v>78</v>
      </c>
      <c r="F1810" s="11" t="s">
        <v>88</v>
      </c>
      <c r="G1810" s="21" t="n">
        <v>63.92</v>
      </c>
      <c r="H1810" s="19" t="n">
        <v>0</v>
      </c>
      <c r="I1810" s="21" t="n">
        <v>63.92</v>
      </c>
      <c r="J1810" s="22" t="s">
        <v>80</v>
      </c>
      <c r="K1810" s="11" t="n">
        <v>10</v>
      </c>
      <c r="L1810" s="23" t="n">
        <v>4.4</v>
      </c>
      <c r="M1810" s="24" t="b">
        <f aca="false">FALSE()</f>
        <v>0</v>
      </c>
      <c r="N1810" s="11"/>
      <c r="O1810" s="11" t="str">
        <f aca="false">IF(K1810&lt;=StockP33,"Low",IF(K1810&lt;=StockP67,"Moderate","High"))</f>
        <v>Low</v>
      </c>
      <c r="P1810" s="11" t="str">
        <f aca="false">IF(H1810=0,"Low",IF(H1810&lt;=MarkdownP75,"Moderate","High"))</f>
        <v>Low</v>
      </c>
      <c r="Q1810" s="11" t="str">
        <f aca="false">IF(ISBLANK(L1810),"Unknown",IF(L1810&gt;=4,"Good",IF(L1810&lt;=2,"Poor","Neutral")))</f>
        <v>Good</v>
      </c>
      <c r="R1810" s="11" t="str">
        <f aca="false">IF(AND(O1810="Low",P1810="Low",Q1810="Good"),"BUY / PRIORITIZE",IF(AND(O1810="High",P1810="High",OR(Q1810="Poor",M1810=TRUE())),"HOLD / REVIEW","MONITOR"))</f>
        <v>BUY / PRIORITIZE</v>
      </c>
      <c r="S1810" s="11" t="n">
        <f aca="false">K1810+(ROW()/10000000)</f>
        <v>10.000181</v>
      </c>
    </row>
    <row r="1811" customFormat="false" ht="15" hidden="false" customHeight="false" outlineLevel="0" collapsed="false">
      <c r="A1811" s="11" t="s">
        <v>2161</v>
      </c>
      <c r="B1811" s="11" t="s">
        <v>8</v>
      </c>
      <c r="C1811" s="11" t="s">
        <v>101</v>
      </c>
      <c r="D1811" s="11" t="s">
        <v>36</v>
      </c>
      <c r="E1811" s="11"/>
      <c r="F1811" s="11" t="s">
        <v>98</v>
      </c>
      <c r="G1811" s="21" t="n">
        <v>26.26</v>
      </c>
      <c r="H1811" s="19" t="n">
        <v>0</v>
      </c>
      <c r="I1811" s="21" t="n">
        <v>26.26</v>
      </c>
      <c r="J1811" s="22" t="s">
        <v>80</v>
      </c>
      <c r="K1811" s="11" t="n">
        <v>27</v>
      </c>
      <c r="L1811" s="23"/>
      <c r="M1811" s="24" t="b">
        <f aca="false">FALSE()</f>
        <v>0</v>
      </c>
      <c r="N1811" s="11"/>
      <c r="O1811" s="11" t="str">
        <f aca="false">IF(K1811&lt;=StockP33,"Low",IF(K1811&lt;=StockP67,"Moderate","High"))</f>
        <v>Moderate</v>
      </c>
      <c r="P1811" s="11" t="str">
        <f aca="false">IF(H1811=0,"Low",IF(H1811&lt;=MarkdownP75,"Moderate","High"))</f>
        <v>Low</v>
      </c>
      <c r="Q1811" s="11" t="str">
        <f aca="false">IF(ISBLANK(L1811),"Unknown",IF(L1811&gt;=4,"Good",IF(L1811&lt;=2,"Poor","Neutral")))</f>
        <v>Unknown</v>
      </c>
      <c r="R1811" s="11" t="str">
        <f aca="false">IF(AND(O1811="Low",P1811="Low",Q1811="Good"),"BUY / PRIORITIZE",IF(AND(O1811="High",P1811="High",OR(Q1811="Poor",M1811=TRUE())),"HOLD / REVIEW","MONITOR"))</f>
        <v>MONITOR</v>
      </c>
      <c r="S1811" s="11" t="n">
        <f aca="false">K1811+(ROW()/10000000)</f>
        <v>27.0001811</v>
      </c>
    </row>
    <row r="1812" customFormat="false" ht="15" hidden="false" customHeight="false" outlineLevel="0" collapsed="false">
      <c r="A1812" s="11" t="s">
        <v>2162</v>
      </c>
      <c r="B1812" s="11" t="s">
        <v>8</v>
      </c>
      <c r="C1812" s="11" t="s">
        <v>101</v>
      </c>
      <c r="D1812" s="11" t="s">
        <v>34</v>
      </c>
      <c r="E1812" s="11"/>
      <c r="F1812" s="11" t="s">
        <v>88</v>
      </c>
      <c r="G1812" s="21" t="n">
        <v>62.58</v>
      </c>
      <c r="H1812" s="19" t="n">
        <v>8.8</v>
      </c>
      <c r="I1812" s="21" t="n">
        <v>57.07</v>
      </c>
      <c r="J1812" s="22" t="s">
        <v>1232</v>
      </c>
      <c r="K1812" s="11" t="n">
        <v>1</v>
      </c>
      <c r="L1812" s="23" t="n">
        <v>1.7</v>
      </c>
      <c r="M1812" s="24" t="b">
        <f aca="false">FALSE()</f>
        <v>0</v>
      </c>
      <c r="N1812" s="11"/>
      <c r="O1812" s="11" t="str">
        <f aca="false">IF(K1812&lt;=StockP33,"Low",IF(K1812&lt;=StockP67,"Moderate","High"))</f>
        <v>Low</v>
      </c>
      <c r="P1812" s="11" t="str">
        <f aca="false">IF(H1812=0,"Low",IF(H1812&lt;=MarkdownP75,"Moderate","High"))</f>
        <v>Moderate</v>
      </c>
      <c r="Q1812" s="11" t="str">
        <f aca="false">IF(ISBLANK(L1812),"Unknown",IF(L1812&gt;=4,"Good",IF(L1812&lt;=2,"Poor","Neutral")))</f>
        <v>Poor</v>
      </c>
      <c r="R1812" s="11" t="str">
        <f aca="false">IF(AND(O1812="Low",P1812="Low",Q1812="Good"),"BUY / PRIORITIZE",IF(AND(O1812="High",P1812="High",OR(Q1812="Poor",M1812=TRUE())),"HOLD / REVIEW","MONITOR"))</f>
        <v>MONITOR</v>
      </c>
      <c r="S1812" s="11" t="n">
        <f aca="false">K1812+(ROW()/10000000)</f>
        <v>1.0001812</v>
      </c>
    </row>
    <row r="1813" customFormat="false" ht="15" hidden="false" customHeight="false" outlineLevel="0" collapsed="false">
      <c r="A1813" s="11" t="s">
        <v>2163</v>
      </c>
      <c r="B1813" s="11" t="s">
        <v>29</v>
      </c>
      <c r="C1813" s="11" t="s">
        <v>86</v>
      </c>
      <c r="D1813" s="11" t="s">
        <v>35</v>
      </c>
      <c r="E1813" s="11" t="s">
        <v>91</v>
      </c>
      <c r="F1813" s="11" t="s">
        <v>98</v>
      </c>
      <c r="G1813" s="21" t="n">
        <v>143.88</v>
      </c>
      <c r="H1813" s="19" t="n">
        <v>0</v>
      </c>
      <c r="I1813" s="21" t="n">
        <v>143.88</v>
      </c>
      <c r="J1813" s="22" t="s">
        <v>80</v>
      </c>
      <c r="K1813" s="11" t="n">
        <v>1</v>
      </c>
      <c r="L1813" s="23" t="n">
        <v>3.1</v>
      </c>
      <c r="M1813" s="24" t="b">
        <f aca="false">FALSE()</f>
        <v>0</v>
      </c>
      <c r="N1813" s="11"/>
      <c r="O1813" s="11" t="str">
        <f aca="false">IF(K1813&lt;=StockP33,"Low",IF(K1813&lt;=StockP67,"Moderate","High"))</f>
        <v>Low</v>
      </c>
      <c r="P1813" s="11" t="str">
        <f aca="false">IF(H1813=0,"Low",IF(H1813&lt;=MarkdownP75,"Moderate","High"))</f>
        <v>Low</v>
      </c>
      <c r="Q1813" s="11" t="str">
        <f aca="false">IF(ISBLANK(L1813),"Unknown",IF(L1813&gt;=4,"Good",IF(L1813&lt;=2,"Poor","Neutral")))</f>
        <v>Neutral</v>
      </c>
      <c r="R1813" s="11" t="str">
        <f aca="false">IF(AND(O1813="Low",P1813="Low",Q1813="Good"),"BUY / PRIORITIZE",IF(AND(O1813="High",P1813="High",OR(Q1813="Poor",M1813=TRUE())),"HOLD / REVIEW","MONITOR"))</f>
        <v>MONITOR</v>
      </c>
      <c r="S1813" s="11" t="n">
        <f aca="false">K1813+(ROW()/10000000)</f>
        <v>1.0001813</v>
      </c>
    </row>
    <row r="1814" customFormat="false" ht="15" hidden="false" customHeight="false" outlineLevel="0" collapsed="false">
      <c r="A1814" s="11" t="s">
        <v>2164</v>
      </c>
      <c r="B1814" s="11" t="s">
        <v>28</v>
      </c>
      <c r="C1814" s="11" t="s">
        <v>72</v>
      </c>
      <c r="D1814" s="11" t="s">
        <v>34</v>
      </c>
      <c r="E1814" s="11" t="s">
        <v>73</v>
      </c>
      <c r="F1814" s="11" t="s">
        <v>96</v>
      </c>
      <c r="G1814" s="21" t="n">
        <v>226.24</v>
      </c>
      <c r="H1814" s="19" t="n">
        <v>1.2</v>
      </c>
      <c r="I1814" s="21" t="n">
        <v>223.53</v>
      </c>
      <c r="J1814" s="22" t="s">
        <v>1579</v>
      </c>
      <c r="K1814" s="11" t="n">
        <v>24</v>
      </c>
      <c r="L1814" s="23" t="n">
        <v>4.5</v>
      </c>
      <c r="M1814" s="24" t="b">
        <f aca="false">FALSE()</f>
        <v>0</v>
      </c>
      <c r="N1814" s="11"/>
      <c r="O1814" s="11" t="str">
        <f aca="false">IF(K1814&lt;=StockP33,"Low",IF(K1814&lt;=StockP67,"Moderate","High"))</f>
        <v>Moderate</v>
      </c>
      <c r="P1814" s="11" t="str">
        <f aca="false">IF(H1814=0,"Low",IF(H1814&lt;=MarkdownP75,"Moderate","High"))</f>
        <v>Moderate</v>
      </c>
      <c r="Q1814" s="11" t="str">
        <f aca="false">IF(ISBLANK(L1814),"Unknown",IF(L1814&gt;=4,"Good",IF(L1814&lt;=2,"Poor","Neutral")))</f>
        <v>Good</v>
      </c>
      <c r="R1814" s="11" t="str">
        <f aca="false">IF(AND(O1814="Low",P1814="Low",Q1814="Good"),"BUY / PRIORITIZE",IF(AND(O1814="High",P1814="High",OR(Q1814="Poor",M1814=TRUE())),"HOLD / REVIEW","MONITOR"))</f>
        <v>MONITOR</v>
      </c>
      <c r="S1814" s="11" t="n">
        <f aca="false">K1814+(ROW()/10000000)</f>
        <v>24.0001814</v>
      </c>
    </row>
    <row r="1815" customFormat="false" ht="15" hidden="false" customHeight="false" outlineLevel="0" collapsed="false">
      <c r="A1815" s="11" t="s">
        <v>2165</v>
      </c>
      <c r="B1815" s="11" t="s">
        <v>29</v>
      </c>
      <c r="C1815" s="11" t="s">
        <v>116</v>
      </c>
      <c r="D1815" s="11" t="s">
        <v>34</v>
      </c>
      <c r="E1815" s="11" t="s">
        <v>102</v>
      </c>
      <c r="F1815" s="11" t="s">
        <v>82</v>
      </c>
      <c r="G1815" s="21" t="n">
        <v>164.75</v>
      </c>
      <c r="H1815" s="19" t="n">
        <v>0</v>
      </c>
      <c r="I1815" s="21" t="n">
        <v>164.75</v>
      </c>
      <c r="J1815" s="22" t="s">
        <v>2166</v>
      </c>
      <c r="K1815" s="11" t="n">
        <v>8</v>
      </c>
      <c r="L1815" s="23" t="n">
        <v>3.7</v>
      </c>
      <c r="M1815" s="24" t="b">
        <f aca="false">FALSE()</f>
        <v>0</v>
      </c>
      <c r="N1815" s="11"/>
      <c r="O1815" s="11" t="str">
        <f aca="false">IF(K1815&lt;=StockP33,"Low",IF(K1815&lt;=StockP67,"Moderate","High"))</f>
        <v>Low</v>
      </c>
      <c r="P1815" s="11" t="str">
        <f aca="false">IF(H1815=0,"Low",IF(H1815&lt;=MarkdownP75,"Moderate","High"))</f>
        <v>Low</v>
      </c>
      <c r="Q1815" s="11" t="str">
        <f aca="false">IF(ISBLANK(L1815),"Unknown",IF(L1815&gt;=4,"Good",IF(L1815&lt;=2,"Poor","Neutral")))</f>
        <v>Neutral</v>
      </c>
      <c r="R1815" s="11" t="str">
        <f aca="false">IF(AND(O1815="Low",P1815="Low",Q1815="Good"),"BUY / PRIORITIZE",IF(AND(O1815="High",P1815="High",OR(Q1815="Poor",M1815=TRUE())),"HOLD / REVIEW","MONITOR"))</f>
        <v>MONITOR</v>
      </c>
      <c r="S1815" s="11" t="n">
        <f aca="false">K1815+(ROW()/10000000)</f>
        <v>8.0001815</v>
      </c>
    </row>
    <row r="1816" customFormat="false" ht="15" hidden="false" customHeight="false" outlineLevel="0" collapsed="false">
      <c r="A1816" s="11" t="s">
        <v>2167</v>
      </c>
      <c r="B1816" s="11" t="s">
        <v>26</v>
      </c>
      <c r="C1816" s="11" t="s">
        <v>72</v>
      </c>
      <c r="D1816" s="11" t="s">
        <v>35</v>
      </c>
      <c r="E1816" s="11" t="s">
        <v>78</v>
      </c>
      <c r="F1816" s="11" t="s">
        <v>118</v>
      </c>
      <c r="G1816" s="21" t="n">
        <v>56.14</v>
      </c>
      <c r="H1816" s="19" t="n">
        <v>0</v>
      </c>
      <c r="I1816" s="21" t="n">
        <v>56.14</v>
      </c>
      <c r="J1816" s="22" t="s">
        <v>80</v>
      </c>
      <c r="K1816" s="11" t="n">
        <v>16</v>
      </c>
      <c r="L1816" s="23" t="n">
        <v>4.3</v>
      </c>
      <c r="M1816" s="24" t="b">
        <f aca="false">FALSE()</f>
        <v>0</v>
      </c>
      <c r="N1816" s="11"/>
      <c r="O1816" s="11" t="str">
        <f aca="false">IF(K1816&lt;=StockP33,"Low",IF(K1816&lt;=StockP67,"Moderate","High"))</f>
        <v>Low</v>
      </c>
      <c r="P1816" s="11" t="str">
        <f aca="false">IF(H1816=0,"Low",IF(H1816&lt;=MarkdownP75,"Moderate","High"))</f>
        <v>Low</v>
      </c>
      <c r="Q1816" s="11" t="str">
        <f aca="false">IF(ISBLANK(L1816),"Unknown",IF(L1816&gt;=4,"Good",IF(L1816&lt;=2,"Poor","Neutral")))</f>
        <v>Good</v>
      </c>
      <c r="R1816" s="11" t="str">
        <f aca="false">IF(AND(O1816="Low",P1816="Low",Q1816="Good"),"BUY / PRIORITIZE",IF(AND(O1816="High",P1816="High",OR(Q1816="Poor",M1816=TRUE())),"HOLD / REVIEW","MONITOR"))</f>
        <v>BUY / PRIORITIZE</v>
      </c>
      <c r="S1816" s="11" t="n">
        <f aca="false">K1816+(ROW()/10000000)</f>
        <v>16.0001816</v>
      </c>
    </row>
    <row r="1817" customFormat="false" ht="15" hidden="false" customHeight="false" outlineLevel="0" collapsed="false">
      <c r="A1817" s="11" t="s">
        <v>2168</v>
      </c>
      <c r="B1817" s="11" t="s">
        <v>8</v>
      </c>
      <c r="C1817" s="11" t="s">
        <v>101</v>
      </c>
      <c r="D1817" s="11" t="s">
        <v>37</v>
      </c>
      <c r="E1817" s="11"/>
      <c r="F1817" s="11" t="s">
        <v>74</v>
      </c>
      <c r="G1817" s="21" t="n">
        <v>39.96</v>
      </c>
      <c r="H1817" s="19" t="n">
        <v>0</v>
      </c>
      <c r="I1817" s="21" t="n">
        <v>39.96</v>
      </c>
      <c r="J1817" s="22" t="s">
        <v>80</v>
      </c>
      <c r="K1817" s="11" t="n">
        <v>49</v>
      </c>
      <c r="L1817" s="23"/>
      <c r="M1817" s="24" t="b">
        <f aca="false">FALSE()</f>
        <v>0</v>
      </c>
      <c r="N1817" s="11"/>
      <c r="O1817" s="11" t="str">
        <f aca="false">IF(K1817&lt;=StockP33,"Low",IF(K1817&lt;=StockP67,"Moderate","High"))</f>
        <v>High</v>
      </c>
      <c r="P1817" s="11" t="str">
        <f aca="false">IF(H1817=0,"Low",IF(H1817&lt;=MarkdownP75,"Moderate","High"))</f>
        <v>Low</v>
      </c>
      <c r="Q1817" s="11" t="str">
        <f aca="false">IF(ISBLANK(L1817),"Unknown",IF(L1817&gt;=4,"Good",IF(L1817&lt;=2,"Poor","Neutral")))</f>
        <v>Unknown</v>
      </c>
      <c r="R1817" s="11" t="str">
        <f aca="false">IF(AND(O1817="Low",P1817="Low",Q1817="Good"),"BUY / PRIORITIZE",IF(AND(O1817="High",P1817="High",OR(Q1817="Poor",M1817=TRUE())),"HOLD / REVIEW","MONITOR"))</f>
        <v>MONITOR</v>
      </c>
      <c r="S1817" s="11" t="n">
        <f aca="false">K1817+(ROW()/10000000)</f>
        <v>49.0001817</v>
      </c>
    </row>
    <row r="1818" customFormat="false" ht="15" hidden="false" customHeight="false" outlineLevel="0" collapsed="false">
      <c r="A1818" s="11" t="s">
        <v>2169</v>
      </c>
      <c r="B1818" s="11" t="s">
        <v>26</v>
      </c>
      <c r="C1818" s="11" t="s">
        <v>107</v>
      </c>
      <c r="D1818" s="11" t="s">
        <v>35</v>
      </c>
      <c r="E1818" s="11" t="s">
        <v>78</v>
      </c>
      <c r="F1818" s="11" t="s">
        <v>118</v>
      </c>
      <c r="G1818" s="21" t="n">
        <v>26.5</v>
      </c>
      <c r="H1818" s="19" t="n">
        <v>57.9</v>
      </c>
      <c r="I1818" s="21" t="n">
        <v>11.16</v>
      </c>
      <c r="J1818" s="22" t="s">
        <v>80</v>
      </c>
      <c r="K1818" s="11" t="n">
        <v>8</v>
      </c>
      <c r="L1818" s="23" t="n">
        <v>1.7</v>
      </c>
      <c r="M1818" s="24" t="b">
        <f aca="false">FALSE()</f>
        <v>0</v>
      </c>
      <c r="N1818" s="11"/>
      <c r="O1818" s="11" t="str">
        <f aca="false">IF(K1818&lt;=StockP33,"Low",IF(K1818&lt;=StockP67,"Moderate","High"))</f>
        <v>Low</v>
      </c>
      <c r="P1818" s="11" t="str">
        <f aca="false">IF(H1818=0,"Low",IF(H1818&lt;=MarkdownP75,"Moderate","High"))</f>
        <v>High</v>
      </c>
      <c r="Q1818" s="11" t="str">
        <f aca="false">IF(ISBLANK(L1818),"Unknown",IF(L1818&gt;=4,"Good",IF(L1818&lt;=2,"Poor","Neutral")))</f>
        <v>Poor</v>
      </c>
      <c r="R1818" s="11" t="str">
        <f aca="false">IF(AND(O1818="Low",P1818="Low",Q1818="Good"),"BUY / PRIORITIZE",IF(AND(O1818="High",P1818="High",OR(Q1818="Poor",M1818=TRUE())),"HOLD / REVIEW","MONITOR"))</f>
        <v>MONITOR</v>
      </c>
      <c r="S1818" s="11" t="n">
        <f aca="false">K1818+(ROW()/10000000)</f>
        <v>8.0001818</v>
      </c>
    </row>
    <row r="1819" customFormat="false" ht="15" hidden="false" customHeight="false" outlineLevel="0" collapsed="false">
      <c r="A1819" s="11" t="s">
        <v>2170</v>
      </c>
      <c r="B1819" s="11" t="s">
        <v>29</v>
      </c>
      <c r="C1819" s="11" t="s">
        <v>101</v>
      </c>
      <c r="D1819" s="11" t="s">
        <v>34</v>
      </c>
      <c r="E1819" s="11" t="s">
        <v>102</v>
      </c>
      <c r="F1819" s="11" t="s">
        <v>124</v>
      </c>
      <c r="G1819" s="21" t="n">
        <v>118.53</v>
      </c>
      <c r="H1819" s="19" t="n">
        <v>55</v>
      </c>
      <c r="I1819" s="21" t="n">
        <v>53.34</v>
      </c>
      <c r="J1819" s="22" t="s">
        <v>104</v>
      </c>
      <c r="K1819" s="11" t="n">
        <v>2</v>
      </c>
      <c r="L1819" s="23" t="n">
        <v>4.9</v>
      </c>
      <c r="M1819" s="24" t="b">
        <f aca="false">FALSE()</f>
        <v>0</v>
      </c>
      <c r="N1819" s="11"/>
      <c r="O1819" s="11" t="str">
        <f aca="false">IF(K1819&lt;=StockP33,"Low",IF(K1819&lt;=StockP67,"Moderate","High"))</f>
        <v>Low</v>
      </c>
      <c r="P1819" s="11" t="str">
        <f aca="false">IF(H1819=0,"Low",IF(H1819&lt;=MarkdownP75,"Moderate","High"))</f>
        <v>High</v>
      </c>
      <c r="Q1819" s="11" t="str">
        <f aca="false">IF(ISBLANK(L1819),"Unknown",IF(L1819&gt;=4,"Good",IF(L1819&lt;=2,"Poor","Neutral")))</f>
        <v>Good</v>
      </c>
      <c r="R1819" s="11" t="str">
        <f aca="false">IF(AND(O1819="Low",P1819="Low",Q1819="Good"),"BUY / PRIORITIZE",IF(AND(O1819="High",P1819="High",OR(Q1819="Poor",M1819=TRUE())),"HOLD / REVIEW","MONITOR"))</f>
        <v>MONITOR</v>
      </c>
      <c r="S1819" s="11" t="n">
        <f aca="false">K1819+(ROW()/10000000)</f>
        <v>2.0001819</v>
      </c>
    </row>
    <row r="1820" customFormat="false" ht="15" hidden="false" customHeight="false" outlineLevel="0" collapsed="false">
      <c r="A1820" s="11" t="s">
        <v>2171</v>
      </c>
      <c r="B1820" s="11" t="s">
        <v>27</v>
      </c>
      <c r="C1820" s="11" t="s">
        <v>95</v>
      </c>
      <c r="D1820" s="11" t="s">
        <v>35</v>
      </c>
      <c r="E1820" s="11" t="s">
        <v>73</v>
      </c>
      <c r="F1820" s="11" t="s">
        <v>120</v>
      </c>
      <c r="G1820" s="21" t="n">
        <v>58.08</v>
      </c>
      <c r="H1820" s="19" t="n">
        <v>0</v>
      </c>
      <c r="I1820" s="21" t="n">
        <v>58.08</v>
      </c>
      <c r="J1820" s="22" t="s">
        <v>80</v>
      </c>
      <c r="K1820" s="11" t="n">
        <v>42</v>
      </c>
      <c r="L1820" s="23" t="n">
        <v>1.6</v>
      </c>
      <c r="M1820" s="24" t="b">
        <f aca="false">FALSE()</f>
        <v>0</v>
      </c>
      <c r="N1820" s="11"/>
      <c r="O1820" s="11" t="str">
        <f aca="false">IF(K1820&lt;=StockP33,"Low",IF(K1820&lt;=StockP67,"Moderate","High"))</f>
        <v>High</v>
      </c>
      <c r="P1820" s="11" t="str">
        <f aca="false">IF(H1820=0,"Low",IF(H1820&lt;=MarkdownP75,"Moderate","High"))</f>
        <v>Low</v>
      </c>
      <c r="Q1820" s="11" t="str">
        <f aca="false">IF(ISBLANK(L1820),"Unknown",IF(L1820&gt;=4,"Good",IF(L1820&lt;=2,"Poor","Neutral")))</f>
        <v>Poor</v>
      </c>
      <c r="R1820" s="11" t="str">
        <f aca="false">IF(AND(O1820="Low",P1820="Low",Q1820="Good"),"BUY / PRIORITIZE",IF(AND(O1820="High",P1820="High",OR(Q1820="Poor",M1820=TRUE())),"HOLD / REVIEW","MONITOR"))</f>
        <v>MONITOR</v>
      </c>
      <c r="S1820" s="11" t="n">
        <f aca="false">K1820+(ROW()/10000000)</f>
        <v>42.000182</v>
      </c>
    </row>
    <row r="1821" customFormat="false" ht="15" hidden="false" customHeight="false" outlineLevel="0" collapsed="false">
      <c r="A1821" s="11" t="s">
        <v>2172</v>
      </c>
      <c r="B1821" s="11" t="s">
        <v>29</v>
      </c>
      <c r="C1821" s="11" t="s">
        <v>101</v>
      </c>
      <c r="D1821" s="11" t="s">
        <v>35</v>
      </c>
      <c r="E1821" s="11" t="s">
        <v>91</v>
      </c>
      <c r="F1821" s="11" t="s">
        <v>118</v>
      </c>
      <c r="G1821" s="21" t="n">
        <v>138.85</v>
      </c>
      <c r="H1821" s="19" t="n">
        <v>15</v>
      </c>
      <c r="I1821" s="21" t="n">
        <v>118.02</v>
      </c>
      <c r="J1821" s="22" t="s">
        <v>80</v>
      </c>
      <c r="K1821" s="11" t="n">
        <v>17</v>
      </c>
      <c r="L1821" s="23"/>
      <c r="M1821" s="24" t="b">
        <f aca="false">FALSE()</f>
        <v>0</v>
      </c>
      <c r="N1821" s="11"/>
      <c r="O1821" s="11" t="str">
        <f aca="false">IF(K1821&lt;=StockP33,"Low",IF(K1821&lt;=StockP67,"Moderate","High"))</f>
        <v>Low</v>
      </c>
      <c r="P1821" s="11" t="str">
        <f aca="false">IF(H1821=0,"Low",IF(H1821&lt;=MarkdownP75,"Moderate","High"))</f>
        <v>Moderate</v>
      </c>
      <c r="Q1821" s="11" t="str">
        <f aca="false">IF(ISBLANK(L1821),"Unknown",IF(L1821&gt;=4,"Good",IF(L1821&lt;=2,"Poor","Neutral")))</f>
        <v>Unknown</v>
      </c>
      <c r="R1821" s="11" t="str">
        <f aca="false">IF(AND(O1821="Low",P1821="Low",Q1821="Good"),"BUY / PRIORITIZE",IF(AND(O1821="High",P1821="High",OR(Q1821="Poor",M1821=TRUE())),"HOLD / REVIEW","MONITOR"))</f>
        <v>MONITOR</v>
      </c>
      <c r="S1821" s="11" t="n">
        <f aca="false">K1821+(ROW()/10000000)</f>
        <v>17.0001821</v>
      </c>
    </row>
    <row r="1822" customFormat="false" ht="15" hidden="false" customHeight="false" outlineLevel="0" collapsed="false">
      <c r="A1822" s="11" t="s">
        <v>2173</v>
      </c>
      <c r="B1822" s="11" t="s">
        <v>26</v>
      </c>
      <c r="C1822" s="11" t="s">
        <v>86</v>
      </c>
      <c r="D1822" s="11" t="s">
        <v>35</v>
      </c>
      <c r="E1822" s="11" t="s">
        <v>110</v>
      </c>
      <c r="F1822" s="11" t="s">
        <v>92</v>
      </c>
      <c r="G1822" s="21" t="n">
        <v>73.33</v>
      </c>
      <c r="H1822" s="19" t="n">
        <v>0</v>
      </c>
      <c r="I1822" s="21" t="n">
        <v>73.33</v>
      </c>
      <c r="J1822" s="22" t="s">
        <v>80</v>
      </c>
      <c r="K1822" s="11" t="n">
        <v>3</v>
      </c>
      <c r="L1822" s="23" t="n">
        <v>3.1</v>
      </c>
      <c r="M1822" s="24" t="b">
        <f aca="false">TRUE()</f>
        <v>1</v>
      </c>
      <c r="N1822" s="11" t="s">
        <v>178</v>
      </c>
      <c r="O1822" s="11" t="str">
        <f aca="false">IF(K1822&lt;=StockP33,"Low",IF(K1822&lt;=StockP67,"Moderate","High"))</f>
        <v>Low</v>
      </c>
      <c r="P1822" s="11" t="str">
        <f aca="false">IF(H1822=0,"Low",IF(H1822&lt;=MarkdownP75,"Moderate","High"))</f>
        <v>Low</v>
      </c>
      <c r="Q1822" s="11" t="str">
        <f aca="false">IF(ISBLANK(L1822),"Unknown",IF(L1822&gt;=4,"Good",IF(L1822&lt;=2,"Poor","Neutral")))</f>
        <v>Neutral</v>
      </c>
      <c r="R1822" s="11" t="str">
        <f aca="false">IF(AND(O1822="Low",P1822="Low",Q1822="Good"),"BUY / PRIORITIZE",IF(AND(O1822="High",P1822="High",OR(Q1822="Poor",M1822=TRUE())),"HOLD / REVIEW","MONITOR"))</f>
        <v>MONITOR</v>
      </c>
      <c r="S1822" s="11" t="n">
        <f aca="false">K1822+(ROW()/10000000)</f>
        <v>3.0001822</v>
      </c>
    </row>
    <row r="1823" customFormat="false" ht="15" hidden="false" customHeight="false" outlineLevel="0" collapsed="false">
      <c r="A1823" s="11" t="s">
        <v>2174</v>
      </c>
      <c r="B1823" s="11" t="s">
        <v>28</v>
      </c>
      <c r="C1823" s="11" t="s">
        <v>130</v>
      </c>
      <c r="D1823" s="11" t="s">
        <v>37</v>
      </c>
      <c r="E1823" s="11" t="s">
        <v>91</v>
      </c>
      <c r="F1823" s="11" t="s">
        <v>98</v>
      </c>
      <c r="G1823" s="21" t="n">
        <v>167.73</v>
      </c>
      <c r="H1823" s="19" t="n">
        <v>0</v>
      </c>
      <c r="I1823" s="21" t="n">
        <v>167.73</v>
      </c>
      <c r="J1823" s="22" t="s">
        <v>80</v>
      </c>
      <c r="K1823" s="11" t="n">
        <v>4</v>
      </c>
      <c r="L1823" s="23" t="n">
        <v>4.9</v>
      </c>
      <c r="M1823" s="24" t="b">
        <f aca="false">FALSE()</f>
        <v>0</v>
      </c>
      <c r="N1823" s="11"/>
      <c r="O1823" s="11" t="str">
        <f aca="false">IF(K1823&lt;=StockP33,"Low",IF(K1823&lt;=StockP67,"Moderate","High"))</f>
        <v>Low</v>
      </c>
      <c r="P1823" s="11" t="str">
        <f aca="false">IF(H1823=0,"Low",IF(H1823&lt;=MarkdownP75,"Moderate","High"))</f>
        <v>Low</v>
      </c>
      <c r="Q1823" s="11" t="str">
        <f aca="false">IF(ISBLANK(L1823),"Unknown",IF(L1823&gt;=4,"Good",IF(L1823&lt;=2,"Poor","Neutral")))</f>
        <v>Good</v>
      </c>
      <c r="R1823" s="11" t="str">
        <f aca="false">IF(AND(O1823="Low",P1823="Low",Q1823="Good"),"BUY / PRIORITIZE",IF(AND(O1823="High",P1823="High",OR(Q1823="Poor",M1823=TRUE())),"HOLD / REVIEW","MONITOR"))</f>
        <v>BUY / PRIORITIZE</v>
      </c>
      <c r="S1823" s="11" t="n">
        <f aca="false">K1823+(ROW()/10000000)</f>
        <v>4.0001823</v>
      </c>
    </row>
    <row r="1824" customFormat="false" ht="15" hidden="false" customHeight="false" outlineLevel="0" collapsed="false">
      <c r="A1824" s="11" t="s">
        <v>2175</v>
      </c>
      <c r="B1824" s="11" t="s">
        <v>30</v>
      </c>
      <c r="C1824" s="11" t="s">
        <v>101</v>
      </c>
      <c r="D1824" s="11" t="s">
        <v>37</v>
      </c>
      <c r="E1824" s="11" t="s">
        <v>102</v>
      </c>
      <c r="F1824" s="11" t="s">
        <v>82</v>
      </c>
      <c r="G1824" s="21" t="n">
        <v>79.47</v>
      </c>
      <c r="H1824" s="19" t="n">
        <v>0</v>
      </c>
      <c r="I1824" s="21" t="n">
        <v>79.47</v>
      </c>
      <c r="J1824" s="22" t="s">
        <v>80</v>
      </c>
      <c r="K1824" s="11" t="n">
        <v>31</v>
      </c>
      <c r="L1824" s="23" t="n">
        <v>3.7</v>
      </c>
      <c r="M1824" s="24" t="b">
        <f aca="false">FALSE()</f>
        <v>0</v>
      </c>
      <c r="N1824" s="11"/>
      <c r="O1824" s="11" t="str">
        <f aca="false">IF(K1824&lt;=StockP33,"Low",IF(K1824&lt;=StockP67,"Moderate","High"))</f>
        <v>Moderate</v>
      </c>
      <c r="P1824" s="11" t="str">
        <f aca="false">IF(H1824=0,"Low",IF(H1824&lt;=MarkdownP75,"Moderate","High"))</f>
        <v>Low</v>
      </c>
      <c r="Q1824" s="11" t="str">
        <f aca="false">IF(ISBLANK(L1824),"Unknown",IF(L1824&gt;=4,"Good",IF(L1824&lt;=2,"Poor","Neutral")))</f>
        <v>Neutral</v>
      </c>
      <c r="R1824" s="11" t="str">
        <f aca="false">IF(AND(O1824="Low",P1824="Low",Q1824="Good"),"BUY / PRIORITIZE",IF(AND(O1824="High",P1824="High",OR(Q1824="Poor",M1824=TRUE())),"HOLD / REVIEW","MONITOR"))</f>
        <v>MONITOR</v>
      </c>
      <c r="S1824" s="11" t="n">
        <f aca="false">K1824+(ROW()/10000000)</f>
        <v>31.0001824</v>
      </c>
    </row>
    <row r="1825" customFormat="false" ht="15" hidden="false" customHeight="false" outlineLevel="0" collapsed="false">
      <c r="A1825" s="11" t="s">
        <v>2176</v>
      </c>
      <c r="B1825" s="11" t="s">
        <v>27</v>
      </c>
      <c r="C1825" s="11" t="s">
        <v>130</v>
      </c>
      <c r="D1825" s="11" t="s">
        <v>35</v>
      </c>
      <c r="E1825" s="11" t="s">
        <v>73</v>
      </c>
      <c r="F1825" s="11" t="s">
        <v>88</v>
      </c>
      <c r="G1825" s="21" t="n">
        <v>69.12</v>
      </c>
      <c r="H1825" s="19" t="n">
        <v>49.4</v>
      </c>
      <c r="I1825" s="21" t="n">
        <v>34.97</v>
      </c>
      <c r="J1825" s="22" t="s">
        <v>80</v>
      </c>
      <c r="K1825" s="11" t="n">
        <v>45</v>
      </c>
      <c r="L1825" s="23" t="n">
        <v>2.3</v>
      </c>
      <c r="M1825" s="24" t="b">
        <f aca="false">FALSE()</f>
        <v>0</v>
      </c>
      <c r="N1825" s="11"/>
      <c r="O1825" s="11" t="str">
        <f aca="false">IF(K1825&lt;=StockP33,"Low",IF(K1825&lt;=StockP67,"Moderate","High"))</f>
        <v>High</v>
      </c>
      <c r="P1825" s="11" t="str">
        <f aca="false">IF(H1825=0,"Low",IF(H1825&lt;=MarkdownP75,"Moderate","High"))</f>
        <v>High</v>
      </c>
      <c r="Q1825" s="11" t="str">
        <f aca="false">IF(ISBLANK(L1825),"Unknown",IF(L1825&gt;=4,"Good",IF(L1825&lt;=2,"Poor","Neutral")))</f>
        <v>Neutral</v>
      </c>
      <c r="R1825" s="11" t="str">
        <f aca="false">IF(AND(O1825="Low",P1825="Low",Q1825="Good"),"BUY / PRIORITIZE",IF(AND(O1825="High",P1825="High",OR(Q1825="Poor",M1825=TRUE())),"HOLD / REVIEW","MONITOR"))</f>
        <v>MONITOR</v>
      </c>
      <c r="S1825" s="11" t="n">
        <f aca="false">K1825+(ROW()/10000000)</f>
        <v>45.0001825</v>
      </c>
    </row>
    <row r="1826" customFormat="false" ht="15" hidden="false" customHeight="false" outlineLevel="0" collapsed="false">
      <c r="A1826" s="11" t="s">
        <v>2177</v>
      </c>
      <c r="B1826" s="11" t="s">
        <v>26</v>
      </c>
      <c r="C1826" s="11" t="s">
        <v>95</v>
      </c>
      <c r="D1826" s="11" t="s">
        <v>35</v>
      </c>
      <c r="E1826" s="11" t="s">
        <v>91</v>
      </c>
      <c r="F1826" s="11" t="s">
        <v>120</v>
      </c>
      <c r="G1826" s="21" t="n">
        <v>56.18</v>
      </c>
      <c r="H1826" s="19" t="n">
        <v>6.7</v>
      </c>
      <c r="I1826" s="21" t="n">
        <v>52.42</v>
      </c>
      <c r="J1826" s="22" t="s">
        <v>80</v>
      </c>
      <c r="K1826" s="11" t="n">
        <v>35</v>
      </c>
      <c r="L1826" s="23" t="n">
        <v>2.6</v>
      </c>
      <c r="M1826" s="24" t="b">
        <f aca="false">TRUE()</f>
        <v>1</v>
      </c>
      <c r="N1826" s="11" t="s">
        <v>178</v>
      </c>
      <c r="O1826" s="11" t="str">
        <f aca="false">IF(K1826&lt;=StockP33,"Low",IF(K1826&lt;=StockP67,"Moderate","High"))</f>
        <v>High</v>
      </c>
      <c r="P1826" s="11" t="str">
        <f aca="false">IF(H1826=0,"Low",IF(H1826&lt;=MarkdownP75,"Moderate","High"))</f>
        <v>Moderate</v>
      </c>
      <c r="Q1826" s="11" t="str">
        <f aca="false">IF(ISBLANK(L1826),"Unknown",IF(L1826&gt;=4,"Good",IF(L1826&lt;=2,"Poor","Neutral")))</f>
        <v>Neutral</v>
      </c>
      <c r="R1826" s="11" t="str">
        <f aca="false">IF(AND(O1826="Low",P1826="Low",Q1826="Good"),"BUY / PRIORITIZE",IF(AND(O1826="High",P1826="High",OR(Q1826="Poor",M1826=TRUE())),"HOLD / REVIEW","MONITOR"))</f>
        <v>MONITOR</v>
      </c>
      <c r="S1826" s="11" t="n">
        <f aca="false">K1826+(ROW()/10000000)</f>
        <v>35.0001826</v>
      </c>
    </row>
    <row r="1827" customFormat="false" ht="15" hidden="false" customHeight="false" outlineLevel="0" collapsed="false">
      <c r="A1827" s="11" t="s">
        <v>2178</v>
      </c>
      <c r="B1827" s="11" t="s">
        <v>30</v>
      </c>
      <c r="C1827" s="11" t="s">
        <v>116</v>
      </c>
      <c r="D1827" s="11" t="s">
        <v>37</v>
      </c>
      <c r="E1827" s="11" t="s">
        <v>110</v>
      </c>
      <c r="F1827" s="11" t="s">
        <v>92</v>
      </c>
      <c r="G1827" s="21" t="n">
        <v>51.28</v>
      </c>
      <c r="H1827" s="19" t="n">
        <v>48.3</v>
      </c>
      <c r="I1827" s="21" t="n">
        <v>26.51</v>
      </c>
      <c r="J1827" s="22" t="s">
        <v>80</v>
      </c>
      <c r="K1827" s="11" t="n">
        <v>9</v>
      </c>
      <c r="L1827" s="23" t="n">
        <v>1.1</v>
      </c>
      <c r="M1827" s="24" t="b">
        <f aca="false">TRUE()</f>
        <v>1</v>
      </c>
      <c r="N1827" s="11" t="s">
        <v>178</v>
      </c>
      <c r="O1827" s="11" t="str">
        <f aca="false">IF(K1827&lt;=StockP33,"Low",IF(K1827&lt;=StockP67,"Moderate","High"))</f>
        <v>Low</v>
      </c>
      <c r="P1827" s="11" t="str">
        <f aca="false">IF(H1827=0,"Low",IF(H1827&lt;=MarkdownP75,"Moderate","High"))</f>
        <v>High</v>
      </c>
      <c r="Q1827" s="11" t="str">
        <f aca="false">IF(ISBLANK(L1827),"Unknown",IF(L1827&gt;=4,"Good",IF(L1827&lt;=2,"Poor","Neutral")))</f>
        <v>Poor</v>
      </c>
      <c r="R1827" s="11" t="str">
        <f aca="false">IF(AND(O1827="Low",P1827="Low",Q1827="Good"),"BUY / PRIORITIZE",IF(AND(O1827="High",P1827="High",OR(Q1827="Poor",M1827=TRUE())),"HOLD / REVIEW","MONITOR"))</f>
        <v>MONITOR</v>
      </c>
      <c r="S1827" s="11" t="n">
        <f aca="false">K1827+(ROW()/10000000)</f>
        <v>9.0001827</v>
      </c>
    </row>
    <row r="1828" customFormat="false" ht="15" hidden="false" customHeight="false" outlineLevel="0" collapsed="false">
      <c r="A1828" s="11" t="s">
        <v>2179</v>
      </c>
      <c r="B1828" s="11" t="s">
        <v>28</v>
      </c>
      <c r="C1828" s="11" t="s">
        <v>116</v>
      </c>
      <c r="D1828" s="11" t="s">
        <v>34</v>
      </c>
      <c r="E1828" s="11"/>
      <c r="F1828" s="11" t="s">
        <v>98</v>
      </c>
      <c r="G1828" s="21" t="n">
        <v>111.73</v>
      </c>
      <c r="H1828" s="19" t="n">
        <v>16.8</v>
      </c>
      <c r="I1828" s="21" t="n">
        <v>92.96</v>
      </c>
      <c r="J1828" s="22" t="s">
        <v>2180</v>
      </c>
      <c r="K1828" s="11" t="n">
        <v>41</v>
      </c>
      <c r="L1828" s="23" t="n">
        <v>1.2</v>
      </c>
      <c r="M1828" s="24" t="b">
        <f aca="false">FALSE()</f>
        <v>0</v>
      </c>
      <c r="N1828" s="11"/>
      <c r="O1828" s="11" t="str">
        <f aca="false">IF(K1828&lt;=StockP33,"Low",IF(K1828&lt;=StockP67,"Moderate","High"))</f>
        <v>High</v>
      </c>
      <c r="P1828" s="11" t="str">
        <f aca="false">IF(H1828=0,"Low",IF(H1828&lt;=MarkdownP75,"Moderate","High"))</f>
        <v>Moderate</v>
      </c>
      <c r="Q1828" s="11" t="str">
        <f aca="false">IF(ISBLANK(L1828),"Unknown",IF(L1828&gt;=4,"Good",IF(L1828&lt;=2,"Poor","Neutral")))</f>
        <v>Poor</v>
      </c>
      <c r="R1828" s="11" t="str">
        <f aca="false">IF(AND(O1828="Low",P1828="Low",Q1828="Good"),"BUY / PRIORITIZE",IF(AND(O1828="High",P1828="High",OR(Q1828="Poor",M1828=TRUE())),"HOLD / REVIEW","MONITOR"))</f>
        <v>MONITOR</v>
      </c>
      <c r="S1828" s="11" t="n">
        <f aca="false">K1828+(ROW()/10000000)</f>
        <v>41.0001828</v>
      </c>
    </row>
    <row r="1829" customFormat="false" ht="15" hidden="false" customHeight="false" outlineLevel="0" collapsed="false">
      <c r="A1829" s="11" t="s">
        <v>2181</v>
      </c>
      <c r="B1829" s="11" t="s">
        <v>26</v>
      </c>
      <c r="C1829" s="11" t="s">
        <v>107</v>
      </c>
      <c r="D1829" s="11" t="s">
        <v>36</v>
      </c>
      <c r="E1829" s="11" t="s">
        <v>102</v>
      </c>
      <c r="F1829" s="11" t="s">
        <v>92</v>
      </c>
      <c r="G1829" s="21" t="n">
        <v>49.08</v>
      </c>
      <c r="H1829" s="19" t="n">
        <v>19.9</v>
      </c>
      <c r="I1829" s="21" t="n">
        <v>39.31</v>
      </c>
      <c r="J1829" s="22" t="s">
        <v>80</v>
      </c>
      <c r="K1829" s="11" t="n">
        <v>46</v>
      </c>
      <c r="L1829" s="23" t="n">
        <v>1</v>
      </c>
      <c r="M1829" s="24" t="b">
        <f aca="false">TRUE()</f>
        <v>1</v>
      </c>
      <c r="N1829" s="11" t="s">
        <v>178</v>
      </c>
      <c r="O1829" s="11" t="str">
        <f aca="false">IF(K1829&lt;=StockP33,"Low",IF(K1829&lt;=StockP67,"Moderate","High"))</f>
        <v>High</v>
      </c>
      <c r="P1829" s="11" t="str">
        <f aca="false">IF(H1829=0,"Low",IF(H1829&lt;=MarkdownP75,"Moderate","High"))</f>
        <v>Moderate</v>
      </c>
      <c r="Q1829" s="11" t="str">
        <f aca="false">IF(ISBLANK(L1829),"Unknown",IF(L1829&gt;=4,"Good",IF(L1829&lt;=2,"Poor","Neutral")))</f>
        <v>Poor</v>
      </c>
      <c r="R1829" s="11" t="str">
        <f aca="false">IF(AND(O1829="Low",P1829="Low",Q1829="Good"),"BUY / PRIORITIZE",IF(AND(O1829="High",P1829="High",OR(Q1829="Poor",M1829=TRUE())),"HOLD / REVIEW","MONITOR"))</f>
        <v>MONITOR</v>
      </c>
      <c r="S1829" s="11" t="n">
        <f aca="false">K1829+(ROW()/10000000)</f>
        <v>46.0001829</v>
      </c>
    </row>
    <row r="1830" customFormat="false" ht="15" hidden="false" customHeight="false" outlineLevel="0" collapsed="false">
      <c r="A1830" s="11" t="s">
        <v>2182</v>
      </c>
      <c r="B1830" s="11" t="s">
        <v>29</v>
      </c>
      <c r="C1830" s="11" t="s">
        <v>130</v>
      </c>
      <c r="D1830" s="11" t="s">
        <v>37</v>
      </c>
      <c r="E1830" s="11" t="s">
        <v>113</v>
      </c>
      <c r="F1830" s="11" t="s">
        <v>79</v>
      </c>
      <c r="G1830" s="21" t="n">
        <v>182.47</v>
      </c>
      <c r="H1830" s="19" t="n">
        <v>27.1</v>
      </c>
      <c r="I1830" s="21" t="n">
        <v>133.02</v>
      </c>
      <c r="J1830" s="22" t="s">
        <v>80</v>
      </c>
      <c r="K1830" s="11" t="n">
        <v>40</v>
      </c>
      <c r="L1830" s="23"/>
      <c r="M1830" s="24" t="b">
        <f aca="false">FALSE()</f>
        <v>0</v>
      </c>
      <c r="N1830" s="11"/>
      <c r="O1830" s="11" t="str">
        <f aca="false">IF(K1830&lt;=StockP33,"Low",IF(K1830&lt;=StockP67,"Moderate","High"))</f>
        <v>High</v>
      </c>
      <c r="P1830" s="11" t="str">
        <f aca="false">IF(H1830=0,"Low",IF(H1830&lt;=MarkdownP75,"Moderate","High"))</f>
        <v>High</v>
      </c>
      <c r="Q1830" s="11" t="str">
        <f aca="false">IF(ISBLANK(L1830),"Unknown",IF(L1830&gt;=4,"Good",IF(L1830&lt;=2,"Poor","Neutral")))</f>
        <v>Unknown</v>
      </c>
      <c r="R1830" s="11" t="str">
        <f aca="false">IF(AND(O1830="Low",P1830="Low",Q1830="Good"),"BUY / PRIORITIZE",IF(AND(O1830="High",P1830="High",OR(Q1830="Poor",M1830=TRUE())),"HOLD / REVIEW","MONITOR"))</f>
        <v>MONITOR</v>
      </c>
      <c r="S1830" s="11" t="n">
        <f aca="false">K1830+(ROW()/10000000)</f>
        <v>40.000183</v>
      </c>
    </row>
    <row r="1831" customFormat="false" ht="15" hidden="false" customHeight="false" outlineLevel="0" collapsed="false">
      <c r="A1831" s="11" t="s">
        <v>2183</v>
      </c>
      <c r="B1831" s="11" t="s">
        <v>28</v>
      </c>
      <c r="C1831" s="11" t="s">
        <v>130</v>
      </c>
      <c r="D1831" s="11" t="s">
        <v>35</v>
      </c>
      <c r="E1831" s="11" t="s">
        <v>110</v>
      </c>
      <c r="F1831" s="11" t="s">
        <v>120</v>
      </c>
      <c r="G1831" s="21" t="n">
        <v>241.22</v>
      </c>
      <c r="H1831" s="19" t="n">
        <v>5.9</v>
      </c>
      <c r="I1831" s="21" t="n">
        <v>226.99</v>
      </c>
      <c r="J1831" s="22" t="s">
        <v>80</v>
      </c>
      <c r="K1831" s="11" t="n">
        <v>13</v>
      </c>
      <c r="L1831" s="23" t="n">
        <v>1.2</v>
      </c>
      <c r="M1831" s="24" t="b">
        <f aca="false">FALSE()</f>
        <v>0</v>
      </c>
      <c r="N1831" s="11"/>
      <c r="O1831" s="11" t="str">
        <f aca="false">IF(K1831&lt;=StockP33,"Low",IF(K1831&lt;=StockP67,"Moderate","High"))</f>
        <v>Low</v>
      </c>
      <c r="P1831" s="11" t="str">
        <f aca="false">IF(H1831=0,"Low",IF(H1831&lt;=MarkdownP75,"Moderate","High"))</f>
        <v>Moderate</v>
      </c>
      <c r="Q1831" s="11" t="str">
        <f aca="false">IF(ISBLANK(L1831),"Unknown",IF(L1831&gt;=4,"Good",IF(L1831&lt;=2,"Poor","Neutral")))</f>
        <v>Poor</v>
      </c>
      <c r="R1831" s="11" t="str">
        <f aca="false">IF(AND(O1831="Low",P1831="Low",Q1831="Good"),"BUY / PRIORITIZE",IF(AND(O1831="High",P1831="High",OR(Q1831="Poor",M1831=TRUE())),"HOLD / REVIEW","MONITOR"))</f>
        <v>MONITOR</v>
      </c>
      <c r="S1831" s="11" t="n">
        <f aca="false">K1831+(ROW()/10000000)</f>
        <v>13.0001831</v>
      </c>
    </row>
    <row r="1832" customFormat="false" ht="15" hidden="false" customHeight="false" outlineLevel="0" collapsed="false">
      <c r="A1832" s="11" t="s">
        <v>2184</v>
      </c>
      <c r="B1832" s="11" t="s">
        <v>27</v>
      </c>
      <c r="C1832" s="11" t="s">
        <v>107</v>
      </c>
      <c r="D1832" s="11" t="s">
        <v>34</v>
      </c>
      <c r="E1832" s="11" t="s">
        <v>102</v>
      </c>
      <c r="F1832" s="11" t="s">
        <v>96</v>
      </c>
      <c r="G1832" s="21" t="n">
        <v>78.3</v>
      </c>
      <c r="H1832" s="19" t="n">
        <v>0</v>
      </c>
      <c r="I1832" s="21" t="n">
        <v>78.3</v>
      </c>
      <c r="J1832" s="22" t="s">
        <v>605</v>
      </c>
      <c r="K1832" s="11" t="n">
        <v>19</v>
      </c>
      <c r="L1832" s="23" t="n">
        <v>3</v>
      </c>
      <c r="M1832" s="24" t="b">
        <f aca="false">FALSE()</f>
        <v>0</v>
      </c>
      <c r="N1832" s="11"/>
      <c r="O1832" s="11" t="str">
        <f aca="false">IF(K1832&lt;=StockP33,"Low",IF(K1832&lt;=StockP67,"Moderate","High"))</f>
        <v>Moderate</v>
      </c>
      <c r="P1832" s="11" t="str">
        <f aca="false">IF(H1832=0,"Low",IF(H1832&lt;=MarkdownP75,"Moderate","High"))</f>
        <v>Low</v>
      </c>
      <c r="Q1832" s="11" t="str">
        <f aca="false">IF(ISBLANK(L1832),"Unknown",IF(L1832&gt;=4,"Good",IF(L1832&lt;=2,"Poor","Neutral")))</f>
        <v>Neutral</v>
      </c>
      <c r="R1832" s="11" t="str">
        <f aca="false">IF(AND(O1832="Low",P1832="Low",Q1832="Good"),"BUY / PRIORITIZE",IF(AND(O1832="High",P1832="High",OR(Q1832="Poor",M1832=TRUE())),"HOLD / REVIEW","MONITOR"))</f>
        <v>MONITOR</v>
      </c>
      <c r="S1832" s="11" t="n">
        <f aca="false">K1832+(ROW()/10000000)</f>
        <v>19.0001832</v>
      </c>
    </row>
    <row r="1833" customFormat="false" ht="15" hidden="false" customHeight="false" outlineLevel="0" collapsed="false">
      <c r="A1833" s="11" t="s">
        <v>2185</v>
      </c>
      <c r="B1833" s="11" t="s">
        <v>29</v>
      </c>
      <c r="C1833" s="11" t="s">
        <v>86</v>
      </c>
      <c r="D1833" s="11" t="s">
        <v>37</v>
      </c>
      <c r="E1833" s="11" t="s">
        <v>113</v>
      </c>
      <c r="F1833" s="11" t="s">
        <v>120</v>
      </c>
      <c r="G1833" s="21" t="n">
        <v>73.93</v>
      </c>
      <c r="H1833" s="19" t="n">
        <v>0</v>
      </c>
      <c r="I1833" s="21" t="n">
        <v>73.93</v>
      </c>
      <c r="J1833" s="22" t="s">
        <v>80</v>
      </c>
      <c r="K1833" s="11" t="n">
        <v>0</v>
      </c>
      <c r="L1833" s="23"/>
      <c r="M1833" s="24" t="b">
        <f aca="false">FALSE()</f>
        <v>0</v>
      </c>
      <c r="N1833" s="11"/>
      <c r="O1833" s="11" t="str">
        <f aca="false">IF(K1833&lt;=StockP33,"Low",IF(K1833&lt;=StockP67,"Moderate","High"))</f>
        <v>Low</v>
      </c>
      <c r="P1833" s="11" t="str">
        <f aca="false">IF(H1833=0,"Low",IF(H1833&lt;=MarkdownP75,"Moderate","High"))</f>
        <v>Low</v>
      </c>
      <c r="Q1833" s="11" t="str">
        <f aca="false">IF(ISBLANK(L1833),"Unknown",IF(L1833&gt;=4,"Good",IF(L1833&lt;=2,"Poor","Neutral")))</f>
        <v>Unknown</v>
      </c>
      <c r="R1833" s="11" t="str">
        <f aca="false">IF(AND(O1833="Low",P1833="Low",Q1833="Good"),"BUY / PRIORITIZE",IF(AND(O1833="High",P1833="High",OR(Q1833="Poor",M1833=TRUE())),"HOLD / REVIEW","MONITOR"))</f>
        <v>MONITOR</v>
      </c>
      <c r="S1833" s="11" t="n">
        <f aca="false">K1833+(ROW()/10000000)</f>
        <v>0.0001833</v>
      </c>
    </row>
    <row r="1834" customFormat="false" ht="15" hidden="false" customHeight="false" outlineLevel="0" collapsed="false">
      <c r="A1834" s="11" t="s">
        <v>2186</v>
      </c>
      <c r="B1834" s="11" t="s">
        <v>26</v>
      </c>
      <c r="C1834" s="11" t="s">
        <v>101</v>
      </c>
      <c r="D1834" s="11" t="s">
        <v>35</v>
      </c>
      <c r="E1834" s="11" t="s">
        <v>102</v>
      </c>
      <c r="F1834" s="11" t="s">
        <v>98</v>
      </c>
      <c r="G1834" s="21" t="n">
        <v>97.5</v>
      </c>
      <c r="H1834" s="19" t="n">
        <v>0</v>
      </c>
      <c r="I1834" s="21" t="n">
        <v>97.5</v>
      </c>
      <c r="J1834" s="22" t="s">
        <v>80</v>
      </c>
      <c r="K1834" s="11" t="n">
        <v>43</v>
      </c>
      <c r="L1834" s="23" t="n">
        <v>1.6</v>
      </c>
      <c r="M1834" s="24" t="b">
        <f aca="false">FALSE()</f>
        <v>0</v>
      </c>
      <c r="N1834" s="11"/>
      <c r="O1834" s="11" t="str">
        <f aca="false">IF(K1834&lt;=StockP33,"Low",IF(K1834&lt;=StockP67,"Moderate","High"))</f>
        <v>High</v>
      </c>
      <c r="P1834" s="11" t="str">
        <f aca="false">IF(H1834=0,"Low",IF(H1834&lt;=MarkdownP75,"Moderate","High"))</f>
        <v>Low</v>
      </c>
      <c r="Q1834" s="11" t="str">
        <f aca="false">IF(ISBLANK(L1834),"Unknown",IF(L1834&gt;=4,"Good",IF(L1834&lt;=2,"Poor","Neutral")))</f>
        <v>Poor</v>
      </c>
      <c r="R1834" s="11" t="str">
        <f aca="false">IF(AND(O1834="Low",P1834="Low",Q1834="Good"),"BUY / PRIORITIZE",IF(AND(O1834="High",P1834="High",OR(Q1834="Poor",M1834=TRUE())),"HOLD / REVIEW","MONITOR"))</f>
        <v>MONITOR</v>
      </c>
      <c r="S1834" s="11" t="n">
        <f aca="false">K1834+(ROW()/10000000)</f>
        <v>43.0001834</v>
      </c>
    </row>
    <row r="1835" customFormat="false" ht="15" hidden="false" customHeight="false" outlineLevel="0" collapsed="false">
      <c r="A1835" s="11" t="s">
        <v>2187</v>
      </c>
      <c r="B1835" s="11" t="s">
        <v>30</v>
      </c>
      <c r="C1835" s="11" t="s">
        <v>107</v>
      </c>
      <c r="D1835" s="11" t="s">
        <v>35</v>
      </c>
      <c r="E1835" s="11" t="s">
        <v>110</v>
      </c>
      <c r="F1835" s="11" t="s">
        <v>98</v>
      </c>
      <c r="G1835" s="21" t="n">
        <v>38.9</v>
      </c>
      <c r="H1835" s="19" t="n">
        <v>0</v>
      </c>
      <c r="I1835" s="21" t="n">
        <v>38.9</v>
      </c>
      <c r="J1835" s="22" t="s">
        <v>80</v>
      </c>
      <c r="K1835" s="11" t="n">
        <v>1</v>
      </c>
      <c r="L1835" s="23" t="n">
        <v>5</v>
      </c>
      <c r="M1835" s="24" t="b">
        <f aca="false">FALSE()</f>
        <v>0</v>
      </c>
      <c r="N1835" s="11"/>
      <c r="O1835" s="11" t="str">
        <f aca="false">IF(K1835&lt;=StockP33,"Low",IF(K1835&lt;=StockP67,"Moderate","High"))</f>
        <v>Low</v>
      </c>
      <c r="P1835" s="11" t="str">
        <f aca="false">IF(H1835=0,"Low",IF(H1835&lt;=MarkdownP75,"Moderate","High"))</f>
        <v>Low</v>
      </c>
      <c r="Q1835" s="11" t="str">
        <f aca="false">IF(ISBLANK(L1835),"Unknown",IF(L1835&gt;=4,"Good",IF(L1835&lt;=2,"Poor","Neutral")))</f>
        <v>Good</v>
      </c>
      <c r="R1835" s="11" t="str">
        <f aca="false">IF(AND(O1835="Low",P1835="Low",Q1835="Good"),"BUY / PRIORITIZE",IF(AND(O1835="High",P1835="High",OR(Q1835="Poor",M1835=TRUE())),"HOLD / REVIEW","MONITOR"))</f>
        <v>BUY / PRIORITIZE</v>
      </c>
      <c r="S1835" s="11" t="n">
        <f aca="false">K1835+(ROW()/10000000)</f>
        <v>1.0001835</v>
      </c>
    </row>
    <row r="1836" customFormat="false" ht="15" hidden="false" customHeight="false" outlineLevel="0" collapsed="false">
      <c r="A1836" s="11" t="s">
        <v>2188</v>
      </c>
      <c r="B1836" s="11" t="s">
        <v>29</v>
      </c>
      <c r="C1836" s="11" t="s">
        <v>86</v>
      </c>
      <c r="D1836" s="11" t="s">
        <v>35</v>
      </c>
      <c r="E1836" s="11" t="s">
        <v>91</v>
      </c>
      <c r="F1836" s="11" t="s">
        <v>96</v>
      </c>
      <c r="G1836" s="21" t="n">
        <v>95.52</v>
      </c>
      <c r="H1836" s="19" t="n">
        <v>0</v>
      </c>
      <c r="I1836" s="21" t="n">
        <v>95.52</v>
      </c>
      <c r="J1836" s="22" t="s">
        <v>80</v>
      </c>
      <c r="K1836" s="11" t="n">
        <v>47</v>
      </c>
      <c r="L1836" s="23" t="n">
        <v>3.9</v>
      </c>
      <c r="M1836" s="24" t="b">
        <f aca="false">FALSE()</f>
        <v>0</v>
      </c>
      <c r="N1836" s="11"/>
      <c r="O1836" s="11" t="str">
        <f aca="false">IF(K1836&lt;=StockP33,"Low",IF(K1836&lt;=StockP67,"Moderate","High"))</f>
        <v>High</v>
      </c>
      <c r="P1836" s="11" t="str">
        <f aca="false">IF(H1836=0,"Low",IF(H1836&lt;=MarkdownP75,"Moderate","High"))</f>
        <v>Low</v>
      </c>
      <c r="Q1836" s="11" t="str">
        <f aca="false">IF(ISBLANK(L1836),"Unknown",IF(L1836&gt;=4,"Good",IF(L1836&lt;=2,"Poor","Neutral")))</f>
        <v>Neutral</v>
      </c>
      <c r="R1836" s="11" t="str">
        <f aca="false">IF(AND(O1836="Low",P1836="Low",Q1836="Good"),"BUY / PRIORITIZE",IF(AND(O1836="High",P1836="High",OR(Q1836="Poor",M1836=TRUE())),"HOLD / REVIEW","MONITOR"))</f>
        <v>MONITOR</v>
      </c>
      <c r="S1836" s="11" t="n">
        <f aca="false">K1836+(ROW()/10000000)</f>
        <v>47.0001836</v>
      </c>
    </row>
    <row r="1837" customFormat="false" ht="15" hidden="false" customHeight="false" outlineLevel="0" collapsed="false">
      <c r="A1837" s="11" t="s">
        <v>2189</v>
      </c>
      <c r="B1837" s="11" t="s">
        <v>28</v>
      </c>
      <c r="C1837" s="11" t="s">
        <v>72</v>
      </c>
      <c r="D1837" s="11" t="s">
        <v>36</v>
      </c>
      <c r="E1837" s="11" t="s">
        <v>113</v>
      </c>
      <c r="F1837" s="11" t="s">
        <v>74</v>
      </c>
      <c r="G1837" s="21" t="n">
        <v>158.64</v>
      </c>
      <c r="H1837" s="19" t="n">
        <v>50.2</v>
      </c>
      <c r="I1837" s="21" t="n">
        <v>79</v>
      </c>
      <c r="J1837" s="22" t="s">
        <v>80</v>
      </c>
      <c r="K1837" s="11" t="n">
        <v>7</v>
      </c>
      <c r="L1837" s="23" t="n">
        <v>3</v>
      </c>
      <c r="M1837" s="24" t="b">
        <f aca="false">TRUE()</f>
        <v>1</v>
      </c>
      <c r="N1837" s="11" t="s">
        <v>178</v>
      </c>
      <c r="O1837" s="11" t="str">
        <f aca="false">IF(K1837&lt;=StockP33,"Low",IF(K1837&lt;=StockP67,"Moderate","High"))</f>
        <v>Low</v>
      </c>
      <c r="P1837" s="11" t="str">
        <f aca="false">IF(H1837=0,"Low",IF(H1837&lt;=MarkdownP75,"Moderate","High"))</f>
        <v>High</v>
      </c>
      <c r="Q1837" s="11" t="str">
        <f aca="false">IF(ISBLANK(L1837),"Unknown",IF(L1837&gt;=4,"Good",IF(L1837&lt;=2,"Poor","Neutral")))</f>
        <v>Neutral</v>
      </c>
      <c r="R1837" s="11" t="str">
        <f aca="false">IF(AND(O1837="Low",P1837="Low",Q1837="Good"),"BUY / PRIORITIZE",IF(AND(O1837="High",P1837="High",OR(Q1837="Poor",M1837=TRUE())),"HOLD / REVIEW","MONITOR"))</f>
        <v>MONITOR</v>
      </c>
      <c r="S1837" s="11" t="n">
        <f aca="false">K1837+(ROW()/10000000)</f>
        <v>7.0001837</v>
      </c>
    </row>
    <row r="1838" customFormat="false" ht="15" hidden="false" customHeight="false" outlineLevel="0" collapsed="false">
      <c r="A1838" s="11" t="s">
        <v>2190</v>
      </c>
      <c r="B1838" s="11" t="s">
        <v>30</v>
      </c>
      <c r="C1838" s="11" t="s">
        <v>95</v>
      </c>
      <c r="D1838" s="11" t="s">
        <v>36</v>
      </c>
      <c r="E1838" s="11" t="s">
        <v>73</v>
      </c>
      <c r="F1838" s="11" t="s">
        <v>118</v>
      </c>
      <c r="G1838" s="21" t="n">
        <v>26.11</v>
      </c>
      <c r="H1838" s="19" t="n">
        <v>0</v>
      </c>
      <c r="I1838" s="21" t="n">
        <v>26.11</v>
      </c>
      <c r="J1838" s="22" t="s">
        <v>80</v>
      </c>
      <c r="K1838" s="11" t="n">
        <v>41</v>
      </c>
      <c r="L1838" s="23" t="n">
        <v>4.3</v>
      </c>
      <c r="M1838" s="24" t="b">
        <f aca="false">FALSE()</f>
        <v>0</v>
      </c>
      <c r="N1838" s="11"/>
      <c r="O1838" s="11" t="str">
        <f aca="false">IF(K1838&lt;=StockP33,"Low",IF(K1838&lt;=StockP67,"Moderate","High"))</f>
        <v>High</v>
      </c>
      <c r="P1838" s="11" t="str">
        <f aca="false">IF(H1838=0,"Low",IF(H1838&lt;=MarkdownP75,"Moderate","High"))</f>
        <v>Low</v>
      </c>
      <c r="Q1838" s="11" t="str">
        <f aca="false">IF(ISBLANK(L1838),"Unknown",IF(L1838&gt;=4,"Good",IF(L1838&lt;=2,"Poor","Neutral")))</f>
        <v>Good</v>
      </c>
      <c r="R1838" s="11" t="str">
        <f aca="false">IF(AND(O1838="Low",P1838="Low",Q1838="Good"),"BUY / PRIORITIZE",IF(AND(O1838="High",P1838="High",OR(Q1838="Poor",M1838=TRUE())),"HOLD / REVIEW","MONITOR"))</f>
        <v>MONITOR</v>
      </c>
      <c r="S1838" s="11" t="n">
        <f aca="false">K1838+(ROW()/10000000)</f>
        <v>41.0001838</v>
      </c>
    </row>
    <row r="1839" customFormat="false" ht="15" hidden="false" customHeight="false" outlineLevel="0" collapsed="false">
      <c r="A1839" s="11" t="s">
        <v>2191</v>
      </c>
      <c r="B1839" s="11" t="s">
        <v>29</v>
      </c>
      <c r="C1839" s="11" t="s">
        <v>130</v>
      </c>
      <c r="D1839" s="11" t="s">
        <v>34</v>
      </c>
      <c r="E1839" s="11"/>
      <c r="F1839" s="11" t="s">
        <v>88</v>
      </c>
      <c r="G1839" s="21" t="n">
        <v>107.09</v>
      </c>
      <c r="H1839" s="19" t="n">
        <v>43.1</v>
      </c>
      <c r="I1839" s="21" t="n">
        <v>60.93</v>
      </c>
      <c r="J1839" s="22" t="s">
        <v>1263</v>
      </c>
      <c r="K1839" s="11" t="n">
        <v>16</v>
      </c>
      <c r="L1839" s="23" t="n">
        <v>4.7</v>
      </c>
      <c r="M1839" s="24" t="b">
        <f aca="false">TRUE()</f>
        <v>1</v>
      </c>
      <c r="N1839" s="11" t="s">
        <v>178</v>
      </c>
      <c r="O1839" s="11" t="str">
        <f aca="false">IF(K1839&lt;=StockP33,"Low",IF(K1839&lt;=StockP67,"Moderate","High"))</f>
        <v>Low</v>
      </c>
      <c r="P1839" s="11" t="str">
        <f aca="false">IF(H1839=0,"Low",IF(H1839&lt;=MarkdownP75,"Moderate","High"))</f>
        <v>High</v>
      </c>
      <c r="Q1839" s="11" t="str">
        <f aca="false">IF(ISBLANK(L1839),"Unknown",IF(L1839&gt;=4,"Good",IF(L1839&lt;=2,"Poor","Neutral")))</f>
        <v>Good</v>
      </c>
      <c r="R1839" s="11" t="str">
        <f aca="false">IF(AND(O1839="Low",P1839="Low",Q1839="Good"),"BUY / PRIORITIZE",IF(AND(O1839="High",P1839="High",OR(Q1839="Poor",M1839=TRUE())),"HOLD / REVIEW","MONITOR"))</f>
        <v>MONITOR</v>
      </c>
      <c r="S1839" s="11" t="n">
        <f aca="false">K1839+(ROW()/10000000)</f>
        <v>16.0001839</v>
      </c>
    </row>
    <row r="1840" customFormat="false" ht="15" hidden="false" customHeight="false" outlineLevel="0" collapsed="false">
      <c r="A1840" s="11" t="s">
        <v>2192</v>
      </c>
      <c r="B1840" s="11" t="s">
        <v>8</v>
      </c>
      <c r="C1840" s="11" t="s">
        <v>116</v>
      </c>
      <c r="D1840" s="11" t="s">
        <v>35</v>
      </c>
      <c r="E1840" s="11"/>
      <c r="F1840" s="11" t="s">
        <v>82</v>
      </c>
      <c r="G1840" s="21" t="n">
        <v>71.42</v>
      </c>
      <c r="H1840" s="19" t="n">
        <v>38</v>
      </c>
      <c r="I1840" s="21" t="n">
        <v>44.28</v>
      </c>
      <c r="J1840" s="22" t="s">
        <v>80</v>
      </c>
      <c r="K1840" s="11" t="n">
        <v>49</v>
      </c>
      <c r="L1840" s="23" t="n">
        <v>2.8</v>
      </c>
      <c r="M1840" s="24" t="b">
        <f aca="false">FALSE()</f>
        <v>0</v>
      </c>
      <c r="N1840" s="11"/>
      <c r="O1840" s="11" t="str">
        <f aca="false">IF(K1840&lt;=StockP33,"Low",IF(K1840&lt;=StockP67,"Moderate","High"))</f>
        <v>High</v>
      </c>
      <c r="P1840" s="11" t="str">
        <f aca="false">IF(H1840=0,"Low",IF(H1840&lt;=MarkdownP75,"Moderate","High"))</f>
        <v>High</v>
      </c>
      <c r="Q1840" s="11" t="str">
        <f aca="false">IF(ISBLANK(L1840),"Unknown",IF(L1840&gt;=4,"Good",IF(L1840&lt;=2,"Poor","Neutral")))</f>
        <v>Neutral</v>
      </c>
      <c r="R1840" s="11" t="str">
        <f aca="false">IF(AND(O1840="Low",P1840="Low",Q1840="Good"),"BUY / PRIORITIZE",IF(AND(O1840="High",P1840="High",OR(Q1840="Poor",M1840=TRUE())),"HOLD / REVIEW","MONITOR"))</f>
        <v>MONITOR</v>
      </c>
      <c r="S1840" s="11" t="n">
        <f aca="false">K1840+(ROW()/10000000)</f>
        <v>49.000184</v>
      </c>
    </row>
    <row r="1841" customFormat="false" ht="15" hidden="false" customHeight="false" outlineLevel="0" collapsed="false">
      <c r="A1841" s="11" t="s">
        <v>2193</v>
      </c>
      <c r="B1841" s="11" t="s">
        <v>29</v>
      </c>
      <c r="C1841" s="11" t="s">
        <v>72</v>
      </c>
      <c r="D1841" s="11" t="s">
        <v>35</v>
      </c>
      <c r="E1841" s="11" t="s">
        <v>73</v>
      </c>
      <c r="F1841" s="11" t="s">
        <v>74</v>
      </c>
      <c r="G1841" s="21" t="n">
        <v>124.56</v>
      </c>
      <c r="H1841" s="19" t="n">
        <v>0</v>
      </c>
      <c r="I1841" s="21" t="n">
        <v>124.56</v>
      </c>
      <c r="J1841" s="22" t="s">
        <v>80</v>
      </c>
      <c r="K1841" s="11" t="n">
        <v>18</v>
      </c>
      <c r="L1841" s="23" t="n">
        <v>3</v>
      </c>
      <c r="M1841" s="24" t="b">
        <f aca="false">FALSE()</f>
        <v>0</v>
      </c>
      <c r="N1841" s="11"/>
      <c r="O1841" s="11" t="str">
        <f aca="false">IF(K1841&lt;=StockP33,"Low",IF(K1841&lt;=StockP67,"Moderate","High"))</f>
        <v>Moderate</v>
      </c>
      <c r="P1841" s="11" t="str">
        <f aca="false">IF(H1841=0,"Low",IF(H1841&lt;=MarkdownP75,"Moderate","High"))</f>
        <v>Low</v>
      </c>
      <c r="Q1841" s="11" t="str">
        <f aca="false">IF(ISBLANK(L1841),"Unknown",IF(L1841&gt;=4,"Good",IF(L1841&lt;=2,"Poor","Neutral")))</f>
        <v>Neutral</v>
      </c>
      <c r="R1841" s="11" t="str">
        <f aca="false">IF(AND(O1841="Low",P1841="Low",Q1841="Good"),"BUY / PRIORITIZE",IF(AND(O1841="High",P1841="High",OR(Q1841="Poor",M1841=TRUE())),"HOLD / REVIEW","MONITOR"))</f>
        <v>MONITOR</v>
      </c>
      <c r="S1841" s="11" t="n">
        <f aca="false">K1841+(ROW()/10000000)</f>
        <v>18.0001841</v>
      </c>
    </row>
    <row r="1842" customFormat="false" ht="15" hidden="false" customHeight="false" outlineLevel="0" collapsed="false">
      <c r="A1842" s="11" t="s">
        <v>2194</v>
      </c>
      <c r="B1842" s="11" t="s">
        <v>26</v>
      </c>
      <c r="C1842" s="11" t="s">
        <v>77</v>
      </c>
      <c r="D1842" s="11" t="s">
        <v>35</v>
      </c>
      <c r="E1842" s="11" t="s">
        <v>78</v>
      </c>
      <c r="F1842" s="11" t="s">
        <v>120</v>
      </c>
      <c r="G1842" s="21" t="n">
        <v>30.91</v>
      </c>
      <c r="H1842" s="19" t="n">
        <v>0</v>
      </c>
      <c r="I1842" s="21" t="n">
        <v>30.91</v>
      </c>
      <c r="J1842" s="22" t="s">
        <v>80</v>
      </c>
      <c r="K1842" s="11" t="n">
        <v>45</v>
      </c>
      <c r="L1842" s="23" t="n">
        <v>1.8</v>
      </c>
      <c r="M1842" s="24" t="b">
        <f aca="false">FALSE()</f>
        <v>0</v>
      </c>
      <c r="N1842" s="11"/>
      <c r="O1842" s="11" t="str">
        <f aca="false">IF(K1842&lt;=StockP33,"Low",IF(K1842&lt;=StockP67,"Moderate","High"))</f>
        <v>High</v>
      </c>
      <c r="P1842" s="11" t="str">
        <f aca="false">IF(H1842=0,"Low",IF(H1842&lt;=MarkdownP75,"Moderate","High"))</f>
        <v>Low</v>
      </c>
      <c r="Q1842" s="11" t="str">
        <f aca="false">IF(ISBLANK(L1842),"Unknown",IF(L1842&gt;=4,"Good",IF(L1842&lt;=2,"Poor","Neutral")))</f>
        <v>Poor</v>
      </c>
      <c r="R1842" s="11" t="str">
        <f aca="false">IF(AND(O1842="Low",P1842="Low",Q1842="Good"),"BUY / PRIORITIZE",IF(AND(O1842="High",P1842="High",OR(Q1842="Poor",M1842=TRUE())),"HOLD / REVIEW","MONITOR"))</f>
        <v>MONITOR</v>
      </c>
      <c r="S1842" s="11" t="n">
        <f aca="false">K1842+(ROW()/10000000)</f>
        <v>45.0001842</v>
      </c>
    </row>
    <row r="1843" customFormat="false" ht="15" hidden="false" customHeight="false" outlineLevel="0" collapsed="false">
      <c r="A1843" s="11" t="s">
        <v>2195</v>
      </c>
      <c r="B1843" s="11" t="s">
        <v>30</v>
      </c>
      <c r="C1843" s="11" t="s">
        <v>72</v>
      </c>
      <c r="D1843" s="11" t="s">
        <v>37</v>
      </c>
      <c r="E1843" s="11" t="s">
        <v>110</v>
      </c>
      <c r="F1843" s="11" t="s">
        <v>111</v>
      </c>
      <c r="G1843" s="21" t="n">
        <v>53.37</v>
      </c>
      <c r="H1843" s="19" t="n">
        <v>0</v>
      </c>
      <c r="I1843" s="21" t="n">
        <v>53.37</v>
      </c>
      <c r="J1843" s="22" t="s">
        <v>80</v>
      </c>
      <c r="K1843" s="11" t="n">
        <v>15</v>
      </c>
      <c r="L1843" s="23" t="n">
        <v>1.1</v>
      </c>
      <c r="M1843" s="24" t="b">
        <f aca="false">FALSE()</f>
        <v>0</v>
      </c>
      <c r="N1843" s="11"/>
      <c r="O1843" s="11" t="str">
        <f aca="false">IF(K1843&lt;=StockP33,"Low",IF(K1843&lt;=StockP67,"Moderate","High"))</f>
        <v>Low</v>
      </c>
      <c r="P1843" s="11" t="str">
        <f aca="false">IF(H1843=0,"Low",IF(H1843&lt;=MarkdownP75,"Moderate","High"))</f>
        <v>Low</v>
      </c>
      <c r="Q1843" s="11" t="str">
        <f aca="false">IF(ISBLANK(L1843),"Unknown",IF(L1843&gt;=4,"Good",IF(L1843&lt;=2,"Poor","Neutral")))</f>
        <v>Poor</v>
      </c>
      <c r="R1843" s="11" t="str">
        <f aca="false">IF(AND(O1843="Low",P1843="Low",Q1843="Good"),"BUY / PRIORITIZE",IF(AND(O1843="High",P1843="High",OR(Q1843="Poor",M1843=TRUE())),"HOLD / REVIEW","MONITOR"))</f>
        <v>MONITOR</v>
      </c>
      <c r="S1843" s="11" t="n">
        <f aca="false">K1843+(ROW()/10000000)</f>
        <v>15.0001843</v>
      </c>
    </row>
    <row r="1844" customFormat="false" ht="15" hidden="false" customHeight="false" outlineLevel="0" collapsed="false">
      <c r="A1844" s="11" t="s">
        <v>2196</v>
      </c>
      <c r="B1844" s="11" t="s">
        <v>29</v>
      </c>
      <c r="C1844" s="11" t="s">
        <v>116</v>
      </c>
      <c r="D1844" s="11" t="s">
        <v>35</v>
      </c>
      <c r="E1844" s="11" t="s">
        <v>73</v>
      </c>
      <c r="F1844" s="11" t="s">
        <v>98</v>
      </c>
      <c r="G1844" s="21" t="n">
        <v>159.16</v>
      </c>
      <c r="H1844" s="19" t="n">
        <v>0</v>
      </c>
      <c r="I1844" s="21" t="n">
        <v>159.16</v>
      </c>
      <c r="J1844" s="22" t="s">
        <v>80</v>
      </c>
      <c r="K1844" s="11" t="n">
        <v>40</v>
      </c>
      <c r="L1844" s="23"/>
      <c r="M1844" s="24" t="b">
        <f aca="false">TRUE()</f>
        <v>1</v>
      </c>
      <c r="N1844" s="11" t="s">
        <v>178</v>
      </c>
      <c r="O1844" s="11" t="str">
        <f aca="false">IF(K1844&lt;=StockP33,"Low",IF(K1844&lt;=StockP67,"Moderate","High"))</f>
        <v>High</v>
      </c>
      <c r="P1844" s="11" t="str">
        <f aca="false">IF(H1844=0,"Low",IF(H1844&lt;=MarkdownP75,"Moderate","High"))</f>
        <v>Low</v>
      </c>
      <c r="Q1844" s="11" t="str">
        <f aca="false">IF(ISBLANK(L1844),"Unknown",IF(L1844&gt;=4,"Good",IF(L1844&lt;=2,"Poor","Neutral")))</f>
        <v>Unknown</v>
      </c>
      <c r="R1844" s="11" t="str">
        <f aca="false">IF(AND(O1844="Low",P1844="Low",Q1844="Good"),"BUY / PRIORITIZE",IF(AND(O1844="High",P1844="High",OR(Q1844="Poor",M1844=TRUE())),"HOLD / REVIEW","MONITOR"))</f>
        <v>MONITOR</v>
      </c>
      <c r="S1844" s="11" t="n">
        <f aca="false">K1844+(ROW()/10000000)</f>
        <v>40.0001844</v>
      </c>
    </row>
    <row r="1845" customFormat="false" ht="15" hidden="false" customHeight="false" outlineLevel="0" collapsed="false">
      <c r="A1845" s="11" t="s">
        <v>2197</v>
      </c>
      <c r="B1845" s="11" t="s">
        <v>27</v>
      </c>
      <c r="C1845" s="11" t="s">
        <v>95</v>
      </c>
      <c r="D1845" s="11" t="s">
        <v>36</v>
      </c>
      <c r="E1845" s="11" t="s">
        <v>91</v>
      </c>
      <c r="F1845" s="11" t="s">
        <v>79</v>
      </c>
      <c r="G1845" s="21" t="n">
        <v>169.64</v>
      </c>
      <c r="H1845" s="19" t="n">
        <v>0</v>
      </c>
      <c r="I1845" s="21" t="n">
        <v>169.64</v>
      </c>
      <c r="J1845" s="22" t="s">
        <v>80</v>
      </c>
      <c r="K1845" s="11" t="n">
        <v>5</v>
      </c>
      <c r="L1845" s="23" t="n">
        <v>1.6</v>
      </c>
      <c r="M1845" s="24" t="b">
        <f aca="false">FALSE()</f>
        <v>0</v>
      </c>
      <c r="N1845" s="11"/>
      <c r="O1845" s="11" t="str">
        <f aca="false">IF(K1845&lt;=StockP33,"Low",IF(K1845&lt;=StockP67,"Moderate","High"))</f>
        <v>Low</v>
      </c>
      <c r="P1845" s="11" t="str">
        <f aca="false">IF(H1845=0,"Low",IF(H1845&lt;=MarkdownP75,"Moderate","High"))</f>
        <v>Low</v>
      </c>
      <c r="Q1845" s="11" t="str">
        <f aca="false">IF(ISBLANK(L1845),"Unknown",IF(L1845&gt;=4,"Good",IF(L1845&lt;=2,"Poor","Neutral")))</f>
        <v>Poor</v>
      </c>
      <c r="R1845" s="11" t="str">
        <f aca="false">IF(AND(O1845="Low",P1845="Low",Q1845="Good"),"BUY / PRIORITIZE",IF(AND(O1845="High",P1845="High",OR(Q1845="Poor",M1845=TRUE())),"HOLD / REVIEW","MONITOR"))</f>
        <v>MONITOR</v>
      </c>
      <c r="S1845" s="11" t="n">
        <f aca="false">K1845+(ROW()/10000000)</f>
        <v>5.0001845</v>
      </c>
    </row>
    <row r="1846" customFormat="false" ht="15" hidden="false" customHeight="false" outlineLevel="0" collapsed="false">
      <c r="A1846" s="11" t="s">
        <v>2198</v>
      </c>
      <c r="B1846" s="11" t="s">
        <v>8</v>
      </c>
      <c r="C1846" s="11" t="s">
        <v>116</v>
      </c>
      <c r="D1846" s="11" t="s">
        <v>35</v>
      </c>
      <c r="E1846" s="11"/>
      <c r="F1846" s="11" t="s">
        <v>96</v>
      </c>
      <c r="G1846" s="21" t="n">
        <v>59.94</v>
      </c>
      <c r="H1846" s="19" t="n">
        <v>0</v>
      </c>
      <c r="I1846" s="21" t="n">
        <v>59.94</v>
      </c>
      <c r="J1846" s="22" t="s">
        <v>80</v>
      </c>
      <c r="K1846" s="11" t="n">
        <v>7</v>
      </c>
      <c r="L1846" s="23" t="n">
        <v>4</v>
      </c>
      <c r="M1846" s="24" t="b">
        <f aca="false">FALSE()</f>
        <v>0</v>
      </c>
      <c r="N1846" s="11"/>
      <c r="O1846" s="11" t="str">
        <f aca="false">IF(K1846&lt;=StockP33,"Low",IF(K1846&lt;=StockP67,"Moderate","High"))</f>
        <v>Low</v>
      </c>
      <c r="P1846" s="11" t="str">
        <f aca="false">IF(H1846=0,"Low",IF(H1846&lt;=MarkdownP75,"Moderate","High"))</f>
        <v>Low</v>
      </c>
      <c r="Q1846" s="11" t="str">
        <f aca="false">IF(ISBLANK(L1846),"Unknown",IF(L1846&gt;=4,"Good",IF(L1846&lt;=2,"Poor","Neutral")))</f>
        <v>Good</v>
      </c>
      <c r="R1846" s="11" t="str">
        <f aca="false">IF(AND(O1846="Low",P1846="Low",Q1846="Good"),"BUY / PRIORITIZE",IF(AND(O1846="High",P1846="High",OR(Q1846="Poor",M1846=TRUE())),"HOLD / REVIEW","MONITOR"))</f>
        <v>BUY / PRIORITIZE</v>
      </c>
      <c r="S1846" s="11" t="n">
        <f aca="false">K1846+(ROW()/10000000)</f>
        <v>7.0001846</v>
      </c>
    </row>
    <row r="1847" customFormat="false" ht="15" hidden="false" customHeight="false" outlineLevel="0" collapsed="false">
      <c r="A1847" s="11" t="s">
        <v>2199</v>
      </c>
      <c r="B1847" s="11" t="s">
        <v>27</v>
      </c>
      <c r="C1847" s="11" t="s">
        <v>116</v>
      </c>
      <c r="D1847" s="11" t="s">
        <v>36</v>
      </c>
      <c r="E1847" s="11" t="s">
        <v>73</v>
      </c>
      <c r="F1847" s="11" t="s">
        <v>120</v>
      </c>
      <c r="G1847" s="21" t="n">
        <v>92.59</v>
      </c>
      <c r="H1847" s="19" t="n">
        <v>0</v>
      </c>
      <c r="I1847" s="21" t="n">
        <v>92.59</v>
      </c>
      <c r="J1847" s="22" t="s">
        <v>80</v>
      </c>
      <c r="K1847" s="11" t="n">
        <v>29</v>
      </c>
      <c r="L1847" s="23" t="n">
        <v>3.5</v>
      </c>
      <c r="M1847" s="24" t="b">
        <f aca="false">TRUE()</f>
        <v>1</v>
      </c>
      <c r="N1847" s="11" t="s">
        <v>128</v>
      </c>
      <c r="O1847" s="11" t="str">
        <f aca="false">IF(K1847&lt;=StockP33,"Low",IF(K1847&lt;=StockP67,"Moderate","High"))</f>
        <v>Moderate</v>
      </c>
      <c r="P1847" s="11" t="str">
        <f aca="false">IF(H1847=0,"Low",IF(H1847&lt;=MarkdownP75,"Moderate","High"))</f>
        <v>Low</v>
      </c>
      <c r="Q1847" s="11" t="str">
        <f aca="false">IF(ISBLANK(L1847),"Unknown",IF(L1847&gt;=4,"Good",IF(L1847&lt;=2,"Poor","Neutral")))</f>
        <v>Neutral</v>
      </c>
      <c r="R1847" s="11" t="str">
        <f aca="false">IF(AND(O1847="Low",P1847="Low",Q1847="Good"),"BUY / PRIORITIZE",IF(AND(O1847="High",P1847="High",OR(Q1847="Poor",M1847=TRUE())),"HOLD / REVIEW","MONITOR"))</f>
        <v>MONITOR</v>
      </c>
      <c r="S1847" s="11" t="n">
        <f aca="false">K1847+(ROW()/10000000)</f>
        <v>29.0001847</v>
      </c>
    </row>
    <row r="1848" customFormat="false" ht="15" hidden="false" customHeight="false" outlineLevel="0" collapsed="false">
      <c r="A1848" s="11" t="s">
        <v>2200</v>
      </c>
      <c r="B1848" s="11" t="s">
        <v>26</v>
      </c>
      <c r="C1848" s="11" t="s">
        <v>101</v>
      </c>
      <c r="D1848" s="11" t="s">
        <v>34</v>
      </c>
      <c r="E1848" s="11" t="s">
        <v>91</v>
      </c>
      <c r="F1848" s="11" t="s">
        <v>88</v>
      </c>
      <c r="G1848" s="21" t="n">
        <v>64.07</v>
      </c>
      <c r="H1848" s="19" t="n">
        <v>0</v>
      </c>
      <c r="I1848" s="21" t="n">
        <v>64.07</v>
      </c>
      <c r="J1848" s="22" t="s">
        <v>766</v>
      </c>
      <c r="K1848" s="11" t="n">
        <v>10</v>
      </c>
      <c r="L1848" s="23"/>
      <c r="M1848" s="24" t="b">
        <f aca="false">FALSE()</f>
        <v>0</v>
      </c>
      <c r="N1848" s="11"/>
      <c r="O1848" s="11" t="str">
        <f aca="false">IF(K1848&lt;=StockP33,"Low",IF(K1848&lt;=StockP67,"Moderate","High"))</f>
        <v>Low</v>
      </c>
      <c r="P1848" s="11" t="str">
        <f aca="false">IF(H1848=0,"Low",IF(H1848&lt;=MarkdownP75,"Moderate","High"))</f>
        <v>Low</v>
      </c>
      <c r="Q1848" s="11" t="str">
        <f aca="false">IF(ISBLANK(L1848),"Unknown",IF(L1848&gt;=4,"Good",IF(L1848&lt;=2,"Poor","Neutral")))</f>
        <v>Unknown</v>
      </c>
      <c r="R1848" s="11" t="str">
        <f aca="false">IF(AND(O1848="Low",P1848="Low",Q1848="Good"),"BUY / PRIORITIZE",IF(AND(O1848="High",P1848="High",OR(Q1848="Poor",M1848=TRUE())),"HOLD / REVIEW","MONITOR"))</f>
        <v>MONITOR</v>
      </c>
      <c r="S1848" s="11" t="n">
        <f aca="false">K1848+(ROW()/10000000)</f>
        <v>10.0001848</v>
      </c>
    </row>
    <row r="1849" customFormat="false" ht="15" hidden="false" customHeight="false" outlineLevel="0" collapsed="false">
      <c r="A1849" s="11" t="s">
        <v>2201</v>
      </c>
      <c r="B1849" s="11" t="s">
        <v>27</v>
      </c>
      <c r="C1849" s="11" t="s">
        <v>130</v>
      </c>
      <c r="D1849" s="11" t="s">
        <v>36</v>
      </c>
      <c r="E1849" s="11" t="s">
        <v>110</v>
      </c>
      <c r="F1849" s="11" t="s">
        <v>96</v>
      </c>
      <c r="G1849" s="21" t="n">
        <v>127.87</v>
      </c>
      <c r="H1849" s="19" t="n">
        <v>54.6</v>
      </c>
      <c r="I1849" s="21" t="n">
        <v>58.05</v>
      </c>
      <c r="J1849" s="22" t="s">
        <v>80</v>
      </c>
      <c r="K1849" s="11" t="n">
        <v>14</v>
      </c>
      <c r="L1849" s="23" t="n">
        <v>4.4</v>
      </c>
      <c r="M1849" s="24" t="b">
        <f aca="false">FALSE()</f>
        <v>0</v>
      </c>
      <c r="N1849" s="11"/>
      <c r="O1849" s="11" t="str">
        <f aca="false">IF(K1849&lt;=StockP33,"Low",IF(K1849&lt;=StockP67,"Moderate","High"))</f>
        <v>Low</v>
      </c>
      <c r="P1849" s="11" t="str">
        <f aca="false">IF(H1849=0,"Low",IF(H1849&lt;=MarkdownP75,"Moderate","High"))</f>
        <v>High</v>
      </c>
      <c r="Q1849" s="11" t="str">
        <f aca="false">IF(ISBLANK(L1849),"Unknown",IF(L1849&gt;=4,"Good",IF(L1849&lt;=2,"Poor","Neutral")))</f>
        <v>Good</v>
      </c>
      <c r="R1849" s="11" t="str">
        <f aca="false">IF(AND(O1849="Low",P1849="Low",Q1849="Good"),"BUY / PRIORITIZE",IF(AND(O1849="High",P1849="High",OR(Q1849="Poor",M1849=TRUE())),"HOLD / REVIEW","MONITOR"))</f>
        <v>MONITOR</v>
      </c>
      <c r="S1849" s="11" t="n">
        <f aca="false">K1849+(ROW()/10000000)</f>
        <v>14.0001849</v>
      </c>
    </row>
    <row r="1850" customFormat="false" ht="15" hidden="false" customHeight="false" outlineLevel="0" collapsed="false">
      <c r="A1850" s="11" t="s">
        <v>2202</v>
      </c>
      <c r="B1850" s="11" t="s">
        <v>26</v>
      </c>
      <c r="C1850" s="11" t="s">
        <v>86</v>
      </c>
      <c r="D1850" s="11" t="s">
        <v>36</v>
      </c>
      <c r="E1850" s="11" t="s">
        <v>113</v>
      </c>
      <c r="F1850" s="11" t="s">
        <v>96</v>
      </c>
      <c r="G1850" s="21" t="n">
        <v>32.46</v>
      </c>
      <c r="H1850" s="19" t="n">
        <v>12.9</v>
      </c>
      <c r="I1850" s="21" t="n">
        <v>28.27</v>
      </c>
      <c r="J1850" s="22" t="s">
        <v>80</v>
      </c>
      <c r="K1850" s="11" t="n">
        <v>9</v>
      </c>
      <c r="L1850" s="23"/>
      <c r="M1850" s="24" t="b">
        <f aca="false">FALSE()</f>
        <v>0</v>
      </c>
      <c r="N1850" s="11"/>
      <c r="O1850" s="11" t="str">
        <f aca="false">IF(K1850&lt;=StockP33,"Low",IF(K1850&lt;=StockP67,"Moderate","High"))</f>
        <v>Low</v>
      </c>
      <c r="P1850" s="11" t="str">
        <f aca="false">IF(H1850=0,"Low",IF(H1850&lt;=MarkdownP75,"Moderate","High"))</f>
        <v>Moderate</v>
      </c>
      <c r="Q1850" s="11" t="str">
        <f aca="false">IF(ISBLANK(L1850),"Unknown",IF(L1850&gt;=4,"Good",IF(L1850&lt;=2,"Poor","Neutral")))</f>
        <v>Unknown</v>
      </c>
      <c r="R1850" s="11" t="str">
        <f aca="false">IF(AND(O1850="Low",P1850="Low",Q1850="Good"),"BUY / PRIORITIZE",IF(AND(O1850="High",P1850="High",OR(Q1850="Poor",M1850=TRUE())),"HOLD / REVIEW","MONITOR"))</f>
        <v>MONITOR</v>
      </c>
      <c r="S1850" s="11" t="n">
        <f aca="false">K1850+(ROW()/10000000)</f>
        <v>9.000185</v>
      </c>
    </row>
    <row r="1851" customFormat="false" ht="15" hidden="false" customHeight="false" outlineLevel="0" collapsed="false">
      <c r="A1851" s="11" t="s">
        <v>2203</v>
      </c>
      <c r="B1851" s="11" t="s">
        <v>26</v>
      </c>
      <c r="C1851" s="11" t="s">
        <v>101</v>
      </c>
      <c r="D1851" s="11" t="s">
        <v>35</v>
      </c>
      <c r="E1851" s="11" t="s">
        <v>102</v>
      </c>
      <c r="F1851" s="11" t="s">
        <v>79</v>
      </c>
      <c r="G1851" s="21" t="n">
        <v>40.31</v>
      </c>
      <c r="H1851" s="19" t="n">
        <v>43</v>
      </c>
      <c r="I1851" s="21" t="n">
        <v>22.98</v>
      </c>
      <c r="J1851" s="22" t="s">
        <v>80</v>
      </c>
      <c r="K1851" s="11" t="n">
        <v>30</v>
      </c>
      <c r="L1851" s="23" t="n">
        <v>3.5</v>
      </c>
      <c r="M1851" s="24" t="b">
        <f aca="false">TRUE()</f>
        <v>1</v>
      </c>
      <c r="N1851" s="11" t="s">
        <v>89</v>
      </c>
      <c r="O1851" s="11" t="str">
        <f aca="false">IF(K1851&lt;=StockP33,"Low",IF(K1851&lt;=StockP67,"Moderate","High"))</f>
        <v>Moderate</v>
      </c>
      <c r="P1851" s="11" t="str">
        <f aca="false">IF(H1851=0,"Low",IF(H1851&lt;=MarkdownP75,"Moderate","High"))</f>
        <v>High</v>
      </c>
      <c r="Q1851" s="11" t="str">
        <f aca="false">IF(ISBLANK(L1851),"Unknown",IF(L1851&gt;=4,"Good",IF(L1851&lt;=2,"Poor","Neutral")))</f>
        <v>Neutral</v>
      </c>
      <c r="R1851" s="11" t="str">
        <f aca="false">IF(AND(O1851="Low",P1851="Low",Q1851="Good"),"BUY / PRIORITIZE",IF(AND(O1851="High",P1851="High",OR(Q1851="Poor",M1851=TRUE())),"HOLD / REVIEW","MONITOR"))</f>
        <v>MONITOR</v>
      </c>
      <c r="S1851" s="11" t="n">
        <f aca="false">K1851+(ROW()/10000000)</f>
        <v>30.0001851</v>
      </c>
    </row>
    <row r="1852" customFormat="false" ht="15" hidden="false" customHeight="false" outlineLevel="0" collapsed="false">
      <c r="A1852" s="11" t="s">
        <v>2204</v>
      </c>
      <c r="B1852" s="11" t="s">
        <v>8</v>
      </c>
      <c r="C1852" s="11" t="s">
        <v>107</v>
      </c>
      <c r="D1852" s="11" t="s">
        <v>37</v>
      </c>
      <c r="E1852" s="11"/>
      <c r="F1852" s="11" t="s">
        <v>98</v>
      </c>
      <c r="G1852" s="21" t="n">
        <v>51.3</v>
      </c>
      <c r="H1852" s="19" t="n">
        <v>6.1</v>
      </c>
      <c r="I1852" s="21" t="n">
        <v>48.17</v>
      </c>
      <c r="J1852" s="22" t="s">
        <v>80</v>
      </c>
      <c r="K1852" s="11" t="n">
        <v>31</v>
      </c>
      <c r="L1852" s="23"/>
      <c r="M1852" s="24" t="b">
        <f aca="false">FALSE()</f>
        <v>0</v>
      </c>
      <c r="N1852" s="11"/>
      <c r="O1852" s="11" t="str">
        <f aca="false">IF(K1852&lt;=StockP33,"Low",IF(K1852&lt;=StockP67,"Moderate","High"))</f>
        <v>Moderate</v>
      </c>
      <c r="P1852" s="11" t="str">
        <f aca="false">IF(H1852=0,"Low",IF(H1852&lt;=MarkdownP75,"Moderate","High"))</f>
        <v>Moderate</v>
      </c>
      <c r="Q1852" s="11" t="str">
        <f aca="false">IF(ISBLANK(L1852),"Unknown",IF(L1852&gt;=4,"Good",IF(L1852&lt;=2,"Poor","Neutral")))</f>
        <v>Unknown</v>
      </c>
      <c r="R1852" s="11" t="str">
        <f aca="false">IF(AND(O1852="Low",P1852="Low",Q1852="Good"),"BUY / PRIORITIZE",IF(AND(O1852="High",P1852="High",OR(Q1852="Poor",M1852=TRUE())),"HOLD / REVIEW","MONITOR"))</f>
        <v>MONITOR</v>
      </c>
      <c r="S1852" s="11" t="n">
        <f aca="false">K1852+(ROW()/10000000)</f>
        <v>31.0001852</v>
      </c>
    </row>
    <row r="1853" customFormat="false" ht="15" hidden="false" customHeight="false" outlineLevel="0" collapsed="false">
      <c r="A1853" s="11" t="s">
        <v>2205</v>
      </c>
      <c r="B1853" s="11" t="s">
        <v>26</v>
      </c>
      <c r="C1853" s="11" t="s">
        <v>116</v>
      </c>
      <c r="D1853" s="11" t="s">
        <v>37</v>
      </c>
      <c r="E1853" s="11" t="s">
        <v>110</v>
      </c>
      <c r="F1853" s="11" t="s">
        <v>79</v>
      </c>
      <c r="G1853" s="21" t="n">
        <v>28.62</v>
      </c>
      <c r="H1853" s="19" t="n">
        <v>0</v>
      </c>
      <c r="I1853" s="21" t="n">
        <v>28.62</v>
      </c>
      <c r="J1853" s="22" t="s">
        <v>80</v>
      </c>
      <c r="K1853" s="11" t="n">
        <v>41</v>
      </c>
      <c r="L1853" s="23" t="n">
        <v>4</v>
      </c>
      <c r="M1853" s="24" t="b">
        <f aca="false">FALSE()</f>
        <v>0</v>
      </c>
      <c r="N1853" s="11"/>
      <c r="O1853" s="11" t="str">
        <f aca="false">IF(K1853&lt;=StockP33,"Low",IF(K1853&lt;=StockP67,"Moderate","High"))</f>
        <v>High</v>
      </c>
      <c r="P1853" s="11" t="str">
        <f aca="false">IF(H1853=0,"Low",IF(H1853&lt;=MarkdownP75,"Moderate","High"))</f>
        <v>Low</v>
      </c>
      <c r="Q1853" s="11" t="str">
        <f aca="false">IF(ISBLANK(L1853),"Unknown",IF(L1853&gt;=4,"Good",IF(L1853&lt;=2,"Poor","Neutral")))</f>
        <v>Good</v>
      </c>
      <c r="R1853" s="11" t="str">
        <f aca="false">IF(AND(O1853="Low",P1853="Low",Q1853="Good"),"BUY / PRIORITIZE",IF(AND(O1853="High",P1853="High",OR(Q1853="Poor",M1853=TRUE())),"HOLD / REVIEW","MONITOR"))</f>
        <v>MONITOR</v>
      </c>
      <c r="S1853" s="11" t="n">
        <f aca="false">K1853+(ROW()/10000000)</f>
        <v>41.0001853</v>
      </c>
    </row>
    <row r="1854" customFormat="false" ht="15" hidden="false" customHeight="false" outlineLevel="0" collapsed="false">
      <c r="A1854" s="11" t="s">
        <v>2206</v>
      </c>
      <c r="B1854" s="11" t="s">
        <v>8</v>
      </c>
      <c r="C1854" s="11" t="s">
        <v>116</v>
      </c>
      <c r="D1854" s="11" t="s">
        <v>36</v>
      </c>
      <c r="E1854" s="11"/>
      <c r="F1854" s="11" t="s">
        <v>98</v>
      </c>
      <c r="G1854" s="21" t="n">
        <v>59.03</v>
      </c>
      <c r="H1854" s="19" t="n">
        <v>6.4</v>
      </c>
      <c r="I1854" s="21" t="n">
        <v>55.25</v>
      </c>
      <c r="J1854" s="22" t="s">
        <v>80</v>
      </c>
      <c r="K1854" s="11" t="n">
        <v>45</v>
      </c>
      <c r="L1854" s="23"/>
      <c r="M1854" s="24" t="b">
        <f aca="false">FALSE()</f>
        <v>0</v>
      </c>
      <c r="N1854" s="11"/>
      <c r="O1854" s="11" t="str">
        <f aca="false">IF(K1854&lt;=StockP33,"Low",IF(K1854&lt;=StockP67,"Moderate","High"))</f>
        <v>High</v>
      </c>
      <c r="P1854" s="11" t="str">
        <f aca="false">IF(H1854=0,"Low",IF(H1854&lt;=MarkdownP75,"Moderate","High"))</f>
        <v>Moderate</v>
      </c>
      <c r="Q1854" s="11" t="str">
        <f aca="false">IF(ISBLANK(L1854),"Unknown",IF(L1854&gt;=4,"Good",IF(L1854&lt;=2,"Poor","Neutral")))</f>
        <v>Unknown</v>
      </c>
      <c r="R1854" s="11" t="str">
        <f aca="false">IF(AND(O1854="Low",P1854="Low",Q1854="Good"),"BUY / PRIORITIZE",IF(AND(O1854="High",P1854="High",OR(Q1854="Poor",M1854=TRUE())),"HOLD / REVIEW","MONITOR"))</f>
        <v>MONITOR</v>
      </c>
      <c r="S1854" s="11" t="n">
        <f aca="false">K1854+(ROW()/10000000)</f>
        <v>45.0001854</v>
      </c>
    </row>
    <row r="1855" customFormat="false" ht="15" hidden="false" customHeight="false" outlineLevel="0" collapsed="false">
      <c r="A1855" s="11" t="s">
        <v>2207</v>
      </c>
      <c r="B1855" s="11" t="s">
        <v>30</v>
      </c>
      <c r="C1855" s="11" t="s">
        <v>107</v>
      </c>
      <c r="D1855" s="11" t="s">
        <v>35</v>
      </c>
      <c r="E1855" s="11" t="s">
        <v>91</v>
      </c>
      <c r="F1855" s="11" t="s">
        <v>124</v>
      </c>
      <c r="G1855" s="21" t="n">
        <v>99.65</v>
      </c>
      <c r="H1855" s="19" t="n">
        <v>7.4</v>
      </c>
      <c r="I1855" s="21" t="n">
        <v>92.28</v>
      </c>
      <c r="J1855" s="22" t="s">
        <v>80</v>
      </c>
      <c r="K1855" s="11" t="n">
        <v>31</v>
      </c>
      <c r="L1855" s="23" t="n">
        <v>3.8</v>
      </c>
      <c r="M1855" s="24" t="b">
        <f aca="false">FALSE()</f>
        <v>0</v>
      </c>
      <c r="N1855" s="11"/>
      <c r="O1855" s="11" t="str">
        <f aca="false">IF(K1855&lt;=StockP33,"Low",IF(K1855&lt;=StockP67,"Moderate","High"))</f>
        <v>Moderate</v>
      </c>
      <c r="P1855" s="11" t="str">
        <f aca="false">IF(H1855=0,"Low",IF(H1855&lt;=MarkdownP75,"Moderate","High"))</f>
        <v>Moderate</v>
      </c>
      <c r="Q1855" s="11" t="str">
        <f aca="false">IF(ISBLANK(L1855),"Unknown",IF(L1855&gt;=4,"Good",IF(L1855&lt;=2,"Poor","Neutral")))</f>
        <v>Neutral</v>
      </c>
      <c r="R1855" s="11" t="str">
        <f aca="false">IF(AND(O1855="Low",P1855="Low",Q1855="Good"),"BUY / PRIORITIZE",IF(AND(O1855="High",P1855="High",OR(Q1855="Poor",M1855=TRUE())),"HOLD / REVIEW","MONITOR"))</f>
        <v>MONITOR</v>
      </c>
      <c r="S1855" s="11" t="n">
        <f aca="false">K1855+(ROW()/10000000)</f>
        <v>31.0001855</v>
      </c>
    </row>
    <row r="1856" customFormat="false" ht="15" hidden="false" customHeight="false" outlineLevel="0" collapsed="false">
      <c r="A1856" s="11" t="s">
        <v>2208</v>
      </c>
      <c r="B1856" s="11" t="s">
        <v>27</v>
      </c>
      <c r="C1856" s="11" t="s">
        <v>130</v>
      </c>
      <c r="D1856" s="11" t="s">
        <v>37</v>
      </c>
      <c r="E1856" s="11"/>
      <c r="F1856" s="11" t="s">
        <v>96</v>
      </c>
      <c r="G1856" s="21" t="n">
        <v>128.55</v>
      </c>
      <c r="H1856" s="19" t="n">
        <v>0</v>
      </c>
      <c r="I1856" s="21" t="n">
        <v>128.55</v>
      </c>
      <c r="J1856" s="22" t="s">
        <v>80</v>
      </c>
      <c r="K1856" s="11" t="n">
        <v>1</v>
      </c>
      <c r="L1856" s="23" t="n">
        <v>3.7</v>
      </c>
      <c r="M1856" s="24" t="b">
        <f aca="false">FALSE()</f>
        <v>0</v>
      </c>
      <c r="N1856" s="11"/>
      <c r="O1856" s="11" t="str">
        <f aca="false">IF(K1856&lt;=StockP33,"Low",IF(K1856&lt;=StockP67,"Moderate","High"))</f>
        <v>Low</v>
      </c>
      <c r="P1856" s="11" t="str">
        <f aca="false">IF(H1856=0,"Low",IF(H1856&lt;=MarkdownP75,"Moderate","High"))</f>
        <v>Low</v>
      </c>
      <c r="Q1856" s="11" t="str">
        <f aca="false">IF(ISBLANK(L1856),"Unknown",IF(L1856&gt;=4,"Good",IF(L1856&lt;=2,"Poor","Neutral")))</f>
        <v>Neutral</v>
      </c>
      <c r="R1856" s="11" t="str">
        <f aca="false">IF(AND(O1856="Low",P1856="Low",Q1856="Good"),"BUY / PRIORITIZE",IF(AND(O1856="High",P1856="High",OR(Q1856="Poor",M1856=TRUE())),"HOLD / REVIEW","MONITOR"))</f>
        <v>MONITOR</v>
      </c>
      <c r="S1856" s="11" t="n">
        <f aca="false">K1856+(ROW()/10000000)</f>
        <v>1.0001856</v>
      </c>
    </row>
    <row r="1857" customFormat="false" ht="15" hidden="false" customHeight="false" outlineLevel="0" collapsed="false">
      <c r="A1857" s="11" t="s">
        <v>2209</v>
      </c>
      <c r="B1857" s="11" t="s">
        <v>26</v>
      </c>
      <c r="C1857" s="11" t="s">
        <v>95</v>
      </c>
      <c r="D1857" s="11" t="s">
        <v>34</v>
      </c>
      <c r="E1857" s="11" t="s">
        <v>78</v>
      </c>
      <c r="F1857" s="11" t="s">
        <v>120</v>
      </c>
      <c r="G1857" s="21" t="n">
        <v>78.09</v>
      </c>
      <c r="H1857" s="19" t="n">
        <v>56.3</v>
      </c>
      <c r="I1857" s="21" t="n">
        <v>34.13</v>
      </c>
      <c r="J1857" s="22" t="s">
        <v>539</v>
      </c>
      <c r="K1857" s="11" t="n">
        <v>20</v>
      </c>
      <c r="L1857" s="23" t="n">
        <v>1.3</v>
      </c>
      <c r="M1857" s="24" t="b">
        <f aca="false">FALSE()</f>
        <v>0</v>
      </c>
      <c r="N1857" s="11"/>
      <c r="O1857" s="11" t="str">
        <f aca="false">IF(K1857&lt;=StockP33,"Low",IF(K1857&lt;=StockP67,"Moderate","High"))</f>
        <v>Moderate</v>
      </c>
      <c r="P1857" s="11" t="str">
        <f aca="false">IF(H1857=0,"Low",IF(H1857&lt;=MarkdownP75,"Moderate","High"))</f>
        <v>High</v>
      </c>
      <c r="Q1857" s="11" t="str">
        <f aca="false">IF(ISBLANK(L1857),"Unknown",IF(L1857&gt;=4,"Good",IF(L1857&lt;=2,"Poor","Neutral")))</f>
        <v>Poor</v>
      </c>
      <c r="R1857" s="11" t="str">
        <f aca="false">IF(AND(O1857="Low",P1857="Low",Q1857="Good"),"BUY / PRIORITIZE",IF(AND(O1857="High",P1857="High",OR(Q1857="Poor",M1857=TRUE())),"HOLD / REVIEW","MONITOR"))</f>
        <v>MONITOR</v>
      </c>
      <c r="S1857" s="11" t="n">
        <f aca="false">K1857+(ROW()/10000000)</f>
        <v>20.0001857</v>
      </c>
    </row>
    <row r="1858" customFormat="false" ht="15" hidden="false" customHeight="false" outlineLevel="0" collapsed="false">
      <c r="A1858" s="11" t="s">
        <v>2210</v>
      </c>
      <c r="B1858" s="11" t="s">
        <v>26</v>
      </c>
      <c r="C1858" s="11" t="s">
        <v>95</v>
      </c>
      <c r="D1858" s="11" t="s">
        <v>35</v>
      </c>
      <c r="E1858" s="11" t="s">
        <v>102</v>
      </c>
      <c r="F1858" s="11" t="s">
        <v>118</v>
      </c>
      <c r="G1858" s="21" t="n">
        <v>108.89</v>
      </c>
      <c r="H1858" s="19" t="n">
        <v>0</v>
      </c>
      <c r="I1858" s="21" t="n">
        <v>108.89</v>
      </c>
      <c r="J1858" s="22" t="s">
        <v>80</v>
      </c>
      <c r="K1858" s="11" t="n">
        <v>50</v>
      </c>
      <c r="L1858" s="23" t="n">
        <v>2.9</v>
      </c>
      <c r="M1858" s="24" t="b">
        <f aca="false">FALSE()</f>
        <v>0</v>
      </c>
      <c r="N1858" s="11"/>
      <c r="O1858" s="11" t="str">
        <f aca="false">IF(K1858&lt;=StockP33,"Low",IF(K1858&lt;=StockP67,"Moderate","High"))</f>
        <v>High</v>
      </c>
      <c r="P1858" s="11" t="str">
        <f aca="false">IF(H1858=0,"Low",IF(H1858&lt;=MarkdownP75,"Moderate","High"))</f>
        <v>Low</v>
      </c>
      <c r="Q1858" s="11" t="str">
        <f aca="false">IF(ISBLANK(L1858),"Unknown",IF(L1858&gt;=4,"Good",IF(L1858&lt;=2,"Poor","Neutral")))</f>
        <v>Neutral</v>
      </c>
      <c r="R1858" s="11" t="str">
        <f aca="false">IF(AND(O1858="Low",P1858="Low",Q1858="Good"),"BUY / PRIORITIZE",IF(AND(O1858="High",P1858="High",OR(Q1858="Poor",M1858=TRUE())),"HOLD / REVIEW","MONITOR"))</f>
        <v>MONITOR</v>
      </c>
      <c r="S1858" s="11" t="n">
        <f aca="false">K1858+(ROW()/10000000)</f>
        <v>50.0001858</v>
      </c>
    </row>
    <row r="1859" customFormat="false" ht="15" hidden="false" customHeight="false" outlineLevel="0" collapsed="false">
      <c r="A1859" s="11" t="s">
        <v>2211</v>
      </c>
      <c r="B1859" s="11" t="s">
        <v>26</v>
      </c>
      <c r="C1859" s="11" t="s">
        <v>107</v>
      </c>
      <c r="D1859" s="11" t="s">
        <v>34</v>
      </c>
      <c r="E1859" s="11"/>
      <c r="F1859" s="11" t="s">
        <v>92</v>
      </c>
      <c r="G1859" s="21" t="n">
        <v>35.21</v>
      </c>
      <c r="H1859" s="19" t="n">
        <v>14.7</v>
      </c>
      <c r="I1859" s="21" t="n">
        <v>30.03</v>
      </c>
      <c r="J1859" s="22" t="s">
        <v>469</v>
      </c>
      <c r="K1859" s="11" t="n">
        <v>15</v>
      </c>
      <c r="L1859" s="23" t="n">
        <v>3.1</v>
      </c>
      <c r="M1859" s="24" t="b">
        <f aca="false">TRUE()</f>
        <v>1</v>
      </c>
      <c r="N1859" s="11" t="s">
        <v>140</v>
      </c>
      <c r="O1859" s="11" t="str">
        <f aca="false">IF(K1859&lt;=StockP33,"Low",IF(K1859&lt;=StockP67,"Moderate","High"))</f>
        <v>Low</v>
      </c>
      <c r="P1859" s="11" t="str">
        <f aca="false">IF(H1859=0,"Low",IF(H1859&lt;=MarkdownP75,"Moderate","High"))</f>
        <v>Moderate</v>
      </c>
      <c r="Q1859" s="11" t="str">
        <f aca="false">IF(ISBLANK(L1859),"Unknown",IF(L1859&gt;=4,"Good",IF(L1859&lt;=2,"Poor","Neutral")))</f>
        <v>Neutral</v>
      </c>
      <c r="R1859" s="11" t="str">
        <f aca="false">IF(AND(O1859="Low",P1859="Low",Q1859="Good"),"BUY / PRIORITIZE",IF(AND(O1859="High",P1859="High",OR(Q1859="Poor",M1859=TRUE())),"HOLD / REVIEW","MONITOR"))</f>
        <v>MONITOR</v>
      </c>
      <c r="S1859" s="11" t="n">
        <f aca="false">K1859+(ROW()/10000000)</f>
        <v>15.0001859</v>
      </c>
    </row>
    <row r="1860" customFormat="false" ht="15" hidden="false" customHeight="false" outlineLevel="0" collapsed="false">
      <c r="A1860" s="11" t="s">
        <v>2212</v>
      </c>
      <c r="B1860" s="11" t="s">
        <v>27</v>
      </c>
      <c r="C1860" s="11" t="s">
        <v>116</v>
      </c>
      <c r="D1860" s="11" t="s">
        <v>35</v>
      </c>
      <c r="E1860" s="11" t="s">
        <v>102</v>
      </c>
      <c r="F1860" s="11" t="s">
        <v>124</v>
      </c>
      <c r="G1860" s="21" t="n">
        <v>129.16</v>
      </c>
      <c r="H1860" s="19" t="n">
        <v>34</v>
      </c>
      <c r="I1860" s="21" t="n">
        <v>85.25</v>
      </c>
      <c r="J1860" s="22" t="s">
        <v>80</v>
      </c>
      <c r="K1860" s="11" t="n">
        <v>24</v>
      </c>
      <c r="L1860" s="23" t="n">
        <v>1.7</v>
      </c>
      <c r="M1860" s="24" t="b">
        <f aca="false">FALSE()</f>
        <v>0</v>
      </c>
      <c r="N1860" s="11"/>
      <c r="O1860" s="11" t="str">
        <f aca="false">IF(K1860&lt;=StockP33,"Low",IF(K1860&lt;=StockP67,"Moderate","High"))</f>
        <v>Moderate</v>
      </c>
      <c r="P1860" s="11" t="str">
        <f aca="false">IF(H1860=0,"Low",IF(H1860&lt;=MarkdownP75,"Moderate","High"))</f>
        <v>High</v>
      </c>
      <c r="Q1860" s="11" t="str">
        <f aca="false">IF(ISBLANK(L1860),"Unknown",IF(L1860&gt;=4,"Good",IF(L1860&lt;=2,"Poor","Neutral")))</f>
        <v>Poor</v>
      </c>
      <c r="R1860" s="11" t="str">
        <f aca="false">IF(AND(O1860="Low",P1860="Low",Q1860="Good"),"BUY / PRIORITIZE",IF(AND(O1860="High",P1860="High",OR(Q1860="Poor",M1860=TRUE())),"HOLD / REVIEW","MONITOR"))</f>
        <v>MONITOR</v>
      </c>
      <c r="S1860" s="11" t="n">
        <f aca="false">K1860+(ROW()/10000000)</f>
        <v>24.000186</v>
      </c>
    </row>
    <row r="1861" customFormat="false" ht="15" hidden="false" customHeight="false" outlineLevel="0" collapsed="false">
      <c r="A1861" s="11" t="s">
        <v>2213</v>
      </c>
      <c r="B1861" s="11" t="s">
        <v>27</v>
      </c>
      <c r="C1861" s="11" t="s">
        <v>107</v>
      </c>
      <c r="D1861" s="11" t="s">
        <v>35</v>
      </c>
      <c r="E1861" s="11" t="s">
        <v>91</v>
      </c>
      <c r="F1861" s="11" t="s">
        <v>92</v>
      </c>
      <c r="G1861" s="21" t="n">
        <v>142.43</v>
      </c>
      <c r="H1861" s="19" t="n">
        <v>0</v>
      </c>
      <c r="I1861" s="21" t="n">
        <v>142.43</v>
      </c>
      <c r="J1861" s="22" t="s">
        <v>80</v>
      </c>
      <c r="K1861" s="11" t="n">
        <v>15</v>
      </c>
      <c r="L1861" s="23" t="n">
        <v>4.1</v>
      </c>
      <c r="M1861" s="24" t="b">
        <f aca="false">TRUE()</f>
        <v>1</v>
      </c>
      <c r="N1861" s="11" t="s">
        <v>128</v>
      </c>
      <c r="O1861" s="11" t="str">
        <f aca="false">IF(K1861&lt;=StockP33,"Low",IF(K1861&lt;=StockP67,"Moderate","High"))</f>
        <v>Low</v>
      </c>
      <c r="P1861" s="11" t="str">
        <f aca="false">IF(H1861=0,"Low",IF(H1861&lt;=MarkdownP75,"Moderate","High"))</f>
        <v>Low</v>
      </c>
      <c r="Q1861" s="11" t="str">
        <f aca="false">IF(ISBLANK(L1861),"Unknown",IF(L1861&gt;=4,"Good",IF(L1861&lt;=2,"Poor","Neutral")))</f>
        <v>Good</v>
      </c>
      <c r="R1861" s="11" t="str">
        <f aca="false">IF(AND(O1861="Low",P1861="Low",Q1861="Good"),"BUY / PRIORITIZE",IF(AND(O1861="High",P1861="High",OR(Q1861="Poor",M1861=TRUE())),"HOLD / REVIEW","MONITOR"))</f>
        <v>BUY / PRIORITIZE</v>
      </c>
      <c r="S1861" s="11" t="n">
        <f aca="false">K1861+(ROW()/10000000)</f>
        <v>15.0001861</v>
      </c>
    </row>
    <row r="1862" customFormat="false" ht="15" hidden="false" customHeight="false" outlineLevel="0" collapsed="false">
      <c r="A1862" s="11" t="s">
        <v>2214</v>
      </c>
      <c r="B1862" s="11" t="s">
        <v>8</v>
      </c>
      <c r="C1862" s="11" t="s">
        <v>130</v>
      </c>
      <c r="D1862" s="11" t="s">
        <v>34</v>
      </c>
      <c r="E1862" s="11"/>
      <c r="F1862" s="11" t="s">
        <v>118</v>
      </c>
      <c r="G1862" s="21" t="n">
        <v>45.19</v>
      </c>
      <c r="H1862" s="19" t="n">
        <v>0</v>
      </c>
      <c r="I1862" s="21" t="n">
        <v>45.19</v>
      </c>
      <c r="J1862" s="22" t="s">
        <v>770</v>
      </c>
      <c r="K1862" s="11" t="n">
        <v>38</v>
      </c>
      <c r="L1862" s="23" t="n">
        <v>1.6</v>
      </c>
      <c r="M1862" s="24" t="b">
        <f aca="false">TRUE()</f>
        <v>1</v>
      </c>
      <c r="N1862" s="11" t="s">
        <v>191</v>
      </c>
      <c r="O1862" s="11" t="str">
        <f aca="false">IF(K1862&lt;=StockP33,"Low",IF(K1862&lt;=StockP67,"Moderate","High"))</f>
        <v>High</v>
      </c>
      <c r="P1862" s="11" t="str">
        <f aca="false">IF(H1862=0,"Low",IF(H1862&lt;=MarkdownP75,"Moderate","High"))</f>
        <v>Low</v>
      </c>
      <c r="Q1862" s="11" t="str">
        <f aca="false">IF(ISBLANK(L1862),"Unknown",IF(L1862&gt;=4,"Good",IF(L1862&lt;=2,"Poor","Neutral")))</f>
        <v>Poor</v>
      </c>
      <c r="R1862" s="11" t="str">
        <f aca="false">IF(AND(O1862="Low",P1862="Low",Q1862="Good"),"BUY / PRIORITIZE",IF(AND(O1862="High",P1862="High",OR(Q1862="Poor",M1862=TRUE())),"HOLD / REVIEW","MONITOR"))</f>
        <v>MONITOR</v>
      </c>
      <c r="S1862" s="11" t="n">
        <f aca="false">K1862+(ROW()/10000000)</f>
        <v>38.0001862</v>
      </c>
    </row>
    <row r="1863" customFormat="false" ht="15" hidden="false" customHeight="false" outlineLevel="0" collapsed="false">
      <c r="A1863" s="11" t="s">
        <v>2215</v>
      </c>
      <c r="B1863" s="11" t="s">
        <v>26</v>
      </c>
      <c r="C1863" s="11" t="s">
        <v>101</v>
      </c>
      <c r="D1863" s="11" t="s">
        <v>36</v>
      </c>
      <c r="E1863" s="11" t="s">
        <v>91</v>
      </c>
      <c r="F1863" s="11" t="s">
        <v>120</v>
      </c>
      <c r="G1863" s="21" t="n">
        <v>47.66</v>
      </c>
      <c r="H1863" s="19" t="n">
        <v>0</v>
      </c>
      <c r="I1863" s="21" t="n">
        <v>47.66</v>
      </c>
      <c r="J1863" s="22" t="s">
        <v>80</v>
      </c>
      <c r="K1863" s="11" t="n">
        <v>0</v>
      </c>
      <c r="L1863" s="23" t="n">
        <v>4.8</v>
      </c>
      <c r="M1863" s="24" t="b">
        <f aca="false">TRUE()</f>
        <v>1</v>
      </c>
      <c r="N1863" s="11" t="s">
        <v>128</v>
      </c>
      <c r="O1863" s="11" t="str">
        <f aca="false">IF(K1863&lt;=StockP33,"Low",IF(K1863&lt;=StockP67,"Moderate","High"))</f>
        <v>Low</v>
      </c>
      <c r="P1863" s="11" t="str">
        <f aca="false">IF(H1863=0,"Low",IF(H1863&lt;=MarkdownP75,"Moderate","High"))</f>
        <v>Low</v>
      </c>
      <c r="Q1863" s="11" t="str">
        <f aca="false">IF(ISBLANK(L1863),"Unknown",IF(L1863&gt;=4,"Good",IF(L1863&lt;=2,"Poor","Neutral")))</f>
        <v>Good</v>
      </c>
      <c r="R1863" s="11" t="str">
        <f aca="false">IF(AND(O1863="Low",P1863="Low",Q1863="Good"),"BUY / PRIORITIZE",IF(AND(O1863="High",P1863="High",OR(Q1863="Poor",M1863=TRUE())),"HOLD / REVIEW","MONITOR"))</f>
        <v>BUY / PRIORITIZE</v>
      </c>
      <c r="S1863" s="11" t="n">
        <f aca="false">K1863+(ROW()/10000000)</f>
        <v>0.0001863</v>
      </c>
    </row>
    <row r="1864" customFormat="false" ht="15" hidden="false" customHeight="false" outlineLevel="0" collapsed="false">
      <c r="A1864" s="11" t="s">
        <v>2216</v>
      </c>
      <c r="B1864" s="11" t="s">
        <v>26</v>
      </c>
      <c r="C1864" s="11" t="s">
        <v>77</v>
      </c>
      <c r="D1864" s="11" t="s">
        <v>35</v>
      </c>
      <c r="E1864" s="11" t="s">
        <v>110</v>
      </c>
      <c r="F1864" s="11" t="s">
        <v>111</v>
      </c>
      <c r="G1864" s="21" t="n">
        <v>115.05</v>
      </c>
      <c r="H1864" s="19" t="n">
        <v>40</v>
      </c>
      <c r="I1864" s="21" t="n">
        <v>69.03</v>
      </c>
      <c r="J1864" s="22" t="s">
        <v>80</v>
      </c>
      <c r="K1864" s="11" t="n">
        <v>48</v>
      </c>
      <c r="L1864" s="23" t="n">
        <v>3.1</v>
      </c>
      <c r="M1864" s="24" t="b">
        <f aca="false">FALSE()</f>
        <v>0</v>
      </c>
      <c r="N1864" s="11"/>
      <c r="O1864" s="11" t="str">
        <f aca="false">IF(K1864&lt;=StockP33,"Low",IF(K1864&lt;=StockP67,"Moderate","High"))</f>
        <v>High</v>
      </c>
      <c r="P1864" s="11" t="str">
        <f aca="false">IF(H1864=0,"Low",IF(H1864&lt;=MarkdownP75,"Moderate","High"))</f>
        <v>High</v>
      </c>
      <c r="Q1864" s="11" t="str">
        <f aca="false">IF(ISBLANK(L1864),"Unknown",IF(L1864&gt;=4,"Good",IF(L1864&lt;=2,"Poor","Neutral")))</f>
        <v>Neutral</v>
      </c>
      <c r="R1864" s="11" t="str">
        <f aca="false">IF(AND(O1864="Low",P1864="Low",Q1864="Good"),"BUY / PRIORITIZE",IF(AND(O1864="High",P1864="High",OR(Q1864="Poor",M1864=TRUE())),"HOLD / REVIEW","MONITOR"))</f>
        <v>MONITOR</v>
      </c>
      <c r="S1864" s="11" t="n">
        <f aca="false">K1864+(ROW()/10000000)</f>
        <v>48.0001864</v>
      </c>
    </row>
    <row r="1865" customFormat="false" ht="15" hidden="false" customHeight="false" outlineLevel="0" collapsed="false">
      <c r="A1865" s="11" t="s">
        <v>2217</v>
      </c>
      <c r="B1865" s="11" t="s">
        <v>26</v>
      </c>
      <c r="C1865" s="11" t="s">
        <v>86</v>
      </c>
      <c r="D1865" s="11" t="s">
        <v>35</v>
      </c>
      <c r="E1865" s="11" t="s">
        <v>73</v>
      </c>
      <c r="F1865" s="11" t="s">
        <v>124</v>
      </c>
      <c r="G1865" s="21" t="n">
        <v>87.84</v>
      </c>
      <c r="H1865" s="19" t="n">
        <v>0</v>
      </c>
      <c r="I1865" s="21" t="n">
        <v>87.84</v>
      </c>
      <c r="J1865" s="22" t="s">
        <v>80</v>
      </c>
      <c r="K1865" s="11" t="n">
        <v>29</v>
      </c>
      <c r="L1865" s="23" t="n">
        <v>1.3</v>
      </c>
      <c r="M1865" s="24" t="b">
        <f aca="false">FALSE()</f>
        <v>0</v>
      </c>
      <c r="N1865" s="11"/>
      <c r="O1865" s="11" t="str">
        <f aca="false">IF(K1865&lt;=StockP33,"Low",IF(K1865&lt;=StockP67,"Moderate","High"))</f>
        <v>Moderate</v>
      </c>
      <c r="P1865" s="11" t="str">
        <f aca="false">IF(H1865=0,"Low",IF(H1865&lt;=MarkdownP75,"Moderate","High"))</f>
        <v>Low</v>
      </c>
      <c r="Q1865" s="11" t="str">
        <f aca="false">IF(ISBLANK(L1865),"Unknown",IF(L1865&gt;=4,"Good",IF(L1865&lt;=2,"Poor","Neutral")))</f>
        <v>Poor</v>
      </c>
      <c r="R1865" s="11" t="str">
        <f aca="false">IF(AND(O1865="Low",P1865="Low",Q1865="Good"),"BUY / PRIORITIZE",IF(AND(O1865="High",P1865="High",OR(Q1865="Poor",M1865=TRUE())),"HOLD / REVIEW","MONITOR"))</f>
        <v>MONITOR</v>
      </c>
      <c r="S1865" s="11" t="n">
        <f aca="false">K1865+(ROW()/10000000)</f>
        <v>29.0001865</v>
      </c>
    </row>
    <row r="1866" customFormat="false" ht="15" hidden="false" customHeight="false" outlineLevel="0" collapsed="false">
      <c r="A1866" s="11" t="s">
        <v>2218</v>
      </c>
      <c r="B1866" s="11" t="s">
        <v>27</v>
      </c>
      <c r="C1866" s="11" t="s">
        <v>130</v>
      </c>
      <c r="D1866" s="11" t="s">
        <v>36</v>
      </c>
      <c r="E1866" s="11" t="s">
        <v>91</v>
      </c>
      <c r="F1866" s="11" t="s">
        <v>96</v>
      </c>
      <c r="G1866" s="21" t="n">
        <v>73.42</v>
      </c>
      <c r="H1866" s="19" t="n">
        <v>35</v>
      </c>
      <c r="I1866" s="21" t="n">
        <v>47.72</v>
      </c>
      <c r="J1866" s="22" t="s">
        <v>80</v>
      </c>
      <c r="K1866" s="11" t="n">
        <v>44</v>
      </c>
      <c r="L1866" s="23"/>
      <c r="M1866" s="24" t="b">
        <f aca="false">FALSE()</f>
        <v>0</v>
      </c>
      <c r="N1866" s="11"/>
      <c r="O1866" s="11" t="str">
        <f aca="false">IF(K1866&lt;=StockP33,"Low",IF(K1866&lt;=StockP67,"Moderate","High"))</f>
        <v>High</v>
      </c>
      <c r="P1866" s="11" t="str">
        <f aca="false">IF(H1866=0,"Low",IF(H1866&lt;=MarkdownP75,"Moderate","High"))</f>
        <v>High</v>
      </c>
      <c r="Q1866" s="11" t="str">
        <f aca="false">IF(ISBLANK(L1866),"Unknown",IF(L1866&gt;=4,"Good",IF(L1866&lt;=2,"Poor","Neutral")))</f>
        <v>Unknown</v>
      </c>
      <c r="R1866" s="11" t="str">
        <f aca="false">IF(AND(O1866="Low",P1866="Low",Q1866="Good"),"BUY / PRIORITIZE",IF(AND(O1866="High",P1866="High",OR(Q1866="Poor",M1866=TRUE())),"HOLD / REVIEW","MONITOR"))</f>
        <v>MONITOR</v>
      </c>
      <c r="S1866" s="11" t="n">
        <f aca="false">K1866+(ROW()/10000000)</f>
        <v>44.0001866</v>
      </c>
    </row>
    <row r="1867" customFormat="false" ht="15" hidden="false" customHeight="false" outlineLevel="0" collapsed="false">
      <c r="A1867" s="11" t="s">
        <v>2219</v>
      </c>
      <c r="B1867" s="11" t="s">
        <v>29</v>
      </c>
      <c r="C1867" s="11" t="s">
        <v>116</v>
      </c>
      <c r="D1867" s="11" t="s">
        <v>36</v>
      </c>
      <c r="E1867" s="11" t="s">
        <v>78</v>
      </c>
      <c r="F1867" s="11" t="s">
        <v>118</v>
      </c>
      <c r="G1867" s="21" t="n">
        <v>181.58</v>
      </c>
      <c r="H1867" s="19" t="n">
        <v>21.6</v>
      </c>
      <c r="I1867" s="21" t="n">
        <v>142.36</v>
      </c>
      <c r="J1867" s="22" t="s">
        <v>80</v>
      </c>
      <c r="K1867" s="11" t="n">
        <v>14</v>
      </c>
      <c r="L1867" s="23" t="n">
        <v>4.7</v>
      </c>
      <c r="M1867" s="24" t="b">
        <f aca="false">FALSE()</f>
        <v>0</v>
      </c>
      <c r="N1867" s="11"/>
      <c r="O1867" s="11" t="str">
        <f aca="false">IF(K1867&lt;=StockP33,"Low",IF(K1867&lt;=StockP67,"Moderate","High"))</f>
        <v>Low</v>
      </c>
      <c r="P1867" s="11" t="str">
        <f aca="false">IF(H1867=0,"Low",IF(H1867&lt;=MarkdownP75,"Moderate","High"))</f>
        <v>Moderate</v>
      </c>
      <c r="Q1867" s="11" t="str">
        <f aca="false">IF(ISBLANK(L1867),"Unknown",IF(L1867&gt;=4,"Good",IF(L1867&lt;=2,"Poor","Neutral")))</f>
        <v>Good</v>
      </c>
      <c r="R1867" s="11" t="str">
        <f aca="false">IF(AND(O1867="Low",P1867="Low",Q1867="Good"),"BUY / PRIORITIZE",IF(AND(O1867="High",P1867="High",OR(Q1867="Poor",M1867=TRUE())),"HOLD / REVIEW","MONITOR"))</f>
        <v>MONITOR</v>
      </c>
      <c r="S1867" s="11" t="n">
        <f aca="false">K1867+(ROW()/10000000)</f>
        <v>14.0001867</v>
      </c>
    </row>
    <row r="1868" customFormat="false" ht="15" hidden="false" customHeight="false" outlineLevel="0" collapsed="false">
      <c r="A1868" s="11" t="s">
        <v>2220</v>
      </c>
      <c r="B1868" s="11" t="s">
        <v>30</v>
      </c>
      <c r="C1868" s="11" t="s">
        <v>101</v>
      </c>
      <c r="D1868" s="11" t="s">
        <v>34</v>
      </c>
      <c r="E1868" s="11" t="s">
        <v>78</v>
      </c>
      <c r="F1868" s="11" t="s">
        <v>82</v>
      </c>
      <c r="G1868" s="21" t="n">
        <v>71.68</v>
      </c>
      <c r="H1868" s="19" t="n">
        <v>0</v>
      </c>
      <c r="I1868" s="21" t="n">
        <v>71.68</v>
      </c>
      <c r="J1868" s="22" t="s">
        <v>938</v>
      </c>
      <c r="K1868" s="11" t="n">
        <v>0</v>
      </c>
      <c r="L1868" s="23" t="n">
        <v>1.5</v>
      </c>
      <c r="M1868" s="24" t="b">
        <f aca="false">FALSE()</f>
        <v>0</v>
      </c>
      <c r="N1868" s="11"/>
      <c r="O1868" s="11" t="str">
        <f aca="false">IF(K1868&lt;=StockP33,"Low",IF(K1868&lt;=StockP67,"Moderate","High"))</f>
        <v>Low</v>
      </c>
      <c r="P1868" s="11" t="str">
        <f aca="false">IF(H1868=0,"Low",IF(H1868&lt;=MarkdownP75,"Moderate","High"))</f>
        <v>Low</v>
      </c>
      <c r="Q1868" s="11" t="str">
        <f aca="false">IF(ISBLANK(L1868),"Unknown",IF(L1868&gt;=4,"Good",IF(L1868&lt;=2,"Poor","Neutral")))</f>
        <v>Poor</v>
      </c>
      <c r="R1868" s="11" t="str">
        <f aca="false">IF(AND(O1868="Low",P1868="Low",Q1868="Good"),"BUY / PRIORITIZE",IF(AND(O1868="High",P1868="High",OR(Q1868="Poor",M1868=TRUE())),"HOLD / REVIEW","MONITOR"))</f>
        <v>MONITOR</v>
      </c>
      <c r="S1868" s="11" t="n">
        <f aca="false">K1868+(ROW()/10000000)</f>
        <v>0.0001868</v>
      </c>
    </row>
    <row r="1869" customFormat="false" ht="15" hidden="false" customHeight="false" outlineLevel="0" collapsed="false">
      <c r="A1869" s="11" t="s">
        <v>2221</v>
      </c>
      <c r="B1869" s="11" t="s">
        <v>30</v>
      </c>
      <c r="C1869" s="11" t="s">
        <v>86</v>
      </c>
      <c r="D1869" s="11" t="s">
        <v>37</v>
      </c>
      <c r="E1869" s="11" t="s">
        <v>102</v>
      </c>
      <c r="F1869" s="11" t="s">
        <v>111</v>
      </c>
      <c r="G1869" s="21" t="n">
        <v>25.63</v>
      </c>
      <c r="H1869" s="19" t="n">
        <v>0</v>
      </c>
      <c r="I1869" s="21" t="n">
        <v>25.63</v>
      </c>
      <c r="J1869" s="22" t="s">
        <v>80</v>
      </c>
      <c r="K1869" s="11" t="n">
        <v>27</v>
      </c>
      <c r="L1869" s="23" t="n">
        <v>1.2</v>
      </c>
      <c r="M1869" s="24" t="b">
        <f aca="false">FALSE()</f>
        <v>0</v>
      </c>
      <c r="N1869" s="11"/>
      <c r="O1869" s="11" t="str">
        <f aca="false">IF(K1869&lt;=StockP33,"Low",IF(K1869&lt;=StockP67,"Moderate","High"))</f>
        <v>Moderate</v>
      </c>
      <c r="P1869" s="11" t="str">
        <f aca="false">IF(H1869=0,"Low",IF(H1869&lt;=MarkdownP75,"Moderate","High"))</f>
        <v>Low</v>
      </c>
      <c r="Q1869" s="11" t="str">
        <f aca="false">IF(ISBLANK(L1869),"Unknown",IF(L1869&gt;=4,"Good",IF(L1869&lt;=2,"Poor","Neutral")))</f>
        <v>Poor</v>
      </c>
      <c r="R1869" s="11" t="str">
        <f aca="false">IF(AND(O1869="Low",P1869="Low",Q1869="Good"),"BUY / PRIORITIZE",IF(AND(O1869="High",P1869="High",OR(Q1869="Poor",M1869=TRUE())),"HOLD / REVIEW","MONITOR"))</f>
        <v>MONITOR</v>
      </c>
      <c r="S1869" s="11" t="n">
        <f aca="false">K1869+(ROW()/10000000)</f>
        <v>27.0001869</v>
      </c>
    </row>
    <row r="1870" customFormat="false" ht="15" hidden="false" customHeight="false" outlineLevel="0" collapsed="false">
      <c r="A1870" s="11" t="s">
        <v>2222</v>
      </c>
      <c r="B1870" s="11" t="s">
        <v>30</v>
      </c>
      <c r="C1870" s="11" t="s">
        <v>130</v>
      </c>
      <c r="D1870" s="11" t="s">
        <v>37</v>
      </c>
      <c r="E1870" s="11"/>
      <c r="F1870" s="11" t="s">
        <v>124</v>
      </c>
      <c r="G1870" s="21" t="n">
        <v>31.34</v>
      </c>
      <c r="H1870" s="19" t="n">
        <v>48.5</v>
      </c>
      <c r="I1870" s="21" t="n">
        <v>16.14</v>
      </c>
      <c r="J1870" s="22" t="s">
        <v>80</v>
      </c>
      <c r="K1870" s="11" t="n">
        <v>36</v>
      </c>
      <c r="L1870" s="23" t="n">
        <v>1.6</v>
      </c>
      <c r="M1870" s="24" t="b">
        <f aca="false">TRUE()</f>
        <v>1</v>
      </c>
      <c r="N1870" s="11" t="s">
        <v>128</v>
      </c>
      <c r="O1870" s="11" t="str">
        <f aca="false">IF(K1870&lt;=StockP33,"Low",IF(K1870&lt;=StockP67,"Moderate","High"))</f>
        <v>High</v>
      </c>
      <c r="P1870" s="11" t="str">
        <f aca="false">IF(H1870=0,"Low",IF(H1870&lt;=MarkdownP75,"Moderate","High"))</f>
        <v>High</v>
      </c>
      <c r="Q1870" s="11" t="str">
        <f aca="false">IF(ISBLANK(L1870),"Unknown",IF(L1870&gt;=4,"Good",IF(L1870&lt;=2,"Poor","Neutral")))</f>
        <v>Poor</v>
      </c>
      <c r="R1870" s="11" t="str">
        <f aca="false">IF(AND(O1870="Low",P1870="Low",Q1870="Good"),"BUY / PRIORITIZE",IF(AND(O1870="High",P1870="High",OR(Q1870="Poor",M1870=TRUE())),"HOLD / REVIEW","MONITOR"))</f>
        <v>HOLD / REVIEW</v>
      </c>
      <c r="S1870" s="11" t="n">
        <f aca="false">K1870+(ROW()/10000000)</f>
        <v>36.000187</v>
      </c>
    </row>
    <row r="1871" customFormat="false" ht="15" hidden="false" customHeight="false" outlineLevel="0" collapsed="false">
      <c r="A1871" s="11" t="s">
        <v>2223</v>
      </c>
      <c r="B1871" s="11" t="s">
        <v>27</v>
      </c>
      <c r="C1871" s="11" t="s">
        <v>101</v>
      </c>
      <c r="D1871" s="11" t="s">
        <v>36</v>
      </c>
      <c r="E1871" s="11" t="s">
        <v>78</v>
      </c>
      <c r="F1871" s="11" t="s">
        <v>111</v>
      </c>
      <c r="G1871" s="21" t="n">
        <v>98.91</v>
      </c>
      <c r="H1871" s="19" t="n">
        <v>33.8</v>
      </c>
      <c r="I1871" s="21" t="n">
        <v>65.48</v>
      </c>
      <c r="J1871" s="22" t="s">
        <v>80</v>
      </c>
      <c r="K1871" s="11" t="n">
        <v>33</v>
      </c>
      <c r="L1871" s="23"/>
      <c r="M1871" s="24" t="b">
        <f aca="false">TRUE()</f>
        <v>1</v>
      </c>
      <c r="N1871" s="11" t="s">
        <v>89</v>
      </c>
      <c r="O1871" s="11" t="str">
        <f aca="false">IF(K1871&lt;=StockP33,"Low",IF(K1871&lt;=StockP67,"Moderate","High"))</f>
        <v>Moderate</v>
      </c>
      <c r="P1871" s="11" t="str">
        <f aca="false">IF(H1871=0,"Low",IF(H1871&lt;=MarkdownP75,"Moderate","High"))</f>
        <v>High</v>
      </c>
      <c r="Q1871" s="11" t="str">
        <f aca="false">IF(ISBLANK(L1871),"Unknown",IF(L1871&gt;=4,"Good",IF(L1871&lt;=2,"Poor","Neutral")))</f>
        <v>Unknown</v>
      </c>
      <c r="R1871" s="11" t="str">
        <f aca="false">IF(AND(O1871="Low",P1871="Low",Q1871="Good"),"BUY / PRIORITIZE",IF(AND(O1871="High",P1871="High",OR(Q1871="Poor",M1871=TRUE())),"HOLD / REVIEW","MONITOR"))</f>
        <v>MONITOR</v>
      </c>
      <c r="S1871" s="11" t="n">
        <f aca="false">K1871+(ROW()/10000000)</f>
        <v>33.0001871</v>
      </c>
    </row>
    <row r="1872" customFormat="false" ht="15" hidden="false" customHeight="false" outlineLevel="0" collapsed="false">
      <c r="A1872" s="11" t="s">
        <v>2224</v>
      </c>
      <c r="B1872" s="11" t="s">
        <v>8</v>
      </c>
      <c r="C1872" s="11" t="s">
        <v>72</v>
      </c>
      <c r="D1872" s="11" t="s">
        <v>37</v>
      </c>
      <c r="E1872" s="11"/>
      <c r="F1872" s="11" t="s">
        <v>74</v>
      </c>
      <c r="G1872" s="21" t="n">
        <v>43.33</v>
      </c>
      <c r="H1872" s="19" t="n">
        <v>7.8</v>
      </c>
      <c r="I1872" s="21" t="n">
        <v>39.95</v>
      </c>
      <c r="J1872" s="22" t="s">
        <v>80</v>
      </c>
      <c r="K1872" s="11" t="n">
        <v>4</v>
      </c>
      <c r="L1872" s="23" t="n">
        <v>1.3</v>
      </c>
      <c r="M1872" s="24" t="b">
        <f aca="false">FALSE()</f>
        <v>0</v>
      </c>
      <c r="N1872" s="11"/>
      <c r="O1872" s="11" t="str">
        <f aca="false">IF(K1872&lt;=StockP33,"Low",IF(K1872&lt;=StockP67,"Moderate","High"))</f>
        <v>Low</v>
      </c>
      <c r="P1872" s="11" t="str">
        <f aca="false">IF(H1872=0,"Low",IF(H1872&lt;=MarkdownP75,"Moderate","High"))</f>
        <v>Moderate</v>
      </c>
      <c r="Q1872" s="11" t="str">
        <f aca="false">IF(ISBLANK(L1872),"Unknown",IF(L1872&gt;=4,"Good",IF(L1872&lt;=2,"Poor","Neutral")))</f>
        <v>Poor</v>
      </c>
      <c r="R1872" s="11" t="str">
        <f aca="false">IF(AND(O1872="Low",P1872="Low",Q1872="Good"),"BUY / PRIORITIZE",IF(AND(O1872="High",P1872="High",OR(Q1872="Poor",M1872=TRUE())),"HOLD / REVIEW","MONITOR"))</f>
        <v>MONITOR</v>
      </c>
      <c r="S1872" s="11" t="n">
        <f aca="false">K1872+(ROW()/10000000)</f>
        <v>4.0001872</v>
      </c>
    </row>
    <row r="1873" customFormat="false" ht="15" hidden="false" customHeight="false" outlineLevel="0" collapsed="false">
      <c r="A1873" s="11" t="s">
        <v>2225</v>
      </c>
      <c r="B1873" s="11" t="s">
        <v>29</v>
      </c>
      <c r="C1873" s="11" t="s">
        <v>116</v>
      </c>
      <c r="D1873" s="11" t="s">
        <v>35</v>
      </c>
      <c r="E1873" s="11" t="s">
        <v>113</v>
      </c>
      <c r="F1873" s="11" t="s">
        <v>82</v>
      </c>
      <c r="G1873" s="21" t="n">
        <v>70.71</v>
      </c>
      <c r="H1873" s="19" t="n">
        <v>0</v>
      </c>
      <c r="I1873" s="21" t="n">
        <v>70.71</v>
      </c>
      <c r="J1873" s="22" t="s">
        <v>80</v>
      </c>
      <c r="K1873" s="11" t="n">
        <v>8</v>
      </c>
      <c r="L1873" s="23" t="n">
        <v>2.3</v>
      </c>
      <c r="M1873" s="24" t="b">
        <f aca="false">FALSE()</f>
        <v>0</v>
      </c>
      <c r="N1873" s="11"/>
      <c r="O1873" s="11" t="str">
        <f aca="false">IF(K1873&lt;=StockP33,"Low",IF(K1873&lt;=StockP67,"Moderate","High"))</f>
        <v>Low</v>
      </c>
      <c r="P1873" s="11" t="str">
        <f aca="false">IF(H1873=0,"Low",IF(H1873&lt;=MarkdownP75,"Moderate","High"))</f>
        <v>Low</v>
      </c>
      <c r="Q1873" s="11" t="str">
        <f aca="false">IF(ISBLANK(L1873),"Unknown",IF(L1873&gt;=4,"Good",IF(L1873&lt;=2,"Poor","Neutral")))</f>
        <v>Neutral</v>
      </c>
      <c r="R1873" s="11" t="str">
        <f aca="false">IF(AND(O1873="Low",P1873="Low",Q1873="Good"),"BUY / PRIORITIZE",IF(AND(O1873="High",P1873="High",OR(Q1873="Poor",M1873=TRUE())),"HOLD / REVIEW","MONITOR"))</f>
        <v>MONITOR</v>
      </c>
      <c r="S1873" s="11" t="n">
        <f aca="false">K1873+(ROW()/10000000)</f>
        <v>8.0001873</v>
      </c>
    </row>
    <row r="1874" customFormat="false" ht="15" hidden="false" customHeight="false" outlineLevel="0" collapsed="false">
      <c r="A1874" s="11" t="s">
        <v>2226</v>
      </c>
      <c r="B1874" s="11" t="s">
        <v>28</v>
      </c>
      <c r="C1874" s="11" t="s">
        <v>101</v>
      </c>
      <c r="D1874" s="11" t="s">
        <v>37</v>
      </c>
      <c r="E1874" s="11" t="s">
        <v>91</v>
      </c>
      <c r="F1874" s="11" t="s">
        <v>120</v>
      </c>
      <c r="G1874" s="21" t="n">
        <v>215.99</v>
      </c>
      <c r="H1874" s="19" t="n">
        <v>38.1</v>
      </c>
      <c r="I1874" s="21" t="n">
        <v>133.7</v>
      </c>
      <c r="J1874" s="22" t="s">
        <v>80</v>
      </c>
      <c r="K1874" s="11" t="n">
        <v>14</v>
      </c>
      <c r="L1874" s="23" t="n">
        <v>3.9</v>
      </c>
      <c r="M1874" s="24" t="b">
        <f aca="false">FALSE()</f>
        <v>0</v>
      </c>
      <c r="N1874" s="11"/>
      <c r="O1874" s="11" t="str">
        <f aca="false">IF(K1874&lt;=StockP33,"Low",IF(K1874&lt;=StockP67,"Moderate","High"))</f>
        <v>Low</v>
      </c>
      <c r="P1874" s="11" t="str">
        <f aca="false">IF(H1874=0,"Low",IF(H1874&lt;=MarkdownP75,"Moderate","High"))</f>
        <v>High</v>
      </c>
      <c r="Q1874" s="11" t="str">
        <f aca="false">IF(ISBLANK(L1874),"Unknown",IF(L1874&gt;=4,"Good",IF(L1874&lt;=2,"Poor","Neutral")))</f>
        <v>Neutral</v>
      </c>
      <c r="R1874" s="11" t="str">
        <f aca="false">IF(AND(O1874="Low",P1874="Low",Q1874="Good"),"BUY / PRIORITIZE",IF(AND(O1874="High",P1874="High",OR(Q1874="Poor",M1874=TRUE())),"HOLD / REVIEW","MONITOR"))</f>
        <v>MONITOR</v>
      </c>
      <c r="S1874" s="11" t="n">
        <f aca="false">K1874+(ROW()/10000000)</f>
        <v>14.0001874</v>
      </c>
    </row>
    <row r="1875" customFormat="false" ht="15" hidden="false" customHeight="false" outlineLevel="0" collapsed="false">
      <c r="A1875" s="11" t="s">
        <v>2227</v>
      </c>
      <c r="B1875" s="11" t="s">
        <v>27</v>
      </c>
      <c r="C1875" s="11" t="s">
        <v>86</v>
      </c>
      <c r="D1875" s="11" t="s">
        <v>37</v>
      </c>
      <c r="E1875" s="11" t="s">
        <v>73</v>
      </c>
      <c r="F1875" s="11" t="s">
        <v>98</v>
      </c>
      <c r="G1875" s="21" t="n">
        <v>145.57</v>
      </c>
      <c r="H1875" s="19" t="n">
        <v>5.1</v>
      </c>
      <c r="I1875" s="21" t="n">
        <v>138.15</v>
      </c>
      <c r="J1875" s="22" t="s">
        <v>80</v>
      </c>
      <c r="K1875" s="11" t="n">
        <v>8</v>
      </c>
      <c r="L1875" s="23" t="n">
        <v>4.4</v>
      </c>
      <c r="M1875" s="24" t="b">
        <f aca="false">FALSE()</f>
        <v>0</v>
      </c>
      <c r="N1875" s="11"/>
      <c r="O1875" s="11" t="str">
        <f aca="false">IF(K1875&lt;=StockP33,"Low",IF(K1875&lt;=StockP67,"Moderate","High"))</f>
        <v>Low</v>
      </c>
      <c r="P1875" s="11" t="str">
        <f aca="false">IF(H1875=0,"Low",IF(H1875&lt;=MarkdownP75,"Moderate","High"))</f>
        <v>Moderate</v>
      </c>
      <c r="Q1875" s="11" t="str">
        <f aca="false">IF(ISBLANK(L1875),"Unknown",IF(L1875&gt;=4,"Good",IF(L1875&lt;=2,"Poor","Neutral")))</f>
        <v>Good</v>
      </c>
      <c r="R1875" s="11" t="str">
        <f aca="false">IF(AND(O1875="Low",P1875="Low",Q1875="Good"),"BUY / PRIORITIZE",IF(AND(O1875="High",P1875="High",OR(Q1875="Poor",M1875=TRUE())),"HOLD / REVIEW","MONITOR"))</f>
        <v>MONITOR</v>
      </c>
      <c r="S1875" s="11" t="n">
        <f aca="false">K1875+(ROW()/10000000)</f>
        <v>8.0001875</v>
      </c>
    </row>
    <row r="1876" customFormat="false" ht="15" hidden="false" customHeight="false" outlineLevel="0" collapsed="false">
      <c r="A1876" s="11" t="s">
        <v>2228</v>
      </c>
      <c r="B1876" s="11" t="s">
        <v>29</v>
      </c>
      <c r="C1876" s="11" t="s">
        <v>86</v>
      </c>
      <c r="D1876" s="11" t="s">
        <v>36</v>
      </c>
      <c r="E1876" s="11" t="s">
        <v>110</v>
      </c>
      <c r="F1876" s="11" t="s">
        <v>118</v>
      </c>
      <c r="G1876" s="21" t="n">
        <v>195.03</v>
      </c>
      <c r="H1876" s="19" t="n">
        <v>0</v>
      </c>
      <c r="I1876" s="21" t="n">
        <v>195.03</v>
      </c>
      <c r="J1876" s="22" t="s">
        <v>80</v>
      </c>
      <c r="K1876" s="11" t="n">
        <v>44</v>
      </c>
      <c r="L1876" s="23" t="n">
        <v>4.4</v>
      </c>
      <c r="M1876" s="24" t="b">
        <f aca="false">FALSE()</f>
        <v>0</v>
      </c>
      <c r="N1876" s="11"/>
      <c r="O1876" s="11" t="str">
        <f aca="false">IF(K1876&lt;=StockP33,"Low",IF(K1876&lt;=StockP67,"Moderate","High"))</f>
        <v>High</v>
      </c>
      <c r="P1876" s="11" t="str">
        <f aca="false">IF(H1876=0,"Low",IF(H1876&lt;=MarkdownP75,"Moderate","High"))</f>
        <v>Low</v>
      </c>
      <c r="Q1876" s="11" t="str">
        <f aca="false">IF(ISBLANK(L1876),"Unknown",IF(L1876&gt;=4,"Good",IF(L1876&lt;=2,"Poor","Neutral")))</f>
        <v>Good</v>
      </c>
      <c r="R1876" s="11" t="str">
        <f aca="false">IF(AND(O1876="Low",P1876="Low",Q1876="Good"),"BUY / PRIORITIZE",IF(AND(O1876="High",P1876="High",OR(Q1876="Poor",M1876=TRUE())),"HOLD / REVIEW","MONITOR"))</f>
        <v>MONITOR</v>
      </c>
      <c r="S1876" s="11" t="n">
        <f aca="false">K1876+(ROW()/10000000)</f>
        <v>44.0001876</v>
      </c>
    </row>
    <row r="1877" customFormat="false" ht="15" hidden="false" customHeight="false" outlineLevel="0" collapsed="false">
      <c r="A1877" s="11" t="s">
        <v>2229</v>
      </c>
      <c r="B1877" s="11" t="s">
        <v>26</v>
      </c>
      <c r="C1877" s="11" t="s">
        <v>107</v>
      </c>
      <c r="D1877" s="11" t="s">
        <v>37</v>
      </c>
      <c r="E1877" s="11" t="s">
        <v>110</v>
      </c>
      <c r="F1877" s="11" t="s">
        <v>82</v>
      </c>
      <c r="G1877" s="21" t="n">
        <v>74.88</v>
      </c>
      <c r="H1877" s="19" t="n">
        <v>9.7</v>
      </c>
      <c r="I1877" s="21" t="n">
        <v>67.62</v>
      </c>
      <c r="J1877" s="22" t="s">
        <v>80</v>
      </c>
      <c r="K1877" s="11" t="n">
        <v>23</v>
      </c>
      <c r="L1877" s="23" t="n">
        <v>2.6</v>
      </c>
      <c r="M1877" s="24" t="b">
        <f aca="false">FALSE()</f>
        <v>0</v>
      </c>
      <c r="N1877" s="11"/>
      <c r="O1877" s="11" t="str">
        <f aca="false">IF(K1877&lt;=StockP33,"Low",IF(K1877&lt;=StockP67,"Moderate","High"))</f>
        <v>Moderate</v>
      </c>
      <c r="P1877" s="11" t="str">
        <f aca="false">IF(H1877=0,"Low",IF(H1877&lt;=MarkdownP75,"Moderate","High"))</f>
        <v>Moderate</v>
      </c>
      <c r="Q1877" s="11" t="str">
        <f aca="false">IF(ISBLANK(L1877),"Unknown",IF(L1877&gt;=4,"Good",IF(L1877&lt;=2,"Poor","Neutral")))</f>
        <v>Neutral</v>
      </c>
      <c r="R1877" s="11" t="str">
        <f aca="false">IF(AND(O1877="Low",P1877="Low",Q1877="Good"),"BUY / PRIORITIZE",IF(AND(O1877="High",P1877="High",OR(Q1877="Poor",M1877=TRUE())),"HOLD / REVIEW","MONITOR"))</f>
        <v>MONITOR</v>
      </c>
      <c r="S1877" s="11" t="n">
        <f aca="false">K1877+(ROW()/10000000)</f>
        <v>23.0001877</v>
      </c>
    </row>
    <row r="1878" customFormat="false" ht="15" hidden="false" customHeight="false" outlineLevel="0" collapsed="false">
      <c r="A1878" s="11" t="s">
        <v>2230</v>
      </c>
      <c r="B1878" s="11" t="s">
        <v>30</v>
      </c>
      <c r="C1878" s="11" t="s">
        <v>116</v>
      </c>
      <c r="D1878" s="11" t="s">
        <v>34</v>
      </c>
      <c r="E1878" s="11" t="s">
        <v>78</v>
      </c>
      <c r="F1878" s="11" t="s">
        <v>79</v>
      </c>
      <c r="G1878" s="21" t="n">
        <v>50.3</v>
      </c>
      <c r="H1878" s="19" t="n">
        <v>0</v>
      </c>
      <c r="I1878" s="21" t="n">
        <v>50.3</v>
      </c>
      <c r="J1878" s="22" t="s">
        <v>1141</v>
      </c>
      <c r="K1878" s="11" t="n">
        <v>23</v>
      </c>
      <c r="L1878" s="23" t="n">
        <v>1.3</v>
      </c>
      <c r="M1878" s="24" t="b">
        <f aca="false">FALSE()</f>
        <v>0</v>
      </c>
      <c r="N1878" s="11"/>
      <c r="O1878" s="11" t="str">
        <f aca="false">IF(K1878&lt;=StockP33,"Low",IF(K1878&lt;=StockP67,"Moderate","High"))</f>
        <v>Moderate</v>
      </c>
      <c r="P1878" s="11" t="str">
        <f aca="false">IF(H1878=0,"Low",IF(H1878&lt;=MarkdownP75,"Moderate","High"))</f>
        <v>Low</v>
      </c>
      <c r="Q1878" s="11" t="str">
        <f aca="false">IF(ISBLANK(L1878),"Unknown",IF(L1878&gt;=4,"Good",IF(L1878&lt;=2,"Poor","Neutral")))</f>
        <v>Poor</v>
      </c>
      <c r="R1878" s="11" t="str">
        <f aca="false">IF(AND(O1878="Low",P1878="Low",Q1878="Good"),"BUY / PRIORITIZE",IF(AND(O1878="High",P1878="High",OR(Q1878="Poor",M1878=TRUE())),"HOLD / REVIEW","MONITOR"))</f>
        <v>MONITOR</v>
      </c>
      <c r="S1878" s="11" t="n">
        <f aca="false">K1878+(ROW()/10000000)</f>
        <v>23.0001878</v>
      </c>
    </row>
    <row r="1879" customFormat="false" ht="15" hidden="false" customHeight="false" outlineLevel="0" collapsed="false">
      <c r="A1879" s="11" t="s">
        <v>2231</v>
      </c>
      <c r="B1879" s="11" t="s">
        <v>28</v>
      </c>
      <c r="C1879" s="11" t="s">
        <v>107</v>
      </c>
      <c r="D1879" s="11" t="s">
        <v>35</v>
      </c>
      <c r="E1879" s="11" t="s">
        <v>102</v>
      </c>
      <c r="F1879" s="11" t="s">
        <v>74</v>
      </c>
      <c r="G1879" s="21" t="n">
        <v>130.65</v>
      </c>
      <c r="H1879" s="19" t="n">
        <v>0</v>
      </c>
      <c r="I1879" s="21" t="n">
        <v>130.65</v>
      </c>
      <c r="J1879" s="22" t="s">
        <v>80</v>
      </c>
      <c r="K1879" s="11" t="n">
        <v>20</v>
      </c>
      <c r="L1879" s="23" t="n">
        <v>2.6</v>
      </c>
      <c r="M1879" s="24" t="b">
        <f aca="false">FALSE()</f>
        <v>0</v>
      </c>
      <c r="N1879" s="11"/>
      <c r="O1879" s="11" t="str">
        <f aca="false">IF(K1879&lt;=StockP33,"Low",IF(K1879&lt;=StockP67,"Moderate","High"))</f>
        <v>Moderate</v>
      </c>
      <c r="P1879" s="11" t="str">
        <f aca="false">IF(H1879=0,"Low",IF(H1879&lt;=MarkdownP75,"Moderate","High"))</f>
        <v>Low</v>
      </c>
      <c r="Q1879" s="11" t="str">
        <f aca="false">IF(ISBLANK(L1879),"Unknown",IF(L1879&gt;=4,"Good",IF(L1879&lt;=2,"Poor","Neutral")))</f>
        <v>Neutral</v>
      </c>
      <c r="R1879" s="11" t="str">
        <f aca="false">IF(AND(O1879="Low",P1879="Low",Q1879="Good"),"BUY / PRIORITIZE",IF(AND(O1879="High",P1879="High",OR(Q1879="Poor",M1879=TRUE())),"HOLD / REVIEW","MONITOR"))</f>
        <v>MONITOR</v>
      </c>
      <c r="S1879" s="11" t="n">
        <f aca="false">K1879+(ROW()/10000000)</f>
        <v>20.0001879</v>
      </c>
    </row>
    <row r="1880" customFormat="false" ht="15" hidden="false" customHeight="false" outlineLevel="0" collapsed="false">
      <c r="A1880" s="11" t="s">
        <v>2232</v>
      </c>
      <c r="B1880" s="11" t="s">
        <v>27</v>
      </c>
      <c r="C1880" s="11" t="s">
        <v>130</v>
      </c>
      <c r="D1880" s="11" t="s">
        <v>34</v>
      </c>
      <c r="E1880" s="11" t="s">
        <v>102</v>
      </c>
      <c r="F1880" s="11" t="s">
        <v>98</v>
      </c>
      <c r="G1880" s="21" t="n">
        <v>94.56</v>
      </c>
      <c r="H1880" s="19" t="n">
        <v>40.3</v>
      </c>
      <c r="I1880" s="21" t="n">
        <v>56.45</v>
      </c>
      <c r="J1880" s="22" t="s">
        <v>2042</v>
      </c>
      <c r="K1880" s="11" t="n">
        <v>41</v>
      </c>
      <c r="L1880" s="23" t="n">
        <v>4.7</v>
      </c>
      <c r="M1880" s="24" t="b">
        <f aca="false">FALSE()</f>
        <v>0</v>
      </c>
      <c r="N1880" s="11"/>
      <c r="O1880" s="11" t="str">
        <f aca="false">IF(K1880&lt;=StockP33,"Low",IF(K1880&lt;=StockP67,"Moderate","High"))</f>
        <v>High</v>
      </c>
      <c r="P1880" s="11" t="str">
        <f aca="false">IF(H1880=0,"Low",IF(H1880&lt;=MarkdownP75,"Moderate","High"))</f>
        <v>High</v>
      </c>
      <c r="Q1880" s="11" t="str">
        <f aca="false">IF(ISBLANK(L1880),"Unknown",IF(L1880&gt;=4,"Good",IF(L1880&lt;=2,"Poor","Neutral")))</f>
        <v>Good</v>
      </c>
      <c r="R1880" s="11" t="str">
        <f aca="false">IF(AND(O1880="Low",P1880="Low",Q1880="Good"),"BUY / PRIORITIZE",IF(AND(O1880="High",P1880="High",OR(Q1880="Poor",M1880=TRUE())),"HOLD / REVIEW","MONITOR"))</f>
        <v>MONITOR</v>
      </c>
      <c r="S1880" s="11" t="n">
        <f aca="false">K1880+(ROW()/10000000)</f>
        <v>41.000188</v>
      </c>
    </row>
    <row r="1881" customFormat="false" ht="15" hidden="false" customHeight="false" outlineLevel="0" collapsed="false">
      <c r="A1881" s="11" t="s">
        <v>2233</v>
      </c>
      <c r="B1881" s="11" t="s">
        <v>28</v>
      </c>
      <c r="C1881" s="11" t="s">
        <v>77</v>
      </c>
      <c r="D1881" s="11" t="s">
        <v>34</v>
      </c>
      <c r="E1881" s="11" t="s">
        <v>91</v>
      </c>
      <c r="F1881" s="11" t="s">
        <v>124</v>
      </c>
      <c r="G1881" s="21" t="n">
        <v>138.98</v>
      </c>
      <c r="H1881" s="19" t="n">
        <v>10.2</v>
      </c>
      <c r="I1881" s="21" t="n">
        <v>124.8</v>
      </c>
      <c r="J1881" s="22" t="s">
        <v>749</v>
      </c>
      <c r="K1881" s="11" t="n">
        <v>36</v>
      </c>
      <c r="L1881" s="23" t="n">
        <v>1.4</v>
      </c>
      <c r="M1881" s="24" t="b">
        <f aca="false">FALSE()</f>
        <v>0</v>
      </c>
      <c r="N1881" s="11"/>
      <c r="O1881" s="11" t="str">
        <f aca="false">IF(K1881&lt;=StockP33,"Low",IF(K1881&lt;=StockP67,"Moderate","High"))</f>
        <v>High</v>
      </c>
      <c r="P1881" s="11" t="str">
        <f aca="false">IF(H1881=0,"Low",IF(H1881&lt;=MarkdownP75,"Moderate","High"))</f>
        <v>Moderate</v>
      </c>
      <c r="Q1881" s="11" t="str">
        <f aca="false">IF(ISBLANK(L1881),"Unknown",IF(L1881&gt;=4,"Good",IF(L1881&lt;=2,"Poor","Neutral")))</f>
        <v>Poor</v>
      </c>
      <c r="R1881" s="11" t="str">
        <f aca="false">IF(AND(O1881="Low",P1881="Low",Q1881="Good"),"BUY / PRIORITIZE",IF(AND(O1881="High",P1881="High",OR(Q1881="Poor",M1881=TRUE())),"HOLD / REVIEW","MONITOR"))</f>
        <v>MONITOR</v>
      </c>
      <c r="S1881" s="11" t="n">
        <f aca="false">K1881+(ROW()/10000000)</f>
        <v>36.0001881</v>
      </c>
    </row>
    <row r="1882" customFormat="false" ht="15" hidden="false" customHeight="false" outlineLevel="0" collapsed="false">
      <c r="A1882" s="11" t="s">
        <v>2234</v>
      </c>
      <c r="B1882" s="11" t="s">
        <v>8</v>
      </c>
      <c r="C1882" s="11" t="s">
        <v>101</v>
      </c>
      <c r="D1882" s="11" t="s">
        <v>37</v>
      </c>
      <c r="E1882" s="11"/>
      <c r="F1882" s="11" t="s">
        <v>98</v>
      </c>
      <c r="G1882" s="21" t="n">
        <v>52.57</v>
      </c>
      <c r="H1882" s="19" t="n">
        <v>0</v>
      </c>
      <c r="I1882" s="21" t="n">
        <v>52.57</v>
      </c>
      <c r="J1882" s="22" t="s">
        <v>80</v>
      </c>
      <c r="K1882" s="11" t="n">
        <v>50</v>
      </c>
      <c r="L1882" s="23" t="n">
        <v>2.5</v>
      </c>
      <c r="M1882" s="24" t="b">
        <f aca="false">TRUE()</f>
        <v>1</v>
      </c>
      <c r="N1882" s="11" t="s">
        <v>134</v>
      </c>
      <c r="O1882" s="11" t="str">
        <f aca="false">IF(K1882&lt;=StockP33,"Low",IF(K1882&lt;=StockP67,"Moderate","High"))</f>
        <v>High</v>
      </c>
      <c r="P1882" s="11" t="str">
        <f aca="false">IF(H1882=0,"Low",IF(H1882&lt;=MarkdownP75,"Moderate","High"))</f>
        <v>Low</v>
      </c>
      <c r="Q1882" s="11" t="str">
        <f aca="false">IF(ISBLANK(L1882),"Unknown",IF(L1882&gt;=4,"Good",IF(L1882&lt;=2,"Poor","Neutral")))</f>
        <v>Neutral</v>
      </c>
      <c r="R1882" s="11" t="str">
        <f aca="false">IF(AND(O1882="Low",P1882="Low",Q1882="Good"),"BUY / PRIORITIZE",IF(AND(O1882="High",P1882="High",OR(Q1882="Poor",M1882=TRUE())),"HOLD / REVIEW","MONITOR"))</f>
        <v>MONITOR</v>
      </c>
      <c r="S1882" s="11" t="n">
        <f aca="false">K1882+(ROW()/10000000)</f>
        <v>50.0001882</v>
      </c>
    </row>
    <row r="1883" customFormat="false" ht="15" hidden="false" customHeight="false" outlineLevel="0" collapsed="false">
      <c r="A1883" s="11" t="s">
        <v>2235</v>
      </c>
      <c r="B1883" s="11" t="s">
        <v>28</v>
      </c>
      <c r="C1883" s="11" t="s">
        <v>101</v>
      </c>
      <c r="D1883" s="11" t="s">
        <v>34</v>
      </c>
      <c r="E1883" s="11"/>
      <c r="F1883" s="11" t="s">
        <v>88</v>
      </c>
      <c r="G1883" s="21" t="n">
        <v>151.62</v>
      </c>
      <c r="H1883" s="19" t="n">
        <v>0</v>
      </c>
      <c r="I1883" s="21" t="n">
        <v>151.62</v>
      </c>
      <c r="J1883" s="22" t="s">
        <v>1026</v>
      </c>
      <c r="K1883" s="11" t="n">
        <v>41</v>
      </c>
      <c r="L1883" s="23" t="n">
        <v>3.5</v>
      </c>
      <c r="M1883" s="24" t="b">
        <f aca="false">FALSE()</f>
        <v>0</v>
      </c>
      <c r="N1883" s="11"/>
      <c r="O1883" s="11" t="str">
        <f aca="false">IF(K1883&lt;=StockP33,"Low",IF(K1883&lt;=StockP67,"Moderate","High"))</f>
        <v>High</v>
      </c>
      <c r="P1883" s="11" t="str">
        <f aca="false">IF(H1883=0,"Low",IF(H1883&lt;=MarkdownP75,"Moderate","High"))</f>
        <v>Low</v>
      </c>
      <c r="Q1883" s="11" t="str">
        <f aca="false">IF(ISBLANK(L1883),"Unknown",IF(L1883&gt;=4,"Good",IF(L1883&lt;=2,"Poor","Neutral")))</f>
        <v>Neutral</v>
      </c>
      <c r="R1883" s="11" t="str">
        <f aca="false">IF(AND(O1883="Low",P1883="Low",Q1883="Good"),"BUY / PRIORITIZE",IF(AND(O1883="High",P1883="High",OR(Q1883="Poor",M1883=TRUE())),"HOLD / REVIEW","MONITOR"))</f>
        <v>MONITOR</v>
      </c>
      <c r="S1883" s="11" t="n">
        <f aca="false">K1883+(ROW()/10000000)</f>
        <v>41.0001883</v>
      </c>
    </row>
    <row r="1884" customFormat="false" ht="15" hidden="false" customHeight="false" outlineLevel="0" collapsed="false">
      <c r="A1884" s="11" t="s">
        <v>2236</v>
      </c>
      <c r="B1884" s="11" t="s">
        <v>8</v>
      </c>
      <c r="C1884" s="11" t="s">
        <v>77</v>
      </c>
      <c r="D1884" s="11" t="s">
        <v>34</v>
      </c>
      <c r="E1884" s="11"/>
      <c r="F1884" s="11" t="s">
        <v>96</v>
      </c>
      <c r="G1884" s="21" t="n">
        <v>26.7</v>
      </c>
      <c r="H1884" s="19" t="n">
        <v>0</v>
      </c>
      <c r="I1884" s="21" t="n">
        <v>26.7</v>
      </c>
      <c r="J1884" s="22" t="s">
        <v>2075</v>
      </c>
      <c r="K1884" s="11" t="n">
        <v>48</v>
      </c>
      <c r="L1884" s="23" t="n">
        <v>3.1</v>
      </c>
      <c r="M1884" s="24" t="b">
        <f aca="false">FALSE()</f>
        <v>0</v>
      </c>
      <c r="N1884" s="11"/>
      <c r="O1884" s="11" t="str">
        <f aca="false">IF(K1884&lt;=StockP33,"Low",IF(K1884&lt;=StockP67,"Moderate","High"))</f>
        <v>High</v>
      </c>
      <c r="P1884" s="11" t="str">
        <f aca="false">IF(H1884=0,"Low",IF(H1884&lt;=MarkdownP75,"Moderate","High"))</f>
        <v>Low</v>
      </c>
      <c r="Q1884" s="11" t="str">
        <f aca="false">IF(ISBLANK(L1884),"Unknown",IF(L1884&gt;=4,"Good",IF(L1884&lt;=2,"Poor","Neutral")))</f>
        <v>Neutral</v>
      </c>
      <c r="R1884" s="11" t="str">
        <f aca="false">IF(AND(O1884="Low",P1884="Low",Q1884="Good"),"BUY / PRIORITIZE",IF(AND(O1884="High",P1884="High",OR(Q1884="Poor",M1884=TRUE())),"HOLD / REVIEW","MONITOR"))</f>
        <v>MONITOR</v>
      </c>
      <c r="S1884" s="11" t="n">
        <f aca="false">K1884+(ROW()/10000000)</f>
        <v>48.0001884</v>
      </c>
    </row>
    <row r="1885" customFormat="false" ht="15" hidden="false" customHeight="false" outlineLevel="0" collapsed="false">
      <c r="A1885" s="11" t="s">
        <v>2237</v>
      </c>
      <c r="B1885" s="11" t="s">
        <v>28</v>
      </c>
      <c r="C1885" s="11" t="s">
        <v>107</v>
      </c>
      <c r="D1885" s="11" t="s">
        <v>35</v>
      </c>
      <c r="E1885" s="11" t="s">
        <v>91</v>
      </c>
      <c r="F1885" s="11" t="s">
        <v>124</v>
      </c>
      <c r="G1885" s="21" t="n">
        <v>147.5</v>
      </c>
      <c r="H1885" s="19" t="n">
        <v>0</v>
      </c>
      <c r="I1885" s="21" t="n">
        <v>147.5</v>
      </c>
      <c r="J1885" s="22" t="s">
        <v>80</v>
      </c>
      <c r="K1885" s="11" t="n">
        <v>4</v>
      </c>
      <c r="L1885" s="23" t="n">
        <v>2.4</v>
      </c>
      <c r="M1885" s="24" t="b">
        <f aca="false">FALSE()</f>
        <v>0</v>
      </c>
      <c r="N1885" s="11"/>
      <c r="O1885" s="11" t="str">
        <f aca="false">IF(K1885&lt;=StockP33,"Low",IF(K1885&lt;=StockP67,"Moderate","High"))</f>
        <v>Low</v>
      </c>
      <c r="P1885" s="11" t="str">
        <f aca="false">IF(H1885=0,"Low",IF(H1885&lt;=MarkdownP75,"Moderate","High"))</f>
        <v>Low</v>
      </c>
      <c r="Q1885" s="11" t="str">
        <f aca="false">IF(ISBLANK(L1885),"Unknown",IF(L1885&gt;=4,"Good",IF(L1885&lt;=2,"Poor","Neutral")))</f>
        <v>Neutral</v>
      </c>
      <c r="R1885" s="11" t="str">
        <f aca="false">IF(AND(O1885="Low",P1885="Low",Q1885="Good"),"BUY / PRIORITIZE",IF(AND(O1885="High",P1885="High",OR(Q1885="Poor",M1885=TRUE())),"HOLD / REVIEW","MONITOR"))</f>
        <v>MONITOR</v>
      </c>
      <c r="S1885" s="11" t="n">
        <f aca="false">K1885+(ROW()/10000000)</f>
        <v>4.0001885</v>
      </c>
    </row>
    <row r="1886" customFormat="false" ht="15" hidden="false" customHeight="false" outlineLevel="0" collapsed="false">
      <c r="A1886" s="11" t="s">
        <v>2238</v>
      </c>
      <c r="B1886" s="11" t="s">
        <v>30</v>
      </c>
      <c r="C1886" s="11" t="s">
        <v>95</v>
      </c>
      <c r="D1886" s="11" t="s">
        <v>36</v>
      </c>
      <c r="E1886" s="11" t="s">
        <v>91</v>
      </c>
      <c r="F1886" s="11" t="s">
        <v>118</v>
      </c>
      <c r="G1886" s="21" t="n">
        <v>66</v>
      </c>
      <c r="H1886" s="19" t="n">
        <v>2.7</v>
      </c>
      <c r="I1886" s="21" t="n">
        <v>64.22</v>
      </c>
      <c r="J1886" s="22" t="s">
        <v>80</v>
      </c>
      <c r="K1886" s="11" t="n">
        <v>42</v>
      </c>
      <c r="L1886" s="23" t="n">
        <v>4.4</v>
      </c>
      <c r="M1886" s="24" t="b">
        <f aca="false">FALSE()</f>
        <v>0</v>
      </c>
      <c r="N1886" s="11"/>
      <c r="O1886" s="11" t="str">
        <f aca="false">IF(K1886&lt;=StockP33,"Low",IF(K1886&lt;=StockP67,"Moderate","High"))</f>
        <v>High</v>
      </c>
      <c r="P1886" s="11" t="str">
        <f aca="false">IF(H1886=0,"Low",IF(H1886&lt;=MarkdownP75,"Moderate","High"))</f>
        <v>Moderate</v>
      </c>
      <c r="Q1886" s="11" t="str">
        <f aca="false">IF(ISBLANK(L1886),"Unknown",IF(L1886&gt;=4,"Good",IF(L1886&lt;=2,"Poor","Neutral")))</f>
        <v>Good</v>
      </c>
      <c r="R1886" s="11" t="str">
        <f aca="false">IF(AND(O1886="Low",P1886="Low",Q1886="Good"),"BUY / PRIORITIZE",IF(AND(O1886="High",P1886="High",OR(Q1886="Poor",M1886=TRUE())),"HOLD / REVIEW","MONITOR"))</f>
        <v>MONITOR</v>
      </c>
      <c r="S1886" s="11" t="n">
        <f aca="false">K1886+(ROW()/10000000)</f>
        <v>42.0001886</v>
      </c>
    </row>
    <row r="1887" customFormat="false" ht="15" hidden="false" customHeight="false" outlineLevel="0" collapsed="false">
      <c r="A1887" s="11" t="s">
        <v>2239</v>
      </c>
      <c r="B1887" s="11" t="s">
        <v>28</v>
      </c>
      <c r="C1887" s="11" t="s">
        <v>72</v>
      </c>
      <c r="D1887" s="11" t="s">
        <v>36</v>
      </c>
      <c r="E1887" s="11" t="s">
        <v>110</v>
      </c>
      <c r="F1887" s="11" t="s">
        <v>74</v>
      </c>
      <c r="G1887" s="21" t="n">
        <v>183.6</v>
      </c>
      <c r="H1887" s="19" t="n">
        <v>0</v>
      </c>
      <c r="I1887" s="21" t="n">
        <v>183.6</v>
      </c>
      <c r="J1887" s="22" t="s">
        <v>80</v>
      </c>
      <c r="K1887" s="11" t="n">
        <v>10</v>
      </c>
      <c r="L1887" s="23"/>
      <c r="M1887" s="24" t="b">
        <f aca="false">FALSE()</f>
        <v>0</v>
      </c>
      <c r="N1887" s="11"/>
      <c r="O1887" s="11" t="str">
        <f aca="false">IF(K1887&lt;=StockP33,"Low",IF(K1887&lt;=StockP67,"Moderate","High"))</f>
        <v>Low</v>
      </c>
      <c r="P1887" s="11" t="str">
        <f aca="false">IF(H1887=0,"Low",IF(H1887&lt;=MarkdownP75,"Moderate","High"))</f>
        <v>Low</v>
      </c>
      <c r="Q1887" s="11" t="str">
        <f aca="false">IF(ISBLANK(L1887),"Unknown",IF(L1887&gt;=4,"Good",IF(L1887&lt;=2,"Poor","Neutral")))</f>
        <v>Unknown</v>
      </c>
      <c r="R1887" s="11" t="str">
        <f aca="false">IF(AND(O1887="Low",P1887="Low",Q1887="Good"),"BUY / PRIORITIZE",IF(AND(O1887="High",P1887="High",OR(Q1887="Poor",M1887=TRUE())),"HOLD / REVIEW","MONITOR"))</f>
        <v>MONITOR</v>
      </c>
      <c r="S1887" s="11" t="n">
        <f aca="false">K1887+(ROW()/10000000)</f>
        <v>10.0001887</v>
      </c>
    </row>
    <row r="1888" customFormat="false" ht="15" hidden="false" customHeight="false" outlineLevel="0" collapsed="false">
      <c r="A1888" s="11" t="s">
        <v>2240</v>
      </c>
      <c r="B1888" s="11" t="s">
        <v>29</v>
      </c>
      <c r="C1888" s="11" t="s">
        <v>77</v>
      </c>
      <c r="D1888" s="11" t="s">
        <v>35</v>
      </c>
      <c r="E1888" s="11" t="s">
        <v>78</v>
      </c>
      <c r="F1888" s="11" t="s">
        <v>96</v>
      </c>
      <c r="G1888" s="21" t="n">
        <v>195.83</v>
      </c>
      <c r="H1888" s="19" t="n">
        <v>0</v>
      </c>
      <c r="I1888" s="21" t="n">
        <v>195.83</v>
      </c>
      <c r="J1888" s="22" t="s">
        <v>80</v>
      </c>
      <c r="K1888" s="11" t="n">
        <v>14</v>
      </c>
      <c r="L1888" s="23" t="n">
        <v>2.1</v>
      </c>
      <c r="M1888" s="24" t="b">
        <f aca="false">FALSE()</f>
        <v>0</v>
      </c>
      <c r="N1888" s="11"/>
      <c r="O1888" s="11" t="str">
        <f aca="false">IF(K1888&lt;=StockP33,"Low",IF(K1888&lt;=StockP67,"Moderate","High"))</f>
        <v>Low</v>
      </c>
      <c r="P1888" s="11" t="str">
        <f aca="false">IF(H1888=0,"Low",IF(H1888&lt;=MarkdownP75,"Moderate","High"))</f>
        <v>Low</v>
      </c>
      <c r="Q1888" s="11" t="str">
        <f aca="false">IF(ISBLANK(L1888),"Unknown",IF(L1888&gt;=4,"Good",IF(L1888&lt;=2,"Poor","Neutral")))</f>
        <v>Neutral</v>
      </c>
      <c r="R1888" s="11" t="str">
        <f aca="false">IF(AND(O1888="Low",P1888="Low",Q1888="Good"),"BUY / PRIORITIZE",IF(AND(O1888="High",P1888="High",OR(Q1888="Poor",M1888=TRUE())),"HOLD / REVIEW","MONITOR"))</f>
        <v>MONITOR</v>
      </c>
      <c r="S1888" s="11" t="n">
        <f aca="false">K1888+(ROW()/10000000)</f>
        <v>14.0001888</v>
      </c>
    </row>
    <row r="1889" customFormat="false" ht="15" hidden="false" customHeight="false" outlineLevel="0" collapsed="false">
      <c r="A1889" s="11" t="s">
        <v>2241</v>
      </c>
      <c r="B1889" s="11" t="s">
        <v>26</v>
      </c>
      <c r="C1889" s="11" t="s">
        <v>107</v>
      </c>
      <c r="D1889" s="11" t="s">
        <v>37</v>
      </c>
      <c r="E1889" s="11" t="s">
        <v>91</v>
      </c>
      <c r="F1889" s="11" t="s">
        <v>111</v>
      </c>
      <c r="G1889" s="21" t="n">
        <v>75.53</v>
      </c>
      <c r="H1889" s="19" t="n">
        <v>58.1</v>
      </c>
      <c r="I1889" s="21" t="n">
        <v>31.65</v>
      </c>
      <c r="J1889" s="22" t="s">
        <v>80</v>
      </c>
      <c r="K1889" s="11" t="n">
        <v>33</v>
      </c>
      <c r="L1889" s="23" t="n">
        <v>4</v>
      </c>
      <c r="M1889" s="24" t="b">
        <f aca="false">FALSE()</f>
        <v>0</v>
      </c>
      <c r="N1889" s="11"/>
      <c r="O1889" s="11" t="str">
        <f aca="false">IF(K1889&lt;=StockP33,"Low",IF(K1889&lt;=StockP67,"Moderate","High"))</f>
        <v>Moderate</v>
      </c>
      <c r="P1889" s="11" t="str">
        <f aca="false">IF(H1889=0,"Low",IF(H1889&lt;=MarkdownP75,"Moderate","High"))</f>
        <v>High</v>
      </c>
      <c r="Q1889" s="11" t="str">
        <f aca="false">IF(ISBLANK(L1889),"Unknown",IF(L1889&gt;=4,"Good",IF(L1889&lt;=2,"Poor","Neutral")))</f>
        <v>Good</v>
      </c>
      <c r="R1889" s="11" t="str">
        <f aca="false">IF(AND(O1889="Low",P1889="Low",Q1889="Good"),"BUY / PRIORITIZE",IF(AND(O1889="High",P1889="High",OR(Q1889="Poor",M1889=TRUE())),"HOLD / REVIEW","MONITOR"))</f>
        <v>MONITOR</v>
      </c>
      <c r="S1889" s="11" t="n">
        <f aca="false">K1889+(ROW()/10000000)</f>
        <v>33.0001889</v>
      </c>
    </row>
    <row r="1890" customFormat="false" ht="15" hidden="false" customHeight="false" outlineLevel="0" collapsed="false">
      <c r="A1890" s="11" t="s">
        <v>2242</v>
      </c>
      <c r="B1890" s="11" t="s">
        <v>30</v>
      </c>
      <c r="C1890" s="11" t="s">
        <v>95</v>
      </c>
      <c r="D1890" s="11" t="s">
        <v>34</v>
      </c>
      <c r="E1890" s="11" t="s">
        <v>73</v>
      </c>
      <c r="F1890" s="11" t="s">
        <v>111</v>
      </c>
      <c r="G1890" s="21" t="n">
        <v>30.78</v>
      </c>
      <c r="H1890" s="19" t="n">
        <v>0</v>
      </c>
      <c r="I1890" s="21" t="n">
        <v>30.78</v>
      </c>
      <c r="J1890" s="22" t="s">
        <v>512</v>
      </c>
      <c r="K1890" s="11" t="n">
        <v>28</v>
      </c>
      <c r="L1890" s="23" t="n">
        <v>3.9</v>
      </c>
      <c r="M1890" s="24" t="b">
        <f aca="false">FALSE()</f>
        <v>0</v>
      </c>
      <c r="N1890" s="11"/>
      <c r="O1890" s="11" t="str">
        <f aca="false">IF(K1890&lt;=StockP33,"Low",IF(K1890&lt;=StockP67,"Moderate","High"))</f>
        <v>Moderate</v>
      </c>
      <c r="P1890" s="11" t="str">
        <f aca="false">IF(H1890=0,"Low",IF(H1890&lt;=MarkdownP75,"Moderate","High"))</f>
        <v>Low</v>
      </c>
      <c r="Q1890" s="11" t="str">
        <f aca="false">IF(ISBLANK(L1890),"Unknown",IF(L1890&gt;=4,"Good",IF(L1890&lt;=2,"Poor","Neutral")))</f>
        <v>Neutral</v>
      </c>
      <c r="R1890" s="11" t="str">
        <f aca="false">IF(AND(O1890="Low",P1890="Low",Q1890="Good"),"BUY / PRIORITIZE",IF(AND(O1890="High",P1890="High",OR(Q1890="Poor",M1890=TRUE())),"HOLD / REVIEW","MONITOR"))</f>
        <v>MONITOR</v>
      </c>
      <c r="S1890" s="11" t="n">
        <f aca="false">K1890+(ROW()/10000000)</f>
        <v>28.000189</v>
      </c>
    </row>
    <row r="1891" customFormat="false" ht="15" hidden="false" customHeight="false" outlineLevel="0" collapsed="false">
      <c r="A1891" s="11" t="s">
        <v>2243</v>
      </c>
      <c r="B1891" s="11" t="s">
        <v>29</v>
      </c>
      <c r="C1891" s="11" t="s">
        <v>86</v>
      </c>
      <c r="D1891" s="11" t="s">
        <v>37</v>
      </c>
      <c r="E1891" s="11" t="s">
        <v>78</v>
      </c>
      <c r="F1891" s="11" t="s">
        <v>88</v>
      </c>
      <c r="G1891" s="21" t="n">
        <v>150.96</v>
      </c>
      <c r="H1891" s="19" t="n">
        <v>0</v>
      </c>
      <c r="I1891" s="21" t="n">
        <v>150.96</v>
      </c>
      <c r="J1891" s="22" t="s">
        <v>80</v>
      </c>
      <c r="K1891" s="11" t="n">
        <v>18</v>
      </c>
      <c r="L1891" s="23" t="n">
        <v>4.6</v>
      </c>
      <c r="M1891" s="24" t="b">
        <f aca="false">FALSE()</f>
        <v>0</v>
      </c>
      <c r="N1891" s="11"/>
      <c r="O1891" s="11" t="str">
        <f aca="false">IF(K1891&lt;=StockP33,"Low",IF(K1891&lt;=StockP67,"Moderate","High"))</f>
        <v>Moderate</v>
      </c>
      <c r="P1891" s="11" t="str">
        <f aca="false">IF(H1891=0,"Low",IF(H1891&lt;=MarkdownP75,"Moderate","High"))</f>
        <v>Low</v>
      </c>
      <c r="Q1891" s="11" t="str">
        <f aca="false">IF(ISBLANK(L1891),"Unknown",IF(L1891&gt;=4,"Good",IF(L1891&lt;=2,"Poor","Neutral")))</f>
        <v>Good</v>
      </c>
      <c r="R1891" s="11" t="str">
        <f aca="false">IF(AND(O1891="Low",P1891="Low",Q1891="Good"),"BUY / PRIORITIZE",IF(AND(O1891="High",P1891="High",OR(Q1891="Poor",M1891=TRUE())),"HOLD / REVIEW","MONITOR"))</f>
        <v>MONITOR</v>
      </c>
      <c r="S1891" s="11" t="n">
        <f aca="false">K1891+(ROW()/10000000)</f>
        <v>18.0001891</v>
      </c>
    </row>
    <row r="1892" customFormat="false" ht="15" hidden="false" customHeight="false" outlineLevel="0" collapsed="false">
      <c r="A1892" s="11" t="s">
        <v>2244</v>
      </c>
      <c r="B1892" s="11" t="s">
        <v>26</v>
      </c>
      <c r="C1892" s="11" t="s">
        <v>130</v>
      </c>
      <c r="D1892" s="11" t="s">
        <v>35</v>
      </c>
      <c r="E1892" s="11" t="s">
        <v>78</v>
      </c>
      <c r="F1892" s="11" t="s">
        <v>82</v>
      </c>
      <c r="G1892" s="21" t="n">
        <v>58.98</v>
      </c>
      <c r="H1892" s="19" t="n">
        <v>18.1</v>
      </c>
      <c r="I1892" s="21" t="n">
        <v>48.3</v>
      </c>
      <c r="J1892" s="22" t="s">
        <v>80</v>
      </c>
      <c r="K1892" s="11" t="n">
        <v>23</v>
      </c>
      <c r="L1892" s="23" t="n">
        <v>2.8</v>
      </c>
      <c r="M1892" s="24" t="b">
        <f aca="false">FALSE()</f>
        <v>0</v>
      </c>
      <c r="N1892" s="11"/>
      <c r="O1892" s="11" t="str">
        <f aca="false">IF(K1892&lt;=StockP33,"Low",IF(K1892&lt;=StockP67,"Moderate","High"))</f>
        <v>Moderate</v>
      </c>
      <c r="P1892" s="11" t="str">
        <f aca="false">IF(H1892=0,"Low",IF(H1892&lt;=MarkdownP75,"Moderate","High"))</f>
        <v>Moderate</v>
      </c>
      <c r="Q1892" s="11" t="str">
        <f aca="false">IF(ISBLANK(L1892),"Unknown",IF(L1892&gt;=4,"Good",IF(L1892&lt;=2,"Poor","Neutral")))</f>
        <v>Neutral</v>
      </c>
      <c r="R1892" s="11" t="str">
        <f aca="false">IF(AND(O1892="Low",P1892="Low",Q1892="Good"),"BUY / PRIORITIZE",IF(AND(O1892="High",P1892="High",OR(Q1892="Poor",M1892=TRUE())),"HOLD / REVIEW","MONITOR"))</f>
        <v>MONITOR</v>
      </c>
      <c r="S1892" s="11" t="n">
        <f aca="false">K1892+(ROW()/10000000)</f>
        <v>23.0001892</v>
      </c>
    </row>
    <row r="1893" customFormat="false" ht="15" hidden="false" customHeight="false" outlineLevel="0" collapsed="false">
      <c r="A1893" s="11" t="s">
        <v>2245</v>
      </c>
      <c r="B1893" s="11" t="s">
        <v>28</v>
      </c>
      <c r="C1893" s="11" t="s">
        <v>130</v>
      </c>
      <c r="D1893" s="11" t="s">
        <v>34</v>
      </c>
      <c r="E1893" s="11" t="s">
        <v>78</v>
      </c>
      <c r="F1893" s="11" t="s">
        <v>120</v>
      </c>
      <c r="G1893" s="21" t="n">
        <v>224.91</v>
      </c>
      <c r="H1893" s="19" t="n">
        <v>18.9</v>
      </c>
      <c r="I1893" s="21" t="n">
        <v>182.4</v>
      </c>
      <c r="J1893" s="22" t="s">
        <v>1470</v>
      </c>
      <c r="K1893" s="11" t="n">
        <v>50</v>
      </c>
      <c r="L1893" s="23"/>
      <c r="M1893" s="24" t="b">
        <f aca="false">FALSE()</f>
        <v>0</v>
      </c>
      <c r="N1893" s="11"/>
      <c r="O1893" s="11" t="str">
        <f aca="false">IF(K1893&lt;=StockP33,"Low",IF(K1893&lt;=StockP67,"Moderate","High"))</f>
        <v>High</v>
      </c>
      <c r="P1893" s="11" t="str">
        <f aca="false">IF(H1893=0,"Low",IF(H1893&lt;=MarkdownP75,"Moderate","High"))</f>
        <v>Moderate</v>
      </c>
      <c r="Q1893" s="11" t="str">
        <f aca="false">IF(ISBLANK(L1893),"Unknown",IF(L1893&gt;=4,"Good",IF(L1893&lt;=2,"Poor","Neutral")))</f>
        <v>Unknown</v>
      </c>
      <c r="R1893" s="11" t="str">
        <f aca="false">IF(AND(O1893="Low",P1893="Low",Q1893="Good"),"BUY / PRIORITIZE",IF(AND(O1893="High",P1893="High",OR(Q1893="Poor",M1893=TRUE())),"HOLD / REVIEW","MONITOR"))</f>
        <v>MONITOR</v>
      </c>
      <c r="S1893" s="11" t="n">
        <f aca="false">K1893+(ROW()/10000000)</f>
        <v>50.0001893</v>
      </c>
    </row>
    <row r="1894" customFormat="false" ht="15" hidden="false" customHeight="false" outlineLevel="0" collapsed="false">
      <c r="A1894" s="11" t="s">
        <v>2246</v>
      </c>
      <c r="B1894" s="11" t="s">
        <v>28</v>
      </c>
      <c r="C1894" s="11" t="s">
        <v>86</v>
      </c>
      <c r="D1894" s="11" t="s">
        <v>34</v>
      </c>
      <c r="E1894" s="11" t="s">
        <v>73</v>
      </c>
      <c r="F1894" s="11" t="s">
        <v>124</v>
      </c>
      <c r="G1894" s="21" t="n">
        <v>155.75</v>
      </c>
      <c r="H1894" s="19" t="n">
        <v>0</v>
      </c>
      <c r="I1894" s="21" t="n">
        <v>155.75</v>
      </c>
      <c r="J1894" s="22" t="s">
        <v>782</v>
      </c>
      <c r="K1894" s="11" t="n">
        <v>0</v>
      </c>
      <c r="L1894" s="23" t="n">
        <v>2.4</v>
      </c>
      <c r="M1894" s="24" t="b">
        <f aca="false">FALSE()</f>
        <v>0</v>
      </c>
      <c r="N1894" s="11"/>
      <c r="O1894" s="11" t="str">
        <f aca="false">IF(K1894&lt;=StockP33,"Low",IF(K1894&lt;=StockP67,"Moderate","High"))</f>
        <v>Low</v>
      </c>
      <c r="P1894" s="11" t="str">
        <f aca="false">IF(H1894=0,"Low",IF(H1894&lt;=MarkdownP75,"Moderate","High"))</f>
        <v>Low</v>
      </c>
      <c r="Q1894" s="11" t="str">
        <f aca="false">IF(ISBLANK(L1894),"Unknown",IF(L1894&gt;=4,"Good",IF(L1894&lt;=2,"Poor","Neutral")))</f>
        <v>Neutral</v>
      </c>
      <c r="R1894" s="11" t="str">
        <f aca="false">IF(AND(O1894="Low",P1894="Low",Q1894="Good"),"BUY / PRIORITIZE",IF(AND(O1894="High",P1894="High",OR(Q1894="Poor",M1894=TRUE())),"HOLD / REVIEW","MONITOR"))</f>
        <v>MONITOR</v>
      </c>
      <c r="S1894" s="11" t="n">
        <f aca="false">K1894+(ROW()/10000000)</f>
        <v>0.0001894</v>
      </c>
    </row>
    <row r="1895" customFormat="false" ht="15" hidden="false" customHeight="false" outlineLevel="0" collapsed="false">
      <c r="A1895" s="11" t="s">
        <v>2247</v>
      </c>
      <c r="B1895" s="11" t="s">
        <v>29</v>
      </c>
      <c r="C1895" s="11" t="s">
        <v>101</v>
      </c>
      <c r="D1895" s="11" t="s">
        <v>37</v>
      </c>
      <c r="E1895" s="11" t="s">
        <v>73</v>
      </c>
      <c r="F1895" s="11" t="s">
        <v>96</v>
      </c>
      <c r="G1895" s="21" t="n">
        <v>194.4</v>
      </c>
      <c r="H1895" s="19" t="n">
        <v>16.2</v>
      </c>
      <c r="I1895" s="21" t="n">
        <v>162.91</v>
      </c>
      <c r="J1895" s="22" t="s">
        <v>80</v>
      </c>
      <c r="K1895" s="11" t="n">
        <v>36</v>
      </c>
      <c r="L1895" s="23" t="n">
        <v>1.5</v>
      </c>
      <c r="M1895" s="24" t="b">
        <f aca="false">FALSE()</f>
        <v>0</v>
      </c>
      <c r="N1895" s="11"/>
      <c r="O1895" s="11" t="str">
        <f aca="false">IF(K1895&lt;=StockP33,"Low",IF(K1895&lt;=StockP67,"Moderate","High"))</f>
        <v>High</v>
      </c>
      <c r="P1895" s="11" t="str">
        <f aca="false">IF(H1895=0,"Low",IF(H1895&lt;=MarkdownP75,"Moderate","High"))</f>
        <v>Moderate</v>
      </c>
      <c r="Q1895" s="11" t="str">
        <f aca="false">IF(ISBLANK(L1895),"Unknown",IF(L1895&gt;=4,"Good",IF(L1895&lt;=2,"Poor","Neutral")))</f>
        <v>Poor</v>
      </c>
      <c r="R1895" s="11" t="str">
        <f aca="false">IF(AND(O1895="Low",P1895="Low",Q1895="Good"),"BUY / PRIORITIZE",IF(AND(O1895="High",P1895="High",OR(Q1895="Poor",M1895=TRUE())),"HOLD / REVIEW","MONITOR"))</f>
        <v>MONITOR</v>
      </c>
      <c r="S1895" s="11" t="n">
        <f aca="false">K1895+(ROW()/10000000)</f>
        <v>36.0001895</v>
      </c>
    </row>
    <row r="1896" customFormat="false" ht="15" hidden="false" customHeight="false" outlineLevel="0" collapsed="false">
      <c r="A1896" s="11" t="s">
        <v>2248</v>
      </c>
      <c r="B1896" s="11" t="s">
        <v>29</v>
      </c>
      <c r="C1896" s="11" t="s">
        <v>86</v>
      </c>
      <c r="D1896" s="11" t="s">
        <v>36</v>
      </c>
      <c r="E1896" s="11" t="s">
        <v>78</v>
      </c>
      <c r="F1896" s="11" t="s">
        <v>74</v>
      </c>
      <c r="G1896" s="21" t="n">
        <v>169.77</v>
      </c>
      <c r="H1896" s="19" t="n">
        <v>0</v>
      </c>
      <c r="I1896" s="21" t="n">
        <v>169.77</v>
      </c>
      <c r="J1896" s="22" t="s">
        <v>80</v>
      </c>
      <c r="K1896" s="11" t="n">
        <v>39</v>
      </c>
      <c r="L1896" s="23" t="n">
        <v>4.4</v>
      </c>
      <c r="M1896" s="24" t="b">
        <f aca="false">FALSE()</f>
        <v>0</v>
      </c>
      <c r="N1896" s="11"/>
      <c r="O1896" s="11" t="str">
        <f aca="false">IF(K1896&lt;=StockP33,"Low",IF(K1896&lt;=StockP67,"Moderate","High"))</f>
        <v>High</v>
      </c>
      <c r="P1896" s="11" t="str">
        <f aca="false">IF(H1896=0,"Low",IF(H1896&lt;=MarkdownP75,"Moderate","High"))</f>
        <v>Low</v>
      </c>
      <c r="Q1896" s="11" t="str">
        <f aca="false">IF(ISBLANK(L1896),"Unknown",IF(L1896&gt;=4,"Good",IF(L1896&lt;=2,"Poor","Neutral")))</f>
        <v>Good</v>
      </c>
      <c r="R1896" s="11" t="str">
        <f aca="false">IF(AND(O1896="Low",P1896="Low",Q1896="Good"),"BUY / PRIORITIZE",IF(AND(O1896="High",P1896="High",OR(Q1896="Poor",M1896=TRUE())),"HOLD / REVIEW","MONITOR"))</f>
        <v>MONITOR</v>
      </c>
      <c r="S1896" s="11" t="n">
        <f aca="false">K1896+(ROW()/10000000)</f>
        <v>39.0001896</v>
      </c>
    </row>
    <row r="1897" customFormat="false" ht="15" hidden="false" customHeight="false" outlineLevel="0" collapsed="false">
      <c r="A1897" s="11" t="s">
        <v>2249</v>
      </c>
      <c r="B1897" s="11" t="s">
        <v>8</v>
      </c>
      <c r="C1897" s="11" t="s">
        <v>77</v>
      </c>
      <c r="D1897" s="11" t="s">
        <v>37</v>
      </c>
      <c r="E1897" s="11"/>
      <c r="F1897" s="11" t="s">
        <v>96</v>
      </c>
      <c r="G1897" s="21" t="n">
        <v>41.52</v>
      </c>
      <c r="H1897" s="19" t="n">
        <v>27.3</v>
      </c>
      <c r="I1897" s="21" t="n">
        <v>30.19</v>
      </c>
      <c r="J1897" s="22" t="s">
        <v>80</v>
      </c>
      <c r="K1897" s="11" t="n">
        <v>48</v>
      </c>
      <c r="L1897" s="23" t="n">
        <v>3.4</v>
      </c>
      <c r="M1897" s="24" t="b">
        <f aca="false">FALSE()</f>
        <v>0</v>
      </c>
      <c r="N1897" s="11"/>
      <c r="O1897" s="11" t="str">
        <f aca="false">IF(K1897&lt;=StockP33,"Low",IF(K1897&lt;=StockP67,"Moderate","High"))</f>
        <v>High</v>
      </c>
      <c r="P1897" s="11" t="str">
        <f aca="false">IF(H1897=0,"Low",IF(H1897&lt;=MarkdownP75,"Moderate","High"))</f>
        <v>High</v>
      </c>
      <c r="Q1897" s="11" t="str">
        <f aca="false">IF(ISBLANK(L1897),"Unknown",IF(L1897&gt;=4,"Good",IF(L1897&lt;=2,"Poor","Neutral")))</f>
        <v>Neutral</v>
      </c>
      <c r="R1897" s="11" t="str">
        <f aca="false">IF(AND(O1897="Low",P1897="Low",Q1897="Good"),"BUY / PRIORITIZE",IF(AND(O1897="High",P1897="High",OR(Q1897="Poor",M1897=TRUE())),"HOLD / REVIEW","MONITOR"))</f>
        <v>MONITOR</v>
      </c>
      <c r="S1897" s="11" t="n">
        <f aca="false">K1897+(ROW()/10000000)</f>
        <v>48.0001897</v>
      </c>
    </row>
    <row r="1898" customFormat="false" ht="15" hidden="false" customHeight="false" outlineLevel="0" collapsed="false">
      <c r="A1898" s="11" t="s">
        <v>2250</v>
      </c>
      <c r="B1898" s="11" t="s">
        <v>26</v>
      </c>
      <c r="C1898" s="11" t="s">
        <v>77</v>
      </c>
      <c r="D1898" s="11" t="s">
        <v>37</v>
      </c>
      <c r="E1898" s="11" t="s">
        <v>91</v>
      </c>
      <c r="F1898" s="11" t="s">
        <v>98</v>
      </c>
      <c r="G1898" s="21" t="n">
        <v>29.5</v>
      </c>
      <c r="H1898" s="19" t="n">
        <v>0</v>
      </c>
      <c r="I1898" s="21" t="n">
        <v>29.5</v>
      </c>
      <c r="J1898" s="22" t="s">
        <v>80</v>
      </c>
      <c r="K1898" s="11" t="n">
        <v>36</v>
      </c>
      <c r="L1898" s="23" t="n">
        <v>2.6</v>
      </c>
      <c r="M1898" s="24" t="b">
        <f aca="false">FALSE()</f>
        <v>0</v>
      </c>
      <c r="N1898" s="11"/>
      <c r="O1898" s="11" t="str">
        <f aca="false">IF(K1898&lt;=StockP33,"Low",IF(K1898&lt;=StockP67,"Moderate","High"))</f>
        <v>High</v>
      </c>
      <c r="P1898" s="11" t="str">
        <f aca="false">IF(H1898=0,"Low",IF(H1898&lt;=MarkdownP75,"Moderate","High"))</f>
        <v>Low</v>
      </c>
      <c r="Q1898" s="11" t="str">
        <f aca="false">IF(ISBLANK(L1898),"Unknown",IF(L1898&gt;=4,"Good",IF(L1898&lt;=2,"Poor","Neutral")))</f>
        <v>Neutral</v>
      </c>
      <c r="R1898" s="11" t="str">
        <f aca="false">IF(AND(O1898="Low",P1898="Low",Q1898="Good"),"BUY / PRIORITIZE",IF(AND(O1898="High",P1898="High",OR(Q1898="Poor",M1898=TRUE())),"HOLD / REVIEW","MONITOR"))</f>
        <v>MONITOR</v>
      </c>
      <c r="S1898" s="11" t="n">
        <f aca="false">K1898+(ROW()/10000000)</f>
        <v>36.0001898</v>
      </c>
    </row>
    <row r="1899" customFormat="false" ht="15" hidden="false" customHeight="false" outlineLevel="0" collapsed="false">
      <c r="A1899" s="11" t="s">
        <v>2251</v>
      </c>
      <c r="B1899" s="11" t="s">
        <v>28</v>
      </c>
      <c r="C1899" s="11" t="s">
        <v>86</v>
      </c>
      <c r="D1899" s="11" t="s">
        <v>34</v>
      </c>
      <c r="E1899" s="11" t="s">
        <v>91</v>
      </c>
      <c r="F1899" s="11" t="s">
        <v>92</v>
      </c>
      <c r="G1899" s="21" t="n">
        <v>224.47</v>
      </c>
      <c r="H1899" s="19" t="n">
        <v>2.7</v>
      </c>
      <c r="I1899" s="21" t="n">
        <v>218.41</v>
      </c>
      <c r="J1899" s="22" t="s">
        <v>1083</v>
      </c>
      <c r="K1899" s="11" t="n">
        <v>15</v>
      </c>
      <c r="L1899" s="23" t="n">
        <v>3.5</v>
      </c>
      <c r="M1899" s="24" t="b">
        <f aca="false">FALSE()</f>
        <v>0</v>
      </c>
      <c r="N1899" s="11"/>
      <c r="O1899" s="11" t="str">
        <f aca="false">IF(K1899&lt;=StockP33,"Low",IF(K1899&lt;=StockP67,"Moderate","High"))</f>
        <v>Low</v>
      </c>
      <c r="P1899" s="11" t="str">
        <f aca="false">IF(H1899=0,"Low",IF(H1899&lt;=MarkdownP75,"Moderate","High"))</f>
        <v>Moderate</v>
      </c>
      <c r="Q1899" s="11" t="str">
        <f aca="false">IF(ISBLANK(L1899),"Unknown",IF(L1899&gt;=4,"Good",IF(L1899&lt;=2,"Poor","Neutral")))</f>
        <v>Neutral</v>
      </c>
      <c r="R1899" s="11" t="str">
        <f aca="false">IF(AND(O1899="Low",P1899="Low",Q1899="Good"),"BUY / PRIORITIZE",IF(AND(O1899="High",P1899="High",OR(Q1899="Poor",M1899=TRUE())),"HOLD / REVIEW","MONITOR"))</f>
        <v>MONITOR</v>
      </c>
      <c r="S1899" s="11" t="n">
        <f aca="false">K1899+(ROW()/10000000)</f>
        <v>15.0001899</v>
      </c>
    </row>
    <row r="1900" customFormat="false" ht="15" hidden="false" customHeight="false" outlineLevel="0" collapsed="false">
      <c r="A1900" s="11" t="s">
        <v>2252</v>
      </c>
      <c r="B1900" s="11" t="s">
        <v>26</v>
      </c>
      <c r="C1900" s="11" t="s">
        <v>130</v>
      </c>
      <c r="D1900" s="11" t="s">
        <v>35</v>
      </c>
      <c r="E1900" s="11" t="s">
        <v>91</v>
      </c>
      <c r="F1900" s="11" t="s">
        <v>92</v>
      </c>
      <c r="G1900" s="21" t="n">
        <v>101.45</v>
      </c>
      <c r="H1900" s="19" t="n">
        <v>7.8</v>
      </c>
      <c r="I1900" s="21" t="n">
        <v>93.54</v>
      </c>
      <c r="J1900" s="22" t="s">
        <v>80</v>
      </c>
      <c r="K1900" s="11" t="n">
        <v>4</v>
      </c>
      <c r="L1900" s="23" t="n">
        <v>1.1</v>
      </c>
      <c r="M1900" s="24" t="b">
        <f aca="false">FALSE()</f>
        <v>0</v>
      </c>
      <c r="N1900" s="11"/>
      <c r="O1900" s="11" t="str">
        <f aca="false">IF(K1900&lt;=StockP33,"Low",IF(K1900&lt;=StockP67,"Moderate","High"))</f>
        <v>Low</v>
      </c>
      <c r="P1900" s="11" t="str">
        <f aca="false">IF(H1900=0,"Low",IF(H1900&lt;=MarkdownP75,"Moderate","High"))</f>
        <v>Moderate</v>
      </c>
      <c r="Q1900" s="11" t="str">
        <f aca="false">IF(ISBLANK(L1900),"Unknown",IF(L1900&gt;=4,"Good",IF(L1900&lt;=2,"Poor","Neutral")))</f>
        <v>Poor</v>
      </c>
      <c r="R1900" s="11" t="str">
        <f aca="false">IF(AND(O1900="Low",P1900="Low",Q1900="Good"),"BUY / PRIORITIZE",IF(AND(O1900="High",P1900="High",OR(Q1900="Poor",M1900=TRUE())),"HOLD / REVIEW","MONITOR"))</f>
        <v>MONITOR</v>
      </c>
      <c r="S1900" s="11" t="n">
        <f aca="false">K1900+(ROW()/10000000)</f>
        <v>4.00019</v>
      </c>
    </row>
    <row r="1901" customFormat="false" ht="15" hidden="false" customHeight="false" outlineLevel="0" collapsed="false">
      <c r="A1901" s="11" t="s">
        <v>2253</v>
      </c>
      <c r="B1901" s="11" t="s">
        <v>29</v>
      </c>
      <c r="C1901" s="11" t="s">
        <v>86</v>
      </c>
      <c r="D1901" s="11" t="s">
        <v>34</v>
      </c>
      <c r="E1901" s="11" t="s">
        <v>102</v>
      </c>
      <c r="F1901" s="11" t="s">
        <v>74</v>
      </c>
      <c r="G1901" s="21" t="n">
        <v>84.65</v>
      </c>
      <c r="H1901" s="19" t="n">
        <v>0</v>
      </c>
      <c r="I1901" s="21" t="n">
        <v>84.65</v>
      </c>
      <c r="J1901" s="22" t="s">
        <v>1679</v>
      </c>
      <c r="K1901" s="11" t="n">
        <v>49</v>
      </c>
      <c r="L1901" s="23" t="n">
        <v>3.6</v>
      </c>
      <c r="M1901" s="24" t="b">
        <f aca="false">FALSE()</f>
        <v>0</v>
      </c>
      <c r="N1901" s="11"/>
      <c r="O1901" s="11" t="str">
        <f aca="false">IF(K1901&lt;=StockP33,"Low",IF(K1901&lt;=StockP67,"Moderate","High"))</f>
        <v>High</v>
      </c>
      <c r="P1901" s="11" t="str">
        <f aca="false">IF(H1901=0,"Low",IF(H1901&lt;=MarkdownP75,"Moderate","High"))</f>
        <v>Low</v>
      </c>
      <c r="Q1901" s="11" t="str">
        <f aca="false">IF(ISBLANK(L1901),"Unknown",IF(L1901&gt;=4,"Good",IF(L1901&lt;=2,"Poor","Neutral")))</f>
        <v>Neutral</v>
      </c>
      <c r="R1901" s="11" t="str">
        <f aca="false">IF(AND(O1901="Low",P1901="Low",Q1901="Good"),"BUY / PRIORITIZE",IF(AND(O1901="High",P1901="High",OR(Q1901="Poor",M1901=TRUE())),"HOLD / REVIEW","MONITOR"))</f>
        <v>MONITOR</v>
      </c>
      <c r="S1901" s="11" t="n">
        <f aca="false">K1901+(ROW()/10000000)</f>
        <v>49.0001901</v>
      </c>
    </row>
    <row r="1902" customFormat="false" ht="15" hidden="false" customHeight="false" outlineLevel="0" collapsed="false">
      <c r="A1902" s="11" t="s">
        <v>2254</v>
      </c>
      <c r="B1902" s="11" t="s">
        <v>28</v>
      </c>
      <c r="C1902" s="11" t="s">
        <v>107</v>
      </c>
      <c r="D1902" s="11" t="s">
        <v>35</v>
      </c>
      <c r="E1902" s="11" t="s">
        <v>91</v>
      </c>
      <c r="F1902" s="11" t="s">
        <v>111</v>
      </c>
      <c r="G1902" s="21" t="n">
        <v>155.85</v>
      </c>
      <c r="H1902" s="19" t="n">
        <v>0</v>
      </c>
      <c r="I1902" s="21" t="n">
        <v>155.85</v>
      </c>
      <c r="J1902" s="22" t="s">
        <v>80</v>
      </c>
      <c r="K1902" s="11" t="n">
        <v>38</v>
      </c>
      <c r="L1902" s="23"/>
      <c r="M1902" s="24" t="b">
        <f aca="false">FALSE()</f>
        <v>0</v>
      </c>
      <c r="N1902" s="11"/>
      <c r="O1902" s="11" t="str">
        <f aca="false">IF(K1902&lt;=StockP33,"Low",IF(K1902&lt;=StockP67,"Moderate","High"))</f>
        <v>High</v>
      </c>
      <c r="P1902" s="11" t="str">
        <f aca="false">IF(H1902=0,"Low",IF(H1902&lt;=MarkdownP75,"Moderate","High"))</f>
        <v>Low</v>
      </c>
      <c r="Q1902" s="11" t="str">
        <f aca="false">IF(ISBLANK(L1902),"Unknown",IF(L1902&gt;=4,"Good",IF(L1902&lt;=2,"Poor","Neutral")))</f>
        <v>Unknown</v>
      </c>
      <c r="R1902" s="11" t="str">
        <f aca="false">IF(AND(O1902="Low",P1902="Low",Q1902="Good"),"BUY / PRIORITIZE",IF(AND(O1902="High",P1902="High",OR(Q1902="Poor",M1902=TRUE())),"HOLD / REVIEW","MONITOR"))</f>
        <v>MONITOR</v>
      </c>
      <c r="S1902" s="11" t="n">
        <f aca="false">K1902+(ROW()/10000000)</f>
        <v>38.0001902</v>
      </c>
    </row>
    <row r="1903" customFormat="false" ht="15" hidden="false" customHeight="false" outlineLevel="0" collapsed="false">
      <c r="A1903" s="11" t="s">
        <v>2255</v>
      </c>
      <c r="B1903" s="11" t="s">
        <v>30</v>
      </c>
      <c r="C1903" s="11" t="s">
        <v>72</v>
      </c>
      <c r="D1903" s="11" t="s">
        <v>37</v>
      </c>
      <c r="E1903" s="11" t="s">
        <v>73</v>
      </c>
      <c r="F1903" s="11" t="s">
        <v>96</v>
      </c>
      <c r="G1903" s="21" t="n">
        <v>89.62</v>
      </c>
      <c r="H1903" s="19" t="n">
        <v>0</v>
      </c>
      <c r="I1903" s="21" t="n">
        <v>89.62</v>
      </c>
      <c r="J1903" s="22" t="s">
        <v>80</v>
      </c>
      <c r="K1903" s="11" t="n">
        <v>0</v>
      </c>
      <c r="L1903" s="23" t="n">
        <v>4.6</v>
      </c>
      <c r="M1903" s="24" t="b">
        <f aca="false">TRUE()</f>
        <v>1</v>
      </c>
      <c r="N1903" s="11" t="s">
        <v>89</v>
      </c>
      <c r="O1903" s="11" t="str">
        <f aca="false">IF(K1903&lt;=StockP33,"Low",IF(K1903&lt;=StockP67,"Moderate","High"))</f>
        <v>Low</v>
      </c>
      <c r="P1903" s="11" t="str">
        <f aca="false">IF(H1903=0,"Low",IF(H1903&lt;=MarkdownP75,"Moderate","High"))</f>
        <v>Low</v>
      </c>
      <c r="Q1903" s="11" t="str">
        <f aca="false">IF(ISBLANK(L1903),"Unknown",IF(L1903&gt;=4,"Good",IF(L1903&lt;=2,"Poor","Neutral")))</f>
        <v>Good</v>
      </c>
      <c r="R1903" s="11" t="str">
        <f aca="false">IF(AND(O1903="Low",P1903="Low",Q1903="Good"),"BUY / PRIORITIZE",IF(AND(O1903="High",P1903="High",OR(Q1903="Poor",M1903=TRUE())),"HOLD / REVIEW","MONITOR"))</f>
        <v>BUY / PRIORITIZE</v>
      </c>
      <c r="S1903" s="11" t="n">
        <f aca="false">K1903+(ROW()/10000000)</f>
        <v>0.0001903</v>
      </c>
    </row>
    <row r="1904" customFormat="false" ht="15" hidden="false" customHeight="false" outlineLevel="0" collapsed="false">
      <c r="A1904" s="11" t="s">
        <v>2256</v>
      </c>
      <c r="B1904" s="11" t="s">
        <v>30</v>
      </c>
      <c r="C1904" s="11" t="s">
        <v>116</v>
      </c>
      <c r="D1904" s="11" t="s">
        <v>35</v>
      </c>
      <c r="E1904" s="11" t="s">
        <v>78</v>
      </c>
      <c r="F1904" s="11" t="s">
        <v>98</v>
      </c>
      <c r="G1904" s="21" t="n">
        <v>62.79</v>
      </c>
      <c r="H1904" s="19" t="n">
        <v>37.7</v>
      </c>
      <c r="I1904" s="21" t="n">
        <v>39.12</v>
      </c>
      <c r="J1904" s="22" t="s">
        <v>80</v>
      </c>
      <c r="K1904" s="11" t="n">
        <v>5</v>
      </c>
      <c r="L1904" s="23" t="n">
        <v>2.6</v>
      </c>
      <c r="M1904" s="24" t="b">
        <f aca="false">FALSE()</f>
        <v>0</v>
      </c>
      <c r="N1904" s="11"/>
      <c r="O1904" s="11" t="str">
        <f aca="false">IF(K1904&lt;=StockP33,"Low",IF(K1904&lt;=StockP67,"Moderate","High"))</f>
        <v>Low</v>
      </c>
      <c r="P1904" s="11" t="str">
        <f aca="false">IF(H1904=0,"Low",IF(H1904&lt;=MarkdownP75,"Moderate","High"))</f>
        <v>High</v>
      </c>
      <c r="Q1904" s="11" t="str">
        <f aca="false">IF(ISBLANK(L1904),"Unknown",IF(L1904&gt;=4,"Good",IF(L1904&lt;=2,"Poor","Neutral")))</f>
        <v>Neutral</v>
      </c>
      <c r="R1904" s="11" t="str">
        <f aca="false">IF(AND(O1904="Low",P1904="Low",Q1904="Good"),"BUY / PRIORITIZE",IF(AND(O1904="High",P1904="High",OR(Q1904="Poor",M1904=TRUE())),"HOLD / REVIEW","MONITOR"))</f>
        <v>MONITOR</v>
      </c>
      <c r="S1904" s="11" t="n">
        <f aca="false">K1904+(ROW()/10000000)</f>
        <v>5.0001904</v>
      </c>
    </row>
    <row r="1905" customFormat="false" ht="15" hidden="false" customHeight="false" outlineLevel="0" collapsed="false">
      <c r="A1905" s="11" t="s">
        <v>2257</v>
      </c>
      <c r="B1905" s="11" t="s">
        <v>26</v>
      </c>
      <c r="C1905" s="11" t="s">
        <v>116</v>
      </c>
      <c r="D1905" s="11" t="s">
        <v>35</v>
      </c>
      <c r="E1905" s="11" t="s">
        <v>73</v>
      </c>
      <c r="F1905" s="11" t="s">
        <v>111</v>
      </c>
      <c r="G1905" s="21" t="n">
        <v>84.72</v>
      </c>
      <c r="H1905" s="19" t="n">
        <v>24.2</v>
      </c>
      <c r="I1905" s="21" t="n">
        <v>64.22</v>
      </c>
      <c r="J1905" s="22" t="s">
        <v>80</v>
      </c>
      <c r="K1905" s="11" t="n">
        <v>44</v>
      </c>
      <c r="L1905" s="23"/>
      <c r="M1905" s="24" t="b">
        <f aca="false">TRUE()</f>
        <v>1</v>
      </c>
      <c r="N1905" s="11" t="s">
        <v>89</v>
      </c>
      <c r="O1905" s="11" t="str">
        <f aca="false">IF(K1905&lt;=StockP33,"Low",IF(K1905&lt;=StockP67,"Moderate","High"))</f>
        <v>High</v>
      </c>
      <c r="P1905" s="11" t="str">
        <f aca="false">IF(H1905=0,"Low",IF(H1905&lt;=MarkdownP75,"Moderate","High"))</f>
        <v>High</v>
      </c>
      <c r="Q1905" s="11" t="str">
        <f aca="false">IF(ISBLANK(L1905),"Unknown",IF(L1905&gt;=4,"Good",IF(L1905&lt;=2,"Poor","Neutral")))</f>
        <v>Unknown</v>
      </c>
      <c r="R1905" s="11" t="str">
        <f aca="false">IF(AND(O1905="Low",P1905="Low",Q1905="Good"),"BUY / PRIORITIZE",IF(AND(O1905="High",P1905="High",OR(Q1905="Poor",M1905=TRUE())),"HOLD / REVIEW","MONITOR"))</f>
        <v>HOLD / REVIEW</v>
      </c>
      <c r="S1905" s="11" t="n">
        <f aca="false">K1905+(ROW()/10000000)</f>
        <v>44.0001905</v>
      </c>
    </row>
    <row r="1906" customFormat="false" ht="15" hidden="false" customHeight="false" outlineLevel="0" collapsed="false">
      <c r="A1906" s="11" t="s">
        <v>2258</v>
      </c>
      <c r="B1906" s="11" t="s">
        <v>30</v>
      </c>
      <c r="C1906" s="11" t="s">
        <v>95</v>
      </c>
      <c r="D1906" s="11" t="s">
        <v>36</v>
      </c>
      <c r="E1906" s="11" t="s">
        <v>73</v>
      </c>
      <c r="F1906" s="11" t="s">
        <v>79</v>
      </c>
      <c r="G1906" s="21" t="n">
        <v>50.9</v>
      </c>
      <c r="H1906" s="19" t="n">
        <v>0</v>
      </c>
      <c r="I1906" s="21" t="n">
        <v>50.9</v>
      </c>
      <c r="J1906" s="22" t="s">
        <v>80</v>
      </c>
      <c r="K1906" s="11" t="n">
        <v>1</v>
      </c>
      <c r="L1906" s="23" t="n">
        <v>1.8</v>
      </c>
      <c r="M1906" s="24" t="b">
        <f aca="false">FALSE()</f>
        <v>0</v>
      </c>
      <c r="N1906" s="11"/>
      <c r="O1906" s="11" t="str">
        <f aca="false">IF(K1906&lt;=StockP33,"Low",IF(K1906&lt;=StockP67,"Moderate","High"))</f>
        <v>Low</v>
      </c>
      <c r="P1906" s="11" t="str">
        <f aca="false">IF(H1906=0,"Low",IF(H1906&lt;=MarkdownP75,"Moderate","High"))</f>
        <v>Low</v>
      </c>
      <c r="Q1906" s="11" t="str">
        <f aca="false">IF(ISBLANK(L1906),"Unknown",IF(L1906&gt;=4,"Good",IF(L1906&lt;=2,"Poor","Neutral")))</f>
        <v>Poor</v>
      </c>
      <c r="R1906" s="11" t="str">
        <f aca="false">IF(AND(O1906="Low",P1906="Low",Q1906="Good"),"BUY / PRIORITIZE",IF(AND(O1906="High",P1906="High",OR(Q1906="Poor",M1906=TRUE())),"HOLD / REVIEW","MONITOR"))</f>
        <v>MONITOR</v>
      </c>
      <c r="S1906" s="11" t="n">
        <f aca="false">K1906+(ROW()/10000000)</f>
        <v>1.0001906</v>
      </c>
    </row>
    <row r="1907" customFormat="false" ht="15" hidden="false" customHeight="false" outlineLevel="0" collapsed="false">
      <c r="A1907" s="11" t="s">
        <v>2259</v>
      </c>
      <c r="B1907" s="11" t="s">
        <v>8</v>
      </c>
      <c r="C1907" s="11" t="s">
        <v>72</v>
      </c>
      <c r="D1907" s="11" t="s">
        <v>37</v>
      </c>
      <c r="E1907" s="11"/>
      <c r="F1907" s="11" t="s">
        <v>79</v>
      </c>
      <c r="G1907" s="21" t="n">
        <v>31.23</v>
      </c>
      <c r="H1907" s="19" t="n">
        <v>0</v>
      </c>
      <c r="I1907" s="21" t="n">
        <v>31.23</v>
      </c>
      <c r="J1907" s="22" t="s">
        <v>80</v>
      </c>
      <c r="K1907" s="11" t="n">
        <v>25</v>
      </c>
      <c r="L1907" s="23" t="n">
        <v>2.8</v>
      </c>
      <c r="M1907" s="24" t="b">
        <f aca="false">FALSE()</f>
        <v>0</v>
      </c>
      <c r="N1907" s="11"/>
      <c r="O1907" s="11" t="str">
        <f aca="false">IF(K1907&lt;=StockP33,"Low",IF(K1907&lt;=StockP67,"Moderate","High"))</f>
        <v>Moderate</v>
      </c>
      <c r="P1907" s="11" t="str">
        <f aca="false">IF(H1907=0,"Low",IF(H1907&lt;=MarkdownP75,"Moderate","High"))</f>
        <v>Low</v>
      </c>
      <c r="Q1907" s="11" t="str">
        <f aca="false">IF(ISBLANK(L1907),"Unknown",IF(L1907&gt;=4,"Good",IF(L1907&lt;=2,"Poor","Neutral")))</f>
        <v>Neutral</v>
      </c>
      <c r="R1907" s="11" t="str">
        <f aca="false">IF(AND(O1907="Low",P1907="Low",Q1907="Good"),"BUY / PRIORITIZE",IF(AND(O1907="High",P1907="High",OR(Q1907="Poor",M1907=TRUE())),"HOLD / REVIEW","MONITOR"))</f>
        <v>MONITOR</v>
      </c>
      <c r="S1907" s="11" t="n">
        <f aca="false">K1907+(ROW()/10000000)</f>
        <v>25.0001907</v>
      </c>
    </row>
    <row r="1908" customFormat="false" ht="15" hidden="false" customHeight="false" outlineLevel="0" collapsed="false">
      <c r="A1908" s="11" t="s">
        <v>2260</v>
      </c>
      <c r="B1908" s="11" t="s">
        <v>30</v>
      </c>
      <c r="C1908" s="11" t="s">
        <v>72</v>
      </c>
      <c r="D1908" s="11" t="s">
        <v>34</v>
      </c>
      <c r="E1908" s="11" t="s">
        <v>102</v>
      </c>
      <c r="F1908" s="11" t="s">
        <v>74</v>
      </c>
      <c r="G1908" s="21" t="n">
        <v>105.1</v>
      </c>
      <c r="H1908" s="19" t="n">
        <v>0</v>
      </c>
      <c r="I1908" s="21" t="n">
        <v>105.1</v>
      </c>
      <c r="J1908" s="22" t="s">
        <v>327</v>
      </c>
      <c r="K1908" s="11" t="n">
        <v>39</v>
      </c>
      <c r="L1908" s="23" t="n">
        <v>4.4</v>
      </c>
      <c r="M1908" s="24" t="b">
        <f aca="false">FALSE()</f>
        <v>0</v>
      </c>
      <c r="N1908" s="11"/>
      <c r="O1908" s="11" t="str">
        <f aca="false">IF(K1908&lt;=StockP33,"Low",IF(K1908&lt;=StockP67,"Moderate","High"))</f>
        <v>High</v>
      </c>
      <c r="P1908" s="11" t="str">
        <f aca="false">IF(H1908=0,"Low",IF(H1908&lt;=MarkdownP75,"Moderate","High"))</f>
        <v>Low</v>
      </c>
      <c r="Q1908" s="11" t="str">
        <f aca="false">IF(ISBLANK(L1908),"Unknown",IF(L1908&gt;=4,"Good",IF(L1908&lt;=2,"Poor","Neutral")))</f>
        <v>Good</v>
      </c>
      <c r="R1908" s="11" t="str">
        <f aca="false">IF(AND(O1908="Low",P1908="Low",Q1908="Good"),"BUY / PRIORITIZE",IF(AND(O1908="High",P1908="High",OR(Q1908="Poor",M1908=TRUE())),"HOLD / REVIEW","MONITOR"))</f>
        <v>MONITOR</v>
      </c>
      <c r="S1908" s="11" t="n">
        <f aca="false">K1908+(ROW()/10000000)</f>
        <v>39.0001908</v>
      </c>
    </row>
    <row r="1909" customFormat="false" ht="15" hidden="false" customHeight="false" outlineLevel="0" collapsed="false">
      <c r="A1909" s="11" t="s">
        <v>2261</v>
      </c>
      <c r="B1909" s="11" t="s">
        <v>27</v>
      </c>
      <c r="C1909" s="11" t="s">
        <v>130</v>
      </c>
      <c r="D1909" s="11" t="s">
        <v>35</v>
      </c>
      <c r="E1909" s="11" t="s">
        <v>110</v>
      </c>
      <c r="F1909" s="11" t="s">
        <v>124</v>
      </c>
      <c r="G1909" s="21" t="n">
        <v>160.38</v>
      </c>
      <c r="H1909" s="19" t="n">
        <v>0</v>
      </c>
      <c r="I1909" s="21" t="n">
        <v>160.38</v>
      </c>
      <c r="J1909" s="22" t="s">
        <v>80</v>
      </c>
      <c r="K1909" s="11" t="n">
        <v>27</v>
      </c>
      <c r="L1909" s="23" t="n">
        <v>2.7</v>
      </c>
      <c r="M1909" s="24" t="b">
        <f aca="false">TRUE()</f>
        <v>1</v>
      </c>
      <c r="N1909" s="11" t="s">
        <v>191</v>
      </c>
      <c r="O1909" s="11" t="str">
        <f aca="false">IF(K1909&lt;=StockP33,"Low",IF(K1909&lt;=StockP67,"Moderate","High"))</f>
        <v>Moderate</v>
      </c>
      <c r="P1909" s="11" t="str">
        <f aca="false">IF(H1909=0,"Low",IF(H1909&lt;=MarkdownP75,"Moderate","High"))</f>
        <v>Low</v>
      </c>
      <c r="Q1909" s="11" t="str">
        <f aca="false">IF(ISBLANK(L1909),"Unknown",IF(L1909&gt;=4,"Good",IF(L1909&lt;=2,"Poor","Neutral")))</f>
        <v>Neutral</v>
      </c>
      <c r="R1909" s="11" t="str">
        <f aca="false">IF(AND(O1909="Low",P1909="Low",Q1909="Good"),"BUY / PRIORITIZE",IF(AND(O1909="High",P1909="High",OR(Q1909="Poor",M1909=TRUE())),"HOLD / REVIEW","MONITOR"))</f>
        <v>MONITOR</v>
      </c>
      <c r="S1909" s="11" t="n">
        <f aca="false">K1909+(ROW()/10000000)</f>
        <v>27.0001909</v>
      </c>
    </row>
    <row r="1910" customFormat="false" ht="15" hidden="false" customHeight="false" outlineLevel="0" collapsed="false">
      <c r="A1910" s="11" t="s">
        <v>2262</v>
      </c>
      <c r="B1910" s="11" t="s">
        <v>26</v>
      </c>
      <c r="C1910" s="11" t="s">
        <v>77</v>
      </c>
      <c r="D1910" s="11" t="s">
        <v>34</v>
      </c>
      <c r="E1910" s="11" t="s">
        <v>110</v>
      </c>
      <c r="F1910" s="11" t="s">
        <v>79</v>
      </c>
      <c r="G1910" s="21" t="n">
        <v>96.68</v>
      </c>
      <c r="H1910" s="19" t="n">
        <v>26</v>
      </c>
      <c r="I1910" s="21" t="n">
        <v>71.54</v>
      </c>
      <c r="J1910" s="22" t="s">
        <v>593</v>
      </c>
      <c r="K1910" s="11" t="n">
        <v>16</v>
      </c>
      <c r="L1910" s="23"/>
      <c r="M1910" s="24" t="b">
        <f aca="false">FALSE()</f>
        <v>0</v>
      </c>
      <c r="N1910" s="11"/>
      <c r="O1910" s="11" t="str">
        <f aca="false">IF(K1910&lt;=StockP33,"Low",IF(K1910&lt;=StockP67,"Moderate","High"))</f>
        <v>Low</v>
      </c>
      <c r="P1910" s="11" t="str">
        <f aca="false">IF(H1910=0,"Low",IF(H1910&lt;=MarkdownP75,"Moderate","High"))</f>
        <v>High</v>
      </c>
      <c r="Q1910" s="11" t="str">
        <f aca="false">IF(ISBLANK(L1910),"Unknown",IF(L1910&gt;=4,"Good",IF(L1910&lt;=2,"Poor","Neutral")))</f>
        <v>Unknown</v>
      </c>
      <c r="R1910" s="11" t="str">
        <f aca="false">IF(AND(O1910="Low",P1910="Low",Q1910="Good"),"BUY / PRIORITIZE",IF(AND(O1910="High",P1910="High",OR(Q1910="Poor",M1910=TRUE())),"HOLD / REVIEW","MONITOR"))</f>
        <v>MONITOR</v>
      </c>
      <c r="S1910" s="11" t="n">
        <f aca="false">K1910+(ROW()/10000000)</f>
        <v>16.000191</v>
      </c>
    </row>
    <row r="1911" customFormat="false" ht="15" hidden="false" customHeight="false" outlineLevel="0" collapsed="false">
      <c r="A1911" s="11" t="s">
        <v>2263</v>
      </c>
      <c r="B1911" s="11" t="s">
        <v>8</v>
      </c>
      <c r="C1911" s="11" t="s">
        <v>130</v>
      </c>
      <c r="D1911" s="11" t="s">
        <v>35</v>
      </c>
      <c r="E1911" s="11"/>
      <c r="F1911" s="11" t="s">
        <v>111</v>
      </c>
      <c r="G1911" s="21" t="n">
        <v>16.64</v>
      </c>
      <c r="H1911" s="19" t="n">
        <v>0</v>
      </c>
      <c r="I1911" s="21" t="n">
        <v>16.64</v>
      </c>
      <c r="J1911" s="22" t="s">
        <v>80</v>
      </c>
      <c r="K1911" s="11" t="n">
        <v>8</v>
      </c>
      <c r="L1911" s="23" t="n">
        <v>4.8</v>
      </c>
      <c r="M1911" s="24" t="b">
        <f aca="false">FALSE()</f>
        <v>0</v>
      </c>
      <c r="N1911" s="11"/>
      <c r="O1911" s="11" t="str">
        <f aca="false">IF(K1911&lt;=StockP33,"Low",IF(K1911&lt;=StockP67,"Moderate","High"))</f>
        <v>Low</v>
      </c>
      <c r="P1911" s="11" t="str">
        <f aca="false">IF(H1911=0,"Low",IF(H1911&lt;=MarkdownP75,"Moderate","High"))</f>
        <v>Low</v>
      </c>
      <c r="Q1911" s="11" t="str">
        <f aca="false">IF(ISBLANK(L1911),"Unknown",IF(L1911&gt;=4,"Good",IF(L1911&lt;=2,"Poor","Neutral")))</f>
        <v>Good</v>
      </c>
      <c r="R1911" s="11" t="str">
        <f aca="false">IF(AND(O1911="Low",P1911="Low",Q1911="Good"),"BUY / PRIORITIZE",IF(AND(O1911="High",P1911="High",OR(Q1911="Poor",M1911=TRUE())),"HOLD / REVIEW","MONITOR"))</f>
        <v>BUY / PRIORITIZE</v>
      </c>
      <c r="S1911" s="11" t="n">
        <f aca="false">K1911+(ROW()/10000000)</f>
        <v>8.0001911</v>
      </c>
    </row>
    <row r="1912" customFormat="false" ht="15" hidden="false" customHeight="false" outlineLevel="0" collapsed="false">
      <c r="A1912" s="11" t="s">
        <v>2264</v>
      </c>
      <c r="B1912" s="11" t="s">
        <v>28</v>
      </c>
      <c r="C1912" s="11" t="s">
        <v>107</v>
      </c>
      <c r="D1912" s="11" t="s">
        <v>36</v>
      </c>
      <c r="E1912" s="11" t="s">
        <v>91</v>
      </c>
      <c r="F1912" s="11" t="s">
        <v>111</v>
      </c>
      <c r="G1912" s="21" t="n">
        <v>160.05</v>
      </c>
      <c r="H1912" s="19" t="n">
        <v>53.7</v>
      </c>
      <c r="I1912" s="21" t="n">
        <v>74.1</v>
      </c>
      <c r="J1912" s="22" t="s">
        <v>80</v>
      </c>
      <c r="K1912" s="11" t="n">
        <v>2</v>
      </c>
      <c r="L1912" s="23" t="n">
        <v>3.2</v>
      </c>
      <c r="M1912" s="24" t="b">
        <f aca="false">TRUE()</f>
        <v>1</v>
      </c>
      <c r="N1912" s="11" t="s">
        <v>140</v>
      </c>
      <c r="O1912" s="11" t="str">
        <f aca="false">IF(K1912&lt;=StockP33,"Low",IF(K1912&lt;=StockP67,"Moderate","High"))</f>
        <v>Low</v>
      </c>
      <c r="P1912" s="11" t="str">
        <f aca="false">IF(H1912=0,"Low",IF(H1912&lt;=MarkdownP75,"Moderate","High"))</f>
        <v>High</v>
      </c>
      <c r="Q1912" s="11" t="str">
        <f aca="false">IF(ISBLANK(L1912),"Unknown",IF(L1912&gt;=4,"Good",IF(L1912&lt;=2,"Poor","Neutral")))</f>
        <v>Neutral</v>
      </c>
      <c r="R1912" s="11" t="str">
        <f aca="false">IF(AND(O1912="Low",P1912="Low",Q1912="Good"),"BUY / PRIORITIZE",IF(AND(O1912="High",P1912="High",OR(Q1912="Poor",M1912=TRUE())),"HOLD / REVIEW","MONITOR"))</f>
        <v>MONITOR</v>
      </c>
      <c r="S1912" s="11" t="n">
        <f aca="false">K1912+(ROW()/10000000)</f>
        <v>2.0001912</v>
      </c>
    </row>
    <row r="1913" customFormat="false" ht="15" hidden="false" customHeight="false" outlineLevel="0" collapsed="false">
      <c r="A1913" s="11" t="s">
        <v>2265</v>
      </c>
      <c r="B1913" s="11" t="s">
        <v>8</v>
      </c>
      <c r="C1913" s="11" t="s">
        <v>95</v>
      </c>
      <c r="D1913" s="11" t="s">
        <v>36</v>
      </c>
      <c r="E1913" s="11"/>
      <c r="F1913" s="11" t="s">
        <v>92</v>
      </c>
      <c r="G1913" s="21" t="n">
        <v>23.56</v>
      </c>
      <c r="H1913" s="19" t="n">
        <v>0</v>
      </c>
      <c r="I1913" s="21" t="n">
        <v>23.56</v>
      </c>
      <c r="J1913" s="22" t="s">
        <v>80</v>
      </c>
      <c r="K1913" s="11" t="n">
        <v>16</v>
      </c>
      <c r="L1913" s="23" t="n">
        <v>4.4</v>
      </c>
      <c r="M1913" s="24" t="b">
        <f aca="false">FALSE()</f>
        <v>0</v>
      </c>
      <c r="N1913" s="11"/>
      <c r="O1913" s="11" t="str">
        <f aca="false">IF(K1913&lt;=StockP33,"Low",IF(K1913&lt;=StockP67,"Moderate","High"))</f>
        <v>Low</v>
      </c>
      <c r="P1913" s="11" t="str">
        <f aca="false">IF(H1913=0,"Low",IF(H1913&lt;=MarkdownP75,"Moderate","High"))</f>
        <v>Low</v>
      </c>
      <c r="Q1913" s="11" t="str">
        <f aca="false">IF(ISBLANK(L1913),"Unknown",IF(L1913&gt;=4,"Good",IF(L1913&lt;=2,"Poor","Neutral")))</f>
        <v>Good</v>
      </c>
      <c r="R1913" s="11" t="str">
        <f aca="false">IF(AND(O1913="Low",P1913="Low",Q1913="Good"),"BUY / PRIORITIZE",IF(AND(O1913="High",P1913="High",OR(Q1913="Poor",M1913=TRUE())),"HOLD / REVIEW","MONITOR"))</f>
        <v>BUY / PRIORITIZE</v>
      </c>
      <c r="S1913" s="11" t="n">
        <f aca="false">K1913+(ROW()/10000000)</f>
        <v>16.0001913</v>
      </c>
    </row>
    <row r="1914" customFormat="false" ht="15" hidden="false" customHeight="false" outlineLevel="0" collapsed="false">
      <c r="A1914" s="11" t="s">
        <v>2266</v>
      </c>
      <c r="B1914" s="11" t="s">
        <v>29</v>
      </c>
      <c r="C1914" s="11" t="s">
        <v>72</v>
      </c>
      <c r="D1914" s="11" t="s">
        <v>36</v>
      </c>
      <c r="E1914" s="11" t="s">
        <v>110</v>
      </c>
      <c r="F1914" s="11" t="s">
        <v>82</v>
      </c>
      <c r="G1914" s="21" t="n">
        <v>68.37</v>
      </c>
      <c r="H1914" s="19" t="n">
        <v>24.2</v>
      </c>
      <c r="I1914" s="21" t="n">
        <v>51.82</v>
      </c>
      <c r="J1914" s="22" t="s">
        <v>80</v>
      </c>
      <c r="K1914" s="11" t="n">
        <v>8</v>
      </c>
      <c r="L1914" s="23" t="n">
        <v>3.7</v>
      </c>
      <c r="M1914" s="24" t="b">
        <f aca="false">FALSE()</f>
        <v>0</v>
      </c>
      <c r="N1914" s="11"/>
      <c r="O1914" s="11" t="str">
        <f aca="false">IF(K1914&lt;=StockP33,"Low",IF(K1914&lt;=StockP67,"Moderate","High"))</f>
        <v>Low</v>
      </c>
      <c r="P1914" s="11" t="str">
        <f aca="false">IF(H1914=0,"Low",IF(H1914&lt;=MarkdownP75,"Moderate","High"))</f>
        <v>High</v>
      </c>
      <c r="Q1914" s="11" t="str">
        <f aca="false">IF(ISBLANK(L1914),"Unknown",IF(L1914&gt;=4,"Good",IF(L1914&lt;=2,"Poor","Neutral")))</f>
        <v>Neutral</v>
      </c>
      <c r="R1914" s="11" t="str">
        <f aca="false">IF(AND(O1914="Low",P1914="Low",Q1914="Good"),"BUY / PRIORITIZE",IF(AND(O1914="High",P1914="High",OR(Q1914="Poor",M1914=TRUE())),"HOLD / REVIEW","MONITOR"))</f>
        <v>MONITOR</v>
      </c>
      <c r="S1914" s="11" t="n">
        <f aca="false">K1914+(ROW()/10000000)</f>
        <v>8.0001914</v>
      </c>
    </row>
    <row r="1915" customFormat="false" ht="15" hidden="false" customHeight="false" outlineLevel="0" collapsed="false">
      <c r="A1915" s="11" t="s">
        <v>2267</v>
      </c>
      <c r="B1915" s="11" t="s">
        <v>28</v>
      </c>
      <c r="C1915" s="11" t="s">
        <v>95</v>
      </c>
      <c r="D1915" s="11" t="s">
        <v>36</v>
      </c>
      <c r="E1915" s="11" t="s">
        <v>91</v>
      </c>
      <c r="F1915" s="11" t="s">
        <v>98</v>
      </c>
      <c r="G1915" s="21" t="n">
        <v>184.24</v>
      </c>
      <c r="H1915" s="19" t="n">
        <v>0</v>
      </c>
      <c r="I1915" s="21" t="n">
        <v>184.24</v>
      </c>
      <c r="J1915" s="22" t="s">
        <v>80</v>
      </c>
      <c r="K1915" s="11" t="n">
        <v>49</v>
      </c>
      <c r="L1915" s="23" t="n">
        <v>4</v>
      </c>
      <c r="M1915" s="24" t="b">
        <f aca="false">FALSE()</f>
        <v>0</v>
      </c>
      <c r="N1915" s="11"/>
      <c r="O1915" s="11" t="str">
        <f aca="false">IF(K1915&lt;=StockP33,"Low",IF(K1915&lt;=StockP67,"Moderate","High"))</f>
        <v>High</v>
      </c>
      <c r="P1915" s="11" t="str">
        <f aca="false">IF(H1915=0,"Low",IF(H1915&lt;=MarkdownP75,"Moderate","High"))</f>
        <v>Low</v>
      </c>
      <c r="Q1915" s="11" t="str">
        <f aca="false">IF(ISBLANK(L1915),"Unknown",IF(L1915&gt;=4,"Good",IF(L1915&lt;=2,"Poor","Neutral")))</f>
        <v>Good</v>
      </c>
      <c r="R1915" s="11" t="str">
        <f aca="false">IF(AND(O1915="Low",P1915="Low",Q1915="Good"),"BUY / PRIORITIZE",IF(AND(O1915="High",P1915="High",OR(Q1915="Poor",M1915=TRUE())),"HOLD / REVIEW","MONITOR"))</f>
        <v>MONITOR</v>
      </c>
      <c r="S1915" s="11" t="n">
        <f aca="false">K1915+(ROW()/10000000)</f>
        <v>49.0001915</v>
      </c>
    </row>
    <row r="1916" customFormat="false" ht="15" hidden="false" customHeight="false" outlineLevel="0" collapsed="false">
      <c r="A1916" s="11" t="s">
        <v>2268</v>
      </c>
      <c r="B1916" s="11" t="s">
        <v>29</v>
      </c>
      <c r="C1916" s="11" t="s">
        <v>86</v>
      </c>
      <c r="D1916" s="11" t="s">
        <v>34</v>
      </c>
      <c r="E1916" s="11" t="s">
        <v>110</v>
      </c>
      <c r="F1916" s="11" t="s">
        <v>98</v>
      </c>
      <c r="G1916" s="21" t="n">
        <v>94.83</v>
      </c>
      <c r="H1916" s="19" t="n">
        <v>0</v>
      </c>
      <c r="I1916" s="21" t="n">
        <v>94.83</v>
      </c>
      <c r="J1916" s="22" t="s">
        <v>1010</v>
      </c>
      <c r="K1916" s="11" t="n">
        <v>23</v>
      </c>
      <c r="L1916" s="23" t="n">
        <v>2.9</v>
      </c>
      <c r="M1916" s="24" t="b">
        <f aca="false">FALSE()</f>
        <v>0</v>
      </c>
      <c r="N1916" s="11"/>
      <c r="O1916" s="11" t="str">
        <f aca="false">IF(K1916&lt;=StockP33,"Low",IF(K1916&lt;=StockP67,"Moderate","High"))</f>
        <v>Moderate</v>
      </c>
      <c r="P1916" s="11" t="str">
        <f aca="false">IF(H1916=0,"Low",IF(H1916&lt;=MarkdownP75,"Moderate","High"))</f>
        <v>Low</v>
      </c>
      <c r="Q1916" s="11" t="str">
        <f aca="false">IF(ISBLANK(L1916),"Unknown",IF(L1916&gt;=4,"Good",IF(L1916&lt;=2,"Poor","Neutral")))</f>
        <v>Neutral</v>
      </c>
      <c r="R1916" s="11" t="str">
        <f aca="false">IF(AND(O1916="Low",P1916="Low",Q1916="Good"),"BUY / PRIORITIZE",IF(AND(O1916="High",P1916="High",OR(Q1916="Poor",M1916=TRUE())),"HOLD / REVIEW","MONITOR"))</f>
        <v>MONITOR</v>
      </c>
      <c r="S1916" s="11" t="n">
        <f aca="false">K1916+(ROW()/10000000)</f>
        <v>23.0001916</v>
      </c>
    </row>
    <row r="1917" customFormat="false" ht="15" hidden="false" customHeight="false" outlineLevel="0" collapsed="false">
      <c r="A1917" s="11" t="s">
        <v>2269</v>
      </c>
      <c r="B1917" s="11" t="s">
        <v>30</v>
      </c>
      <c r="C1917" s="11" t="s">
        <v>107</v>
      </c>
      <c r="D1917" s="11" t="s">
        <v>35</v>
      </c>
      <c r="E1917" s="11" t="s">
        <v>113</v>
      </c>
      <c r="F1917" s="11" t="s">
        <v>79</v>
      </c>
      <c r="G1917" s="21" t="n">
        <v>115.58</v>
      </c>
      <c r="H1917" s="19" t="n">
        <v>0</v>
      </c>
      <c r="I1917" s="21" t="n">
        <v>115.58</v>
      </c>
      <c r="J1917" s="22" t="s">
        <v>80</v>
      </c>
      <c r="K1917" s="11" t="n">
        <v>37</v>
      </c>
      <c r="L1917" s="23" t="n">
        <v>2.2</v>
      </c>
      <c r="M1917" s="24" t="b">
        <f aca="false">FALSE()</f>
        <v>0</v>
      </c>
      <c r="N1917" s="11"/>
      <c r="O1917" s="11" t="str">
        <f aca="false">IF(K1917&lt;=StockP33,"Low",IF(K1917&lt;=StockP67,"Moderate","High"))</f>
        <v>High</v>
      </c>
      <c r="P1917" s="11" t="str">
        <f aca="false">IF(H1917=0,"Low",IF(H1917&lt;=MarkdownP75,"Moderate","High"))</f>
        <v>Low</v>
      </c>
      <c r="Q1917" s="11" t="str">
        <f aca="false">IF(ISBLANK(L1917),"Unknown",IF(L1917&gt;=4,"Good",IF(L1917&lt;=2,"Poor","Neutral")))</f>
        <v>Neutral</v>
      </c>
      <c r="R1917" s="11" t="str">
        <f aca="false">IF(AND(O1917="Low",P1917="Low",Q1917="Good"),"BUY / PRIORITIZE",IF(AND(O1917="High",P1917="High",OR(Q1917="Poor",M1917=TRUE())),"HOLD / REVIEW","MONITOR"))</f>
        <v>MONITOR</v>
      </c>
      <c r="S1917" s="11" t="n">
        <f aca="false">K1917+(ROW()/10000000)</f>
        <v>37.0001917</v>
      </c>
    </row>
    <row r="1918" customFormat="false" ht="15" hidden="false" customHeight="false" outlineLevel="0" collapsed="false">
      <c r="A1918" s="11" t="s">
        <v>2270</v>
      </c>
      <c r="B1918" s="11" t="s">
        <v>28</v>
      </c>
      <c r="C1918" s="11" t="s">
        <v>72</v>
      </c>
      <c r="D1918" s="11" t="s">
        <v>37</v>
      </c>
      <c r="E1918" s="11" t="s">
        <v>102</v>
      </c>
      <c r="F1918" s="11" t="s">
        <v>98</v>
      </c>
      <c r="G1918" s="21" t="n">
        <v>116.29</v>
      </c>
      <c r="H1918" s="19" t="n">
        <v>58.7</v>
      </c>
      <c r="I1918" s="21" t="n">
        <v>48.03</v>
      </c>
      <c r="J1918" s="22" t="s">
        <v>80</v>
      </c>
      <c r="K1918" s="11" t="n">
        <v>34</v>
      </c>
      <c r="L1918" s="23" t="n">
        <v>3.3</v>
      </c>
      <c r="M1918" s="24" t="b">
        <f aca="false">FALSE()</f>
        <v>0</v>
      </c>
      <c r="N1918" s="11"/>
      <c r="O1918" s="11" t="str">
        <f aca="false">IF(K1918&lt;=StockP33,"Low",IF(K1918&lt;=StockP67,"Moderate","High"))</f>
        <v>High</v>
      </c>
      <c r="P1918" s="11" t="str">
        <f aca="false">IF(H1918=0,"Low",IF(H1918&lt;=MarkdownP75,"Moderate","High"))</f>
        <v>High</v>
      </c>
      <c r="Q1918" s="11" t="str">
        <f aca="false">IF(ISBLANK(L1918),"Unknown",IF(L1918&gt;=4,"Good",IF(L1918&lt;=2,"Poor","Neutral")))</f>
        <v>Neutral</v>
      </c>
      <c r="R1918" s="11" t="str">
        <f aca="false">IF(AND(O1918="Low",P1918="Low",Q1918="Good"),"BUY / PRIORITIZE",IF(AND(O1918="High",P1918="High",OR(Q1918="Poor",M1918=TRUE())),"HOLD / REVIEW","MONITOR"))</f>
        <v>MONITOR</v>
      </c>
      <c r="S1918" s="11" t="n">
        <f aca="false">K1918+(ROW()/10000000)</f>
        <v>34.0001918</v>
      </c>
    </row>
    <row r="1919" customFormat="false" ht="15" hidden="false" customHeight="false" outlineLevel="0" collapsed="false">
      <c r="A1919" s="11" t="s">
        <v>2271</v>
      </c>
      <c r="B1919" s="11" t="s">
        <v>8</v>
      </c>
      <c r="C1919" s="11" t="s">
        <v>86</v>
      </c>
      <c r="D1919" s="11" t="s">
        <v>35</v>
      </c>
      <c r="E1919" s="11"/>
      <c r="F1919" s="11" t="s">
        <v>98</v>
      </c>
      <c r="G1919" s="21" t="n">
        <v>24.55</v>
      </c>
      <c r="H1919" s="19" t="n">
        <v>0</v>
      </c>
      <c r="I1919" s="21" t="n">
        <v>24.55</v>
      </c>
      <c r="J1919" s="22" t="s">
        <v>80</v>
      </c>
      <c r="K1919" s="11" t="n">
        <v>43</v>
      </c>
      <c r="L1919" s="23" t="n">
        <v>2.3</v>
      </c>
      <c r="M1919" s="24" t="b">
        <f aca="false">FALSE()</f>
        <v>0</v>
      </c>
      <c r="N1919" s="11"/>
      <c r="O1919" s="11" t="str">
        <f aca="false">IF(K1919&lt;=StockP33,"Low",IF(K1919&lt;=StockP67,"Moderate","High"))</f>
        <v>High</v>
      </c>
      <c r="P1919" s="11" t="str">
        <f aca="false">IF(H1919=0,"Low",IF(H1919&lt;=MarkdownP75,"Moderate","High"))</f>
        <v>Low</v>
      </c>
      <c r="Q1919" s="11" t="str">
        <f aca="false">IF(ISBLANK(L1919),"Unknown",IF(L1919&gt;=4,"Good",IF(L1919&lt;=2,"Poor","Neutral")))</f>
        <v>Neutral</v>
      </c>
      <c r="R1919" s="11" t="str">
        <f aca="false">IF(AND(O1919="Low",P1919="Low",Q1919="Good"),"BUY / PRIORITIZE",IF(AND(O1919="High",P1919="High",OR(Q1919="Poor",M1919=TRUE())),"HOLD / REVIEW","MONITOR"))</f>
        <v>MONITOR</v>
      </c>
      <c r="S1919" s="11" t="n">
        <f aca="false">K1919+(ROW()/10000000)</f>
        <v>43.0001919</v>
      </c>
    </row>
    <row r="1920" customFormat="false" ht="15" hidden="false" customHeight="false" outlineLevel="0" collapsed="false">
      <c r="A1920" s="11" t="s">
        <v>2272</v>
      </c>
      <c r="B1920" s="11" t="s">
        <v>27</v>
      </c>
      <c r="C1920" s="11" t="s">
        <v>72</v>
      </c>
      <c r="D1920" s="11" t="s">
        <v>34</v>
      </c>
      <c r="E1920" s="11"/>
      <c r="F1920" s="11" t="s">
        <v>118</v>
      </c>
      <c r="G1920" s="21" t="n">
        <v>81.56</v>
      </c>
      <c r="H1920" s="19" t="n">
        <v>0</v>
      </c>
      <c r="I1920" s="21" t="n">
        <v>81.56</v>
      </c>
      <c r="J1920" s="22" t="s">
        <v>2273</v>
      </c>
      <c r="K1920" s="11" t="n">
        <v>28</v>
      </c>
      <c r="L1920" s="23" t="n">
        <v>3</v>
      </c>
      <c r="M1920" s="24" t="b">
        <f aca="false">FALSE()</f>
        <v>0</v>
      </c>
      <c r="N1920" s="11"/>
      <c r="O1920" s="11" t="str">
        <f aca="false">IF(K1920&lt;=StockP33,"Low",IF(K1920&lt;=StockP67,"Moderate","High"))</f>
        <v>Moderate</v>
      </c>
      <c r="P1920" s="11" t="str">
        <f aca="false">IF(H1920=0,"Low",IF(H1920&lt;=MarkdownP75,"Moderate","High"))</f>
        <v>Low</v>
      </c>
      <c r="Q1920" s="11" t="str">
        <f aca="false">IF(ISBLANK(L1920),"Unknown",IF(L1920&gt;=4,"Good",IF(L1920&lt;=2,"Poor","Neutral")))</f>
        <v>Neutral</v>
      </c>
      <c r="R1920" s="11" t="str">
        <f aca="false">IF(AND(O1920="Low",P1920="Low",Q1920="Good"),"BUY / PRIORITIZE",IF(AND(O1920="High",P1920="High",OR(Q1920="Poor",M1920=TRUE())),"HOLD / REVIEW","MONITOR"))</f>
        <v>MONITOR</v>
      </c>
      <c r="S1920" s="11" t="n">
        <f aca="false">K1920+(ROW()/10000000)</f>
        <v>28.000192</v>
      </c>
    </row>
    <row r="1921" customFormat="false" ht="15" hidden="false" customHeight="false" outlineLevel="0" collapsed="false">
      <c r="A1921" s="11" t="s">
        <v>2274</v>
      </c>
      <c r="B1921" s="11" t="s">
        <v>28</v>
      </c>
      <c r="C1921" s="11" t="s">
        <v>86</v>
      </c>
      <c r="D1921" s="11" t="s">
        <v>34</v>
      </c>
      <c r="E1921" s="11" t="s">
        <v>113</v>
      </c>
      <c r="F1921" s="11" t="s">
        <v>88</v>
      </c>
      <c r="G1921" s="21" t="n">
        <v>234.63</v>
      </c>
      <c r="H1921" s="19" t="n">
        <v>0</v>
      </c>
      <c r="I1921" s="21" t="n">
        <v>234.63</v>
      </c>
      <c r="J1921" s="22" t="s">
        <v>1533</v>
      </c>
      <c r="K1921" s="11" t="n">
        <v>30</v>
      </c>
      <c r="L1921" s="23" t="n">
        <v>4.3</v>
      </c>
      <c r="M1921" s="24" t="b">
        <f aca="false">FALSE()</f>
        <v>0</v>
      </c>
      <c r="N1921" s="11"/>
      <c r="O1921" s="11" t="str">
        <f aca="false">IF(K1921&lt;=StockP33,"Low",IF(K1921&lt;=StockP67,"Moderate","High"))</f>
        <v>Moderate</v>
      </c>
      <c r="P1921" s="11" t="str">
        <f aca="false">IF(H1921=0,"Low",IF(H1921&lt;=MarkdownP75,"Moderate","High"))</f>
        <v>Low</v>
      </c>
      <c r="Q1921" s="11" t="str">
        <f aca="false">IF(ISBLANK(L1921),"Unknown",IF(L1921&gt;=4,"Good",IF(L1921&lt;=2,"Poor","Neutral")))</f>
        <v>Good</v>
      </c>
      <c r="R1921" s="11" t="str">
        <f aca="false">IF(AND(O1921="Low",P1921="Low",Q1921="Good"),"BUY / PRIORITIZE",IF(AND(O1921="High",P1921="High",OR(Q1921="Poor",M1921=TRUE())),"HOLD / REVIEW","MONITOR"))</f>
        <v>MONITOR</v>
      </c>
      <c r="S1921" s="11" t="n">
        <f aca="false">K1921+(ROW()/10000000)</f>
        <v>30.0001921</v>
      </c>
    </row>
    <row r="1922" customFormat="false" ht="15" hidden="false" customHeight="false" outlineLevel="0" collapsed="false">
      <c r="A1922" s="11" t="s">
        <v>2275</v>
      </c>
      <c r="B1922" s="11" t="s">
        <v>8</v>
      </c>
      <c r="C1922" s="11" t="s">
        <v>72</v>
      </c>
      <c r="D1922" s="11" t="s">
        <v>36</v>
      </c>
      <c r="E1922" s="11"/>
      <c r="F1922" s="11" t="s">
        <v>88</v>
      </c>
      <c r="G1922" s="21" t="n">
        <v>27.6</v>
      </c>
      <c r="H1922" s="19" t="n">
        <v>0</v>
      </c>
      <c r="I1922" s="21" t="n">
        <v>27.6</v>
      </c>
      <c r="J1922" s="22" t="s">
        <v>80</v>
      </c>
      <c r="K1922" s="11" t="n">
        <v>33</v>
      </c>
      <c r="L1922" s="23" t="n">
        <v>2.8</v>
      </c>
      <c r="M1922" s="24" t="b">
        <f aca="false">FALSE()</f>
        <v>0</v>
      </c>
      <c r="N1922" s="11"/>
      <c r="O1922" s="11" t="str">
        <f aca="false">IF(K1922&lt;=StockP33,"Low",IF(K1922&lt;=StockP67,"Moderate","High"))</f>
        <v>Moderate</v>
      </c>
      <c r="P1922" s="11" t="str">
        <f aca="false">IF(H1922=0,"Low",IF(H1922&lt;=MarkdownP75,"Moderate","High"))</f>
        <v>Low</v>
      </c>
      <c r="Q1922" s="11" t="str">
        <f aca="false">IF(ISBLANK(L1922),"Unknown",IF(L1922&gt;=4,"Good",IF(L1922&lt;=2,"Poor","Neutral")))</f>
        <v>Neutral</v>
      </c>
      <c r="R1922" s="11" t="str">
        <f aca="false">IF(AND(O1922="Low",P1922="Low",Q1922="Good"),"BUY / PRIORITIZE",IF(AND(O1922="High",P1922="High",OR(Q1922="Poor",M1922=TRUE())),"HOLD / REVIEW","MONITOR"))</f>
        <v>MONITOR</v>
      </c>
      <c r="S1922" s="11" t="n">
        <f aca="false">K1922+(ROW()/10000000)</f>
        <v>33.0001922</v>
      </c>
    </row>
    <row r="1923" customFormat="false" ht="15" hidden="false" customHeight="false" outlineLevel="0" collapsed="false">
      <c r="A1923" s="11" t="s">
        <v>2276</v>
      </c>
      <c r="B1923" s="11" t="s">
        <v>30</v>
      </c>
      <c r="C1923" s="11" t="s">
        <v>107</v>
      </c>
      <c r="D1923" s="11" t="s">
        <v>36</v>
      </c>
      <c r="E1923" s="11" t="s">
        <v>110</v>
      </c>
      <c r="F1923" s="11" t="s">
        <v>92</v>
      </c>
      <c r="G1923" s="21" t="n">
        <v>114.76</v>
      </c>
      <c r="H1923" s="19" t="n">
        <v>24.3</v>
      </c>
      <c r="I1923" s="21" t="n">
        <v>86.87</v>
      </c>
      <c r="J1923" s="22" t="s">
        <v>80</v>
      </c>
      <c r="K1923" s="11" t="n">
        <v>10</v>
      </c>
      <c r="L1923" s="23" t="n">
        <v>3.4</v>
      </c>
      <c r="M1923" s="24" t="b">
        <f aca="false">FALSE()</f>
        <v>0</v>
      </c>
      <c r="N1923" s="11"/>
      <c r="O1923" s="11" t="str">
        <f aca="false">IF(K1923&lt;=StockP33,"Low",IF(K1923&lt;=StockP67,"Moderate","High"))</f>
        <v>Low</v>
      </c>
      <c r="P1923" s="11" t="str">
        <f aca="false">IF(H1923=0,"Low",IF(H1923&lt;=MarkdownP75,"Moderate","High"))</f>
        <v>High</v>
      </c>
      <c r="Q1923" s="11" t="str">
        <f aca="false">IF(ISBLANK(L1923),"Unknown",IF(L1923&gt;=4,"Good",IF(L1923&lt;=2,"Poor","Neutral")))</f>
        <v>Neutral</v>
      </c>
      <c r="R1923" s="11" t="str">
        <f aca="false">IF(AND(O1923="Low",P1923="Low",Q1923="Good"),"BUY / PRIORITIZE",IF(AND(O1923="High",P1923="High",OR(Q1923="Poor",M1923=TRUE())),"HOLD / REVIEW","MONITOR"))</f>
        <v>MONITOR</v>
      </c>
      <c r="S1923" s="11" t="n">
        <f aca="false">K1923+(ROW()/10000000)</f>
        <v>10.0001923</v>
      </c>
    </row>
    <row r="1924" customFormat="false" ht="15" hidden="false" customHeight="false" outlineLevel="0" collapsed="false">
      <c r="A1924" s="11" t="s">
        <v>2277</v>
      </c>
      <c r="B1924" s="11" t="s">
        <v>29</v>
      </c>
      <c r="C1924" s="11" t="s">
        <v>72</v>
      </c>
      <c r="D1924" s="11" t="s">
        <v>34</v>
      </c>
      <c r="E1924" s="11" t="s">
        <v>91</v>
      </c>
      <c r="F1924" s="11" t="s">
        <v>98</v>
      </c>
      <c r="G1924" s="21" t="n">
        <v>133.52</v>
      </c>
      <c r="H1924" s="19" t="n">
        <v>0</v>
      </c>
      <c r="I1924" s="21" t="n">
        <v>133.52</v>
      </c>
      <c r="J1924" s="22" t="s">
        <v>345</v>
      </c>
      <c r="K1924" s="11" t="n">
        <v>32</v>
      </c>
      <c r="L1924" s="23"/>
      <c r="M1924" s="24" t="b">
        <f aca="false">FALSE()</f>
        <v>0</v>
      </c>
      <c r="N1924" s="11"/>
      <c r="O1924" s="11" t="str">
        <f aca="false">IF(K1924&lt;=StockP33,"Low",IF(K1924&lt;=StockP67,"Moderate","High"))</f>
        <v>Moderate</v>
      </c>
      <c r="P1924" s="11" t="str">
        <f aca="false">IF(H1924=0,"Low",IF(H1924&lt;=MarkdownP75,"Moderate","High"))</f>
        <v>Low</v>
      </c>
      <c r="Q1924" s="11" t="str">
        <f aca="false">IF(ISBLANK(L1924),"Unknown",IF(L1924&gt;=4,"Good",IF(L1924&lt;=2,"Poor","Neutral")))</f>
        <v>Unknown</v>
      </c>
      <c r="R1924" s="11" t="str">
        <f aca="false">IF(AND(O1924="Low",P1924="Low",Q1924="Good"),"BUY / PRIORITIZE",IF(AND(O1924="High",P1924="High",OR(Q1924="Poor",M1924=TRUE())),"HOLD / REVIEW","MONITOR"))</f>
        <v>MONITOR</v>
      </c>
      <c r="S1924" s="11" t="n">
        <f aca="false">K1924+(ROW()/10000000)</f>
        <v>32.0001924</v>
      </c>
    </row>
    <row r="1925" customFormat="false" ht="15" hidden="false" customHeight="false" outlineLevel="0" collapsed="false">
      <c r="A1925" s="11" t="s">
        <v>2278</v>
      </c>
      <c r="B1925" s="11" t="s">
        <v>30</v>
      </c>
      <c r="C1925" s="11" t="s">
        <v>86</v>
      </c>
      <c r="D1925" s="11" t="s">
        <v>37</v>
      </c>
      <c r="E1925" s="11" t="s">
        <v>110</v>
      </c>
      <c r="F1925" s="11" t="s">
        <v>96</v>
      </c>
      <c r="G1925" s="21" t="n">
        <v>64.34</v>
      </c>
      <c r="H1925" s="19" t="n">
        <v>59.3</v>
      </c>
      <c r="I1925" s="21" t="n">
        <v>26.19</v>
      </c>
      <c r="J1925" s="22" t="s">
        <v>80</v>
      </c>
      <c r="K1925" s="11" t="n">
        <v>34</v>
      </c>
      <c r="L1925" s="23" t="n">
        <v>1.2</v>
      </c>
      <c r="M1925" s="24" t="b">
        <f aca="false">FALSE()</f>
        <v>0</v>
      </c>
      <c r="N1925" s="11"/>
      <c r="O1925" s="11" t="str">
        <f aca="false">IF(K1925&lt;=StockP33,"Low",IF(K1925&lt;=StockP67,"Moderate","High"))</f>
        <v>High</v>
      </c>
      <c r="P1925" s="11" t="str">
        <f aca="false">IF(H1925=0,"Low",IF(H1925&lt;=MarkdownP75,"Moderate","High"))</f>
        <v>High</v>
      </c>
      <c r="Q1925" s="11" t="str">
        <f aca="false">IF(ISBLANK(L1925),"Unknown",IF(L1925&gt;=4,"Good",IF(L1925&lt;=2,"Poor","Neutral")))</f>
        <v>Poor</v>
      </c>
      <c r="R1925" s="11" t="str">
        <f aca="false">IF(AND(O1925="Low",P1925="Low",Q1925="Good"),"BUY / PRIORITIZE",IF(AND(O1925="High",P1925="High",OR(Q1925="Poor",M1925=TRUE())),"HOLD / REVIEW","MONITOR"))</f>
        <v>HOLD / REVIEW</v>
      </c>
      <c r="S1925" s="11" t="n">
        <f aca="false">K1925+(ROW()/10000000)</f>
        <v>34.0001925</v>
      </c>
    </row>
    <row r="1926" customFormat="false" ht="15" hidden="false" customHeight="false" outlineLevel="0" collapsed="false">
      <c r="A1926" s="11" t="s">
        <v>2279</v>
      </c>
      <c r="B1926" s="11" t="s">
        <v>26</v>
      </c>
      <c r="C1926" s="11" t="s">
        <v>130</v>
      </c>
      <c r="D1926" s="11" t="s">
        <v>36</v>
      </c>
      <c r="E1926" s="11" t="s">
        <v>78</v>
      </c>
      <c r="F1926" s="11" t="s">
        <v>120</v>
      </c>
      <c r="G1926" s="21" t="n">
        <v>117.81</v>
      </c>
      <c r="H1926" s="19" t="n">
        <v>0</v>
      </c>
      <c r="I1926" s="21" t="n">
        <v>117.81</v>
      </c>
      <c r="J1926" s="22" t="s">
        <v>80</v>
      </c>
      <c r="K1926" s="11" t="n">
        <v>22</v>
      </c>
      <c r="L1926" s="23" t="n">
        <v>4.9</v>
      </c>
      <c r="M1926" s="24" t="b">
        <f aca="false">FALSE()</f>
        <v>0</v>
      </c>
      <c r="N1926" s="11"/>
      <c r="O1926" s="11" t="str">
        <f aca="false">IF(K1926&lt;=StockP33,"Low",IF(K1926&lt;=StockP67,"Moderate","High"))</f>
        <v>Moderate</v>
      </c>
      <c r="P1926" s="11" t="str">
        <f aca="false">IF(H1926=0,"Low",IF(H1926&lt;=MarkdownP75,"Moderate","High"))</f>
        <v>Low</v>
      </c>
      <c r="Q1926" s="11" t="str">
        <f aca="false">IF(ISBLANK(L1926),"Unknown",IF(L1926&gt;=4,"Good",IF(L1926&lt;=2,"Poor","Neutral")))</f>
        <v>Good</v>
      </c>
      <c r="R1926" s="11" t="str">
        <f aca="false">IF(AND(O1926="Low",P1926="Low",Q1926="Good"),"BUY / PRIORITIZE",IF(AND(O1926="High",P1926="High",OR(Q1926="Poor",M1926=TRUE())),"HOLD / REVIEW","MONITOR"))</f>
        <v>MONITOR</v>
      </c>
      <c r="S1926" s="11" t="n">
        <f aca="false">K1926+(ROW()/10000000)</f>
        <v>22.0001926</v>
      </c>
    </row>
    <row r="1927" customFormat="false" ht="15" hidden="false" customHeight="false" outlineLevel="0" collapsed="false">
      <c r="A1927" s="11" t="s">
        <v>2280</v>
      </c>
      <c r="B1927" s="11" t="s">
        <v>8</v>
      </c>
      <c r="C1927" s="11" t="s">
        <v>107</v>
      </c>
      <c r="D1927" s="11" t="s">
        <v>34</v>
      </c>
      <c r="E1927" s="11"/>
      <c r="F1927" s="11" t="s">
        <v>96</v>
      </c>
      <c r="G1927" s="21" t="n">
        <v>29.19</v>
      </c>
      <c r="H1927" s="19" t="n">
        <v>0</v>
      </c>
      <c r="I1927" s="21" t="n">
        <v>29.19</v>
      </c>
      <c r="J1927" s="22" t="s">
        <v>2281</v>
      </c>
      <c r="K1927" s="11" t="n">
        <v>20</v>
      </c>
      <c r="L1927" s="23" t="n">
        <v>1.9</v>
      </c>
      <c r="M1927" s="24" t="b">
        <f aca="false">FALSE()</f>
        <v>0</v>
      </c>
      <c r="N1927" s="11"/>
      <c r="O1927" s="11" t="str">
        <f aca="false">IF(K1927&lt;=StockP33,"Low",IF(K1927&lt;=StockP67,"Moderate","High"))</f>
        <v>Moderate</v>
      </c>
      <c r="P1927" s="11" t="str">
        <f aca="false">IF(H1927=0,"Low",IF(H1927&lt;=MarkdownP75,"Moderate","High"))</f>
        <v>Low</v>
      </c>
      <c r="Q1927" s="11" t="str">
        <f aca="false">IF(ISBLANK(L1927),"Unknown",IF(L1927&gt;=4,"Good",IF(L1927&lt;=2,"Poor","Neutral")))</f>
        <v>Poor</v>
      </c>
      <c r="R1927" s="11" t="str">
        <f aca="false">IF(AND(O1927="Low",P1927="Low",Q1927="Good"),"BUY / PRIORITIZE",IF(AND(O1927="High",P1927="High",OR(Q1927="Poor",M1927=TRUE())),"HOLD / REVIEW","MONITOR"))</f>
        <v>MONITOR</v>
      </c>
      <c r="S1927" s="11" t="n">
        <f aca="false">K1927+(ROW()/10000000)</f>
        <v>20.0001927</v>
      </c>
    </row>
    <row r="1928" customFormat="false" ht="15" hidden="false" customHeight="false" outlineLevel="0" collapsed="false">
      <c r="A1928" s="11" t="s">
        <v>2282</v>
      </c>
      <c r="B1928" s="11" t="s">
        <v>30</v>
      </c>
      <c r="C1928" s="11" t="s">
        <v>77</v>
      </c>
      <c r="D1928" s="11" t="s">
        <v>36</v>
      </c>
      <c r="E1928" s="11" t="s">
        <v>113</v>
      </c>
      <c r="F1928" s="11" t="s">
        <v>120</v>
      </c>
      <c r="G1928" s="21" t="n">
        <v>34.72</v>
      </c>
      <c r="H1928" s="19" t="n">
        <v>0</v>
      </c>
      <c r="I1928" s="21" t="n">
        <v>34.72</v>
      </c>
      <c r="J1928" s="22" t="s">
        <v>80</v>
      </c>
      <c r="K1928" s="11" t="n">
        <v>7</v>
      </c>
      <c r="L1928" s="23"/>
      <c r="M1928" s="24" t="b">
        <f aca="false">FALSE()</f>
        <v>0</v>
      </c>
      <c r="N1928" s="11"/>
      <c r="O1928" s="11" t="str">
        <f aca="false">IF(K1928&lt;=StockP33,"Low",IF(K1928&lt;=StockP67,"Moderate","High"))</f>
        <v>Low</v>
      </c>
      <c r="P1928" s="11" t="str">
        <f aca="false">IF(H1928=0,"Low",IF(H1928&lt;=MarkdownP75,"Moderate","High"))</f>
        <v>Low</v>
      </c>
      <c r="Q1928" s="11" t="str">
        <f aca="false">IF(ISBLANK(L1928),"Unknown",IF(L1928&gt;=4,"Good",IF(L1928&lt;=2,"Poor","Neutral")))</f>
        <v>Unknown</v>
      </c>
      <c r="R1928" s="11" t="str">
        <f aca="false">IF(AND(O1928="Low",P1928="Low",Q1928="Good"),"BUY / PRIORITIZE",IF(AND(O1928="High",P1928="High",OR(Q1928="Poor",M1928=TRUE())),"HOLD / REVIEW","MONITOR"))</f>
        <v>MONITOR</v>
      </c>
      <c r="S1928" s="11" t="n">
        <f aca="false">K1928+(ROW()/10000000)</f>
        <v>7.0001928</v>
      </c>
    </row>
    <row r="1929" customFormat="false" ht="15" hidden="false" customHeight="false" outlineLevel="0" collapsed="false">
      <c r="A1929" s="11" t="s">
        <v>2283</v>
      </c>
      <c r="B1929" s="11" t="s">
        <v>27</v>
      </c>
      <c r="C1929" s="11" t="s">
        <v>116</v>
      </c>
      <c r="D1929" s="11" t="s">
        <v>36</v>
      </c>
      <c r="E1929" s="11" t="s">
        <v>73</v>
      </c>
      <c r="F1929" s="11" t="s">
        <v>92</v>
      </c>
      <c r="G1929" s="21" t="n">
        <v>107.49</v>
      </c>
      <c r="H1929" s="19" t="n">
        <v>0</v>
      </c>
      <c r="I1929" s="21" t="n">
        <v>107.49</v>
      </c>
      <c r="J1929" s="22" t="s">
        <v>80</v>
      </c>
      <c r="K1929" s="11" t="n">
        <v>49</v>
      </c>
      <c r="L1929" s="23" t="n">
        <v>3.3</v>
      </c>
      <c r="M1929" s="24" t="b">
        <f aca="false">FALSE()</f>
        <v>0</v>
      </c>
      <c r="N1929" s="11"/>
      <c r="O1929" s="11" t="str">
        <f aca="false">IF(K1929&lt;=StockP33,"Low",IF(K1929&lt;=StockP67,"Moderate","High"))</f>
        <v>High</v>
      </c>
      <c r="P1929" s="11" t="str">
        <f aca="false">IF(H1929=0,"Low",IF(H1929&lt;=MarkdownP75,"Moderate","High"))</f>
        <v>Low</v>
      </c>
      <c r="Q1929" s="11" t="str">
        <f aca="false">IF(ISBLANK(L1929),"Unknown",IF(L1929&gt;=4,"Good",IF(L1929&lt;=2,"Poor","Neutral")))</f>
        <v>Neutral</v>
      </c>
      <c r="R1929" s="11" t="str">
        <f aca="false">IF(AND(O1929="Low",P1929="Low",Q1929="Good"),"BUY / PRIORITIZE",IF(AND(O1929="High",P1929="High",OR(Q1929="Poor",M1929=TRUE())),"HOLD / REVIEW","MONITOR"))</f>
        <v>MONITOR</v>
      </c>
      <c r="S1929" s="11" t="n">
        <f aca="false">K1929+(ROW()/10000000)</f>
        <v>49.0001929</v>
      </c>
    </row>
    <row r="1930" customFormat="false" ht="15" hidden="false" customHeight="false" outlineLevel="0" collapsed="false">
      <c r="A1930" s="11" t="s">
        <v>2284</v>
      </c>
      <c r="B1930" s="11" t="s">
        <v>26</v>
      </c>
      <c r="C1930" s="11" t="s">
        <v>77</v>
      </c>
      <c r="D1930" s="11" t="s">
        <v>37</v>
      </c>
      <c r="E1930" s="11" t="s">
        <v>102</v>
      </c>
      <c r="F1930" s="11" t="s">
        <v>96</v>
      </c>
      <c r="G1930" s="21" t="n">
        <v>38.7</v>
      </c>
      <c r="H1930" s="19" t="n">
        <v>0</v>
      </c>
      <c r="I1930" s="21" t="n">
        <v>38.7</v>
      </c>
      <c r="J1930" s="22" t="s">
        <v>80</v>
      </c>
      <c r="K1930" s="11" t="n">
        <v>11</v>
      </c>
      <c r="L1930" s="23" t="n">
        <v>4</v>
      </c>
      <c r="M1930" s="24" t="b">
        <f aca="false">FALSE()</f>
        <v>0</v>
      </c>
      <c r="N1930" s="11"/>
      <c r="O1930" s="11" t="str">
        <f aca="false">IF(K1930&lt;=StockP33,"Low",IF(K1930&lt;=StockP67,"Moderate","High"))</f>
        <v>Low</v>
      </c>
      <c r="P1930" s="11" t="str">
        <f aca="false">IF(H1930=0,"Low",IF(H1930&lt;=MarkdownP75,"Moderate","High"))</f>
        <v>Low</v>
      </c>
      <c r="Q1930" s="11" t="str">
        <f aca="false">IF(ISBLANK(L1930),"Unknown",IF(L1930&gt;=4,"Good",IF(L1930&lt;=2,"Poor","Neutral")))</f>
        <v>Good</v>
      </c>
      <c r="R1930" s="11" t="str">
        <f aca="false">IF(AND(O1930="Low",P1930="Low",Q1930="Good"),"BUY / PRIORITIZE",IF(AND(O1930="High",P1930="High",OR(Q1930="Poor",M1930=TRUE())),"HOLD / REVIEW","MONITOR"))</f>
        <v>BUY / PRIORITIZE</v>
      </c>
      <c r="S1930" s="11" t="n">
        <f aca="false">K1930+(ROW()/10000000)</f>
        <v>11.000193</v>
      </c>
    </row>
    <row r="1931" customFormat="false" ht="15" hidden="false" customHeight="false" outlineLevel="0" collapsed="false">
      <c r="A1931" s="11" t="s">
        <v>2285</v>
      </c>
      <c r="B1931" s="11" t="s">
        <v>28</v>
      </c>
      <c r="C1931" s="11" t="s">
        <v>107</v>
      </c>
      <c r="D1931" s="11" t="s">
        <v>34</v>
      </c>
      <c r="E1931" s="11" t="s">
        <v>110</v>
      </c>
      <c r="F1931" s="11" t="s">
        <v>124</v>
      </c>
      <c r="G1931" s="21" t="n">
        <v>152.64</v>
      </c>
      <c r="H1931" s="19" t="n">
        <v>0</v>
      </c>
      <c r="I1931" s="21" t="n">
        <v>152.64</v>
      </c>
      <c r="J1931" s="22" t="s">
        <v>1494</v>
      </c>
      <c r="K1931" s="11" t="n">
        <v>19</v>
      </c>
      <c r="L1931" s="23" t="n">
        <v>4.1</v>
      </c>
      <c r="M1931" s="24" t="b">
        <f aca="false">FALSE()</f>
        <v>0</v>
      </c>
      <c r="N1931" s="11"/>
      <c r="O1931" s="11" t="str">
        <f aca="false">IF(K1931&lt;=StockP33,"Low",IF(K1931&lt;=StockP67,"Moderate","High"))</f>
        <v>Moderate</v>
      </c>
      <c r="P1931" s="11" t="str">
        <f aca="false">IF(H1931=0,"Low",IF(H1931&lt;=MarkdownP75,"Moderate","High"))</f>
        <v>Low</v>
      </c>
      <c r="Q1931" s="11" t="str">
        <f aca="false">IF(ISBLANK(L1931),"Unknown",IF(L1931&gt;=4,"Good",IF(L1931&lt;=2,"Poor","Neutral")))</f>
        <v>Good</v>
      </c>
      <c r="R1931" s="11" t="str">
        <f aca="false">IF(AND(O1931="Low",P1931="Low",Q1931="Good"),"BUY / PRIORITIZE",IF(AND(O1931="High",P1931="High",OR(Q1931="Poor",M1931=TRUE())),"HOLD / REVIEW","MONITOR"))</f>
        <v>MONITOR</v>
      </c>
      <c r="S1931" s="11" t="n">
        <f aca="false">K1931+(ROW()/10000000)</f>
        <v>19.0001931</v>
      </c>
    </row>
    <row r="1932" customFormat="false" ht="15" hidden="false" customHeight="false" outlineLevel="0" collapsed="false">
      <c r="A1932" s="11" t="s">
        <v>2286</v>
      </c>
      <c r="B1932" s="11" t="s">
        <v>28</v>
      </c>
      <c r="C1932" s="11" t="s">
        <v>95</v>
      </c>
      <c r="D1932" s="11" t="s">
        <v>36</v>
      </c>
      <c r="E1932" s="11" t="s">
        <v>110</v>
      </c>
      <c r="F1932" s="11" t="s">
        <v>120</v>
      </c>
      <c r="G1932" s="21" t="n">
        <v>181.66</v>
      </c>
      <c r="H1932" s="19" t="n">
        <v>56.4</v>
      </c>
      <c r="I1932" s="21" t="n">
        <v>79.2</v>
      </c>
      <c r="J1932" s="22" t="s">
        <v>80</v>
      </c>
      <c r="K1932" s="11" t="n">
        <v>43</v>
      </c>
      <c r="L1932" s="23" t="n">
        <v>1.2</v>
      </c>
      <c r="M1932" s="24" t="b">
        <f aca="false">FALSE()</f>
        <v>0</v>
      </c>
      <c r="N1932" s="11"/>
      <c r="O1932" s="11" t="str">
        <f aca="false">IF(K1932&lt;=StockP33,"Low",IF(K1932&lt;=StockP67,"Moderate","High"))</f>
        <v>High</v>
      </c>
      <c r="P1932" s="11" t="str">
        <f aca="false">IF(H1932=0,"Low",IF(H1932&lt;=MarkdownP75,"Moderate","High"))</f>
        <v>High</v>
      </c>
      <c r="Q1932" s="11" t="str">
        <f aca="false">IF(ISBLANK(L1932),"Unknown",IF(L1932&gt;=4,"Good",IF(L1932&lt;=2,"Poor","Neutral")))</f>
        <v>Poor</v>
      </c>
      <c r="R1932" s="11" t="str">
        <f aca="false">IF(AND(O1932="Low",P1932="Low",Q1932="Good"),"BUY / PRIORITIZE",IF(AND(O1932="High",P1932="High",OR(Q1932="Poor",M1932=TRUE())),"HOLD / REVIEW","MONITOR"))</f>
        <v>HOLD / REVIEW</v>
      </c>
      <c r="S1932" s="11" t="n">
        <f aca="false">K1932+(ROW()/10000000)</f>
        <v>43.0001932</v>
      </c>
    </row>
    <row r="1933" customFormat="false" ht="15" hidden="false" customHeight="false" outlineLevel="0" collapsed="false">
      <c r="A1933" s="11" t="s">
        <v>2287</v>
      </c>
      <c r="B1933" s="11" t="s">
        <v>30</v>
      </c>
      <c r="C1933" s="11" t="s">
        <v>77</v>
      </c>
      <c r="D1933" s="11" t="s">
        <v>34</v>
      </c>
      <c r="E1933" s="11" t="s">
        <v>73</v>
      </c>
      <c r="F1933" s="11" t="s">
        <v>98</v>
      </c>
      <c r="G1933" s="21" t="n">
        <v>114.8</v>
      </c>
      <c r="H1933" s="19" t="n">
        <v>17.4</v>
      </c>
      <c r="I1933" s="21" t="n">
        <v>94.82</v>
      </c>
      <c r="J1933" s="22" t="s">
        <v>1865</v>
      </c>
      <c r="K1933" s="11" t="n">
        <v>4</v>
      </c>
      <c r="L1933" s="23" t="n">
        <v>1.8</v>
      </c>
      <c r="M1933" s="24" t="b">
        <f aca="false">FALSE()</f>
        <v>0</v>
      </c>
      <c r="N1933" s="11"/>
      <c r="O1933" s="11" t="str">
        <f aca="false">IF(K1933&lt;=StockP33,"Low",IF(K1933&lt;=StockP67,"Moderate","High"))</f>
        <v>Low</v>
      </c>
      <c r="P1933" s="11" t="str">
        <f aca="false">IF(H1933=0,"Low",IF(H1933&lt;=MarkdownP75,"Moderate","High"))</f>
        <v>Moderate</v>
      </c>
      <c r="Q1933" s="11" t="str">
        <f aca="false">IF(ISBLANK(L1933),"Unknown",IF(L1933&gt;=4,"Good",IF(L1933&lt;=2,"Poor","Neutral")))</f>
        <v>Poor</v>
      </c>
      <c r="R1933" s="11" t="str">
        <f aca="false">IF(AND(O1933="Low",P1933="Low",Q1933="Good"),"BUY / PRIORITIZE",IF(AND(O1933="High",P1933="High",OR(Q1933="Poor",M1933=TRUE())),"HOLD / REVIEW","MONITOR"))</f>
        <v>MONITOR</v>
      </c>
      <c r="S1933" s="11" t="n">
        <f aca="false">K1933+(ROW()/10000000)</f>
        <v>4.0001933</v>
      </c>
    </row>
    <row r="1934" customFormat="false" ht="15" hidden="false" customHeight="false" outlineLevel="0" collapsed="false">
      <c r="A1934" s="11" t="s">
        <v>2288</v>
      </c>
      <c r="B1934" s="11" t="s">
        <v>29</v>
      </c>
      <c r="C1934" s="11" t="s">
        <v>77</v>
      </c>
      <c r="D1934" s="11" t="s">
        <v>37</v>
      </c>
      <c r="E1934" s="11" t="s">
        <v>102</v>
      </c>
      <c r="F1934" s="11" t="s">
        <v>98</v>
      </c>
      <c r="G1934" s="21" t="n">
        <v>102.95</v>
      </c>
      <c r="H1934" s="19" t="n">
        <v>0</v>
      </c>
      <c r="I1934" s="21" t="n">
        <v>102.95</v>
      </c>
      <c r="J1934" s="22" t="s">
        <v>80</v>
      </c>
      <c r="K1934" s="11" t="n">
        <v>38</v>
      </c>
      <c r="L1934" s="23" t="n">
        <v>3.8</v>
      </c>
      <c r="M1934" s="24" t="b">
        <f aca="false">FALSE()</f>
        <v>0</v>
      </c>
      <c r="N1934" s="11"/>
      <c r="O1934" s="11" t="str">
        <f aca="false">IF(K1934&lt;=StockP33,"Low",IF(K1934&lt;=StockP67,"Moderate","High"))</f>
        <v>High</v>
      </c>
      <c r="P1934" s="11" t="str">
        <f aca="false">IF(H1934=0,"Low",IF(H1934&lt;=MarkdownP75,"Moderate","High"))</f>
        <v>Low</v>
      </c>
      <c r="Q1934" s="11" t="str">
        <f aca="false">IF(ISBLANK(L1934),"Unknown",IF(L1934&gt;=4,"Good",IF(L1934&lt;=2,"Poor","Neutral")))</f>
        <v>Neutral</v>
      </c>
      <c r="R1934" s="11" t="str">
        <f aca="false">IF(AND(O1934="Low",P1934="Low",Q1934="Good"),"BUY / PRIORITIZE",IF(AND(O1934="High",P1934="High",OR(Q1934="Poor",M1934=TRUE())),"HOLD / REVIEW","MONITOR"))</f>
        <v>MONITOR</v>
      </c>
      <c r="S1934" s="11" t="n">
        <f aca="false">K1934+(ROW()/10000000)</f>
        <v>38.0001934</v>
      </c>
    </row>
    <row r="1935" customFormat="false" ht="15" hidden="false" customHeight="false" outlineLevel="0" collapsed="false">
      <c r="A1935" s="11" t="s">
        <v>2289</v>
      </c>
      <c r="B1935" s="11" t="s">
        <v>30</v>
      </c>
      <c r="C1935" s="11" t="s">
        <v>130</v>
      </c>
      <c r="D1935" s="11" t="s">
        <v>37</v>
      </c>
      <c r="E1935" s="11" t="s">
        <v>102</v>
      </c>
      <c r="F1935" s="11" t="s">
        <v>98</v>
      </c>
      <c r="G1935" s="21" t="n">
        <v>86.82</v>
      </c>
      <c r="H1935" s="19" t="n">
        <v>0</v>
      </c>
      <c r="I1935" s="21" t="n">
        <v>86.82</v>
      </c>
      <c r="J1935" s="22" t="s">
        <v>80</v>
      </c>
      <c r="K1935" s="11" t="n">
        <v>0</v>
      </c>
      <c r="L1935" s="23" t="n">
        <v>4.8</v>
      </c>
      <c r="M1935" s="24" t="b">
        <f aca="false">FALSE()</f>
        <v>0</v>
      </c>
      <c r="N1935" s="11"/>
      <c r="O1935" s="11" t="str">
        <f aca="false">IF(K1935&lt;=StockP33,"Low",IF(K1935&lt;=StockP67,"Moderate","High"))</f>
        <v>Low</v>
      </c>
      <c r="P1935" s="11" t="str">
        <f aca="false">IF(H1935=0,"Low",IF(H1935&lt;=MarkdownP75,"Moderate","High"))</f>
        <v>Low</v>
      </c>
      <c r="Q1935" s="11" t="str">
        <f aca="false">IF(ISBLANK(L1935),"Unknown",IF(L1935&gt;=4,"Good",IF(L1935&lt;=2,"Poor","Neutral")))</f>
        <v>Good</v>
      </c>
      <c r="R1935" s="11" t="str">
        <f aca="false">IF(AND(O1935="Low",P1935="Low",Q1935="Good"),"BUY / PRIORITIZE",IF(AND(O1935="High",P1935="High",OR(Q1935="Poor",M1935=TRUE())),"HOLD / REVIEW","MONITOR"))</f>
        <v>BUY / PRIORITIZE</v>
      </c>
      <c r="S1935" s="11" t="n">
        <f aca="false">K1935+(ROW()/10000000)</f>
        <v>0.0001935</v>
      </c>
    </row>
    <row r="1936" customFormat="false" ht="15" hidden="false" customHeight="false" outlineLevel="0" collapsed="false">
      <c r="A1936" s="11" t="s">
        <v>2290</v>
      </c>
      <c r="B1936" s="11" t="s">
        <v>28</v>
      </c>
      <c r="C1936" s="11" t="s">
        <v>101</v>
      </c>
      <c r="D1936" s="11" t="s">
        <v>35</v>
      </c>
      <c r="E1936" s="11" t="s">
        <v>78</v>
      </c>
      <c r="F1936" s="11" t="s">
        <v>74</v>
      </c>
      <c r="G1936" s="21" t="n">
        <v>83.68</v>
      </c>
      <c r="H1936" s="19" t="n">
        <v>28.1</v>
      </c>
      <c r="I1936" s="21" t="n">
        <v>60.17</v>
      </c>
      <c r="J1936" s="22" t="s">
        <v>80</v>
      </c>
      <c r="K1936" s="11" t="n">
        <v>46</v>
      </c>
      <c r="L1936" s="23"/>
      <c r="M1936" s="24" t="b">
        <f aca="false">TRUE()</f>
        <v>1</v>
      </c>
      <c r="N1936" s="11" t="s">
        <v>140</v>
      </c>
      <c r="O1936" s="11" t="str">
        <f aca="false">IF(K1936&lt;=StockP33,"Low",IF(K1936&lt;=StockP67,"Moderate","High"))</f>
        <v>High</v>
      </c>
      <c r="P1936" s="11" t="str">
        <f aca="false">IF(H1936=0,"Low",IF(H1936&lt;=MarkdownP75,"Moderate","High"))</f>
        <v>High</v>
      </c>
      <c r="Q1936" s="11" t="str">
        <f aca="false">IF(ISBLANK(L1936),"Unknown",IF(L1936&gt;=4,"Good",IF(L1936&lt;=2,"Poor","Neutral")))</f>
        <v>Unknown</v>
      </c>
      <c r="R1936" s="11" t="str">
        <f aca="false">IF(AND(O1936="Low",P1936="Low",Q1936="Good"),"BUY / PRIORITIZE",IF(AND(O1936="High",P1936="High",OR(Q1936="Poor",M1936=TRUE())),"HOLD / REVIEW","MONITOR"))</f>
        <v>HOLD / REVIEW</v>
      </c>
      <c r="S1936" s="11" t="n">
        <f aca="false">K1936+(ROW()/10000000)</f>
        <v>46.0001936</v>
      </c>
    </row>
    <row r="1937" customFormat="false" ht="15" hidden="false" customHeight="false" outlineLevel="0" collapsed="false">
      <c r="A1937" s="11" t="s">
        <v>2291</v>
      </c>
      <c r="B1937" s="11" t="s">
        <v>28</v>
      </c>
      <c r="C1937" s="11" t="s">
        <v>86</v>
      </c>
      <c r="D1937" s="11" t="s">
        <v>36</v>
      </c>
      <c r="E1937" s="11" t="s">
        <v>91</v>
      </c>
      <c r="F1937" s="11" t="s">
        <v>79</v>
      </c>
      <c r="G1937" s="21" t="n">
        <v>167.31</v>
      </c>
      <c r="H1937" s="19" t="n">
        <v>50.7</v>
      </c>
      <c r="I1937" s="21" t="n">
        <v>82.48</v>
      </c>
      <c r="J1937" s="22" t="s">
        <v>80</v>
      </c>
      <c r="K1937" s="11" t="n">
        <v>9</v>
      </c>
      <c r="L1937" s="23" t="n">
        <v>3.2</v>
      </c>
      <c r="M1937" s="24" t="b">
        <f aca="false">FALSE()</f>
        <v>0</v>
      </c>
      <c r="N1937" s="11"/>
      <c r="O1937" s="11" t="str">
        <f aca="false">IF(K1937&lt;=StockP33,"Low",IF(K1937&lt;=StockP67,"Moderate","High"))</f>
        <v>Low</v>
      </c>
      <c r="P1937" s="11" t="str">
        <f aca="false">IF(H1937=0,"Low",IF(H1937&lt;=MarkdownP75,"Moderate","High"))</f>
        <v>High</v>
      </c>
      <c r="Q1937" s="11" t="str">
        <f aca="false">IF(ISBLANK(L1937),"Unknown",IF(L1937&gt;=4,"Good",IF(L1937&lt;=2,"Poor","Neutral")))</f>
        <v>Neutral</v>
      </c>
      <c r="R1937" s="11" t="str">
        <f aca="false">IF(AND(O1937="Low",P1937="Low",Q1937="Good"),"BUY / PRIORITIZE",IF(AND(O1937="High",P1937="High",OR(Q1937="Poor",M1937=TRUE())),"HOLD / REVIEW","MONITOR"))</f>
        <v>MONITOR</v>
      </c>
      <c r="S1937" s="11" t="n">
        <f aca="false">K1937+(ROW()/10000000)</f>
        <v>9.0001937</v>
      </c>
    </row>
    <row r="1938" customFormat="false" ht="15" hidden="false" customHeight="false" outlineLevel="0" collapsed="false">
      <c r="A1938" s="11" t="s">
        <v>2292</v>
      </c>
      <c r="B1938" s="11" t="s">
        <v>26</v>
      </c>
      <c r="C1938" s="11" t="s">
        <v>101</v>
      </c>
      <c r="D1938" s="11" t="s">
        <v>36</v>
      </c>
      <c r="E1938" s="11" t="s">
        <v>110</v>
      </c>
      <c r="F1938" s="11" t="s">
        <v>92</v>
      </c>
      <c r="G1938" s="21" t="n">
        <v>114.64</v>
      </c>
      <c r="H1938" s="19" t="n">
        <v>5.1</v>
      </c>
      <c r="I1938" s="21" t="n">
        <v>108.79</v>
      </c>
      <c r="J1938" s="22" t="s">
        <v>80</v>
      </c>
      <c r="K1938" s="11" t="n">
        <v>21</v>
      </c>
      <c r="L1938" s="23" t="n">
        <v>2</v>
      </c>
      <c r="M1938" s="24" t="b">
        <f aca="false">FALSE()</f>
        <v>0</v>
      </c>
      <c r="N1938" s="11"/>
      <c r="O1938" s="11" t="str">
        <f aca="false">IF(K1938&lt;=StockP33,"Low",IF(K1938&lt;=StockP67,"Moderate","High"))</f>
        <v>Moderate</v>
      </c>
      <c r="P1938" s="11" t="str">
        <f aca="false">IF(H1938=0,"Low",IF(H1938&lt;=MarkdownP75,"Moderate","High"))</f>
        <v>Moderate</v>
      </c>
      <c r="Q1938" s="11" t="str">
        <f aca="false">IF(ISBLANK(L1938),"Unknown",IF(L1938&gt;=4,"Good",IF(L1938&lt;=2,"Poor","Neutral")))</f>
        <v>Poor</v>
      </c>
      <c r="R1938" s="11" t="str">
        <f aca="false">IF(AND(O1938="Low",P1938="Low",Q1938="Good"),"BUY / PRIORITIZE",IF(AND(O1938="High",P1938="High",OR(Q1938="Poor",M1938=TRUE())),"HOLD / REVIEW","MONITOR"))</f>
        <v>MONITOR</v>
      </c>
      <c r="S1938" s="11" t="n">
        <f aca="false">K1938+(ROW()/10000000)</f>
        <v>21.0001938</v>
      </c>
    </row>
    <row r="1939" customFormat="false" ht="15" hidden="false" customHeight="false" outlineLevel="0" collapsed="false">
      <c r="A1939" s="11" t="s">
        <v>2293</v>
      </c>
      <c r="B1939" s="11" t="s">
        <v>28</v>
      </c>
      <c r="C1939" s="11" t="s">
        <v>101</v>
      </c>
      <c r="D1939" s="11" t="s">
        <v>34</v>
      </c>
      <c r="E1939" s="11" t="s">
        <v>102</v>
      </c>
      <c r="F1939" s="11" t="s">
        <v>88</v>
      </c>
      <c r="G1939" s="21" t="n">
        <v>109.53</v>
      </c>
      <c r="H1939" s="19" t="n">
        <v>29.3</v>
      </c>
      <c r="I1939" s="21" t="n">
        <v>77.44</v>
      </c>
      <c r="J1939" s="22" t="s">
        <v>392</v>
      </c>
      <c r="K1939" s="11" t="n">
        <v>35</v>
      </c>
      <c r="L1939" s="23" t="n">
        <v>1.3</v>
      </c>
      <c r="M1939" s="24" t="b">
        <f aca="false">FALSE()</f>
        <v>0</v>
      </c>
      <c r="N1939" s="11"/>
      <c r="O1939" s="11" t="str">
        <f aca="false">IF(K1939&lt;=StockP33,"Low",IF(K1939&lt;=StockP67,"Moderate","High"))</f>
        <v>High</v>
      </c>
      <c r="P1939" s="11" t="str">
        <f aca="false">IF(H1939=0,"Low",IF(H1939&lt;=MarkdownP75,"Moderate","High"))</f>
        <v>High</v>
      </c>
      <c r="Q1939" s="11" t="str">
        <f aca="false">IF(ISBLANK(L1939),"Unknown",IF(L1939&gt;=4,"Good",IF(L1939&lt;=2,"Poor","Neutral")))</f>
        <v>Poor</v>
      </c>
      <c r="R1939" s="11" t="str">
        <f aca="false">IF(AND(O1939="Low",P1939="Low",Q1939="Good"),"BUY / PRIORITIZE",IF(AND(O1939="High",P1939="High",OR(Q1939="Poor",M1939=TRUE())),"HOLD / REVIEW","MONITOR"))</f>
        <v>HOLD / REVIEW</v>
      </c>
      <c r="S1939" s="11" t="n">
        <f aca="false">K1939+(ROW()/10000000)</f>
        <v>35.0001939</v>
      </c>
    </row>
    <row r="1940" customFormat="false" ht="15" hidden="false" customHeight="false" outlineLevel="0" collapsed="false">
      <c r="A1940" s="11" t="s">
        <v>2294</v>
      </c>
      <c r="B1940" s="11" t="s">
        <v>8</v>
      </c>
      <c r="C1940" s="11" t="s">
        <v>107</v>
      </c>
      <c r="D1940" s="11" t="s">
        <v>35</v>
      </c>
      <c r="E1940" s="11"/>
      <c r="F1940" s="11" t="s">
        <v>111</v>
      </c>
      <c r="G1940" s="21" t="n">
        <v>51.02</v>
      </c>
      <c r="H1940" s="19" t="n">
        <v>57.9</v>
      </c>
      <c r="I1940" s="21" t="n">
        <v>21.48</v>
      </c>
      <c r="J1940" s="22" t="s">
        <v>80</v>
      </c>
      <c r="K1940" s="11" t="n">
        <v>36</v>
      </c>
      <c r="L1940" s="23"/>
      <c r="M1940" s="24" t="b">
        <f aca="false">FALSE()</f>
        <v>0</v>
      </c>
      <c r="N1940" s="11"/>
      <c r="O1940" s="11" t="str">
        <f aca="false">IF(K1940&lt;=StockP33,"Low",IF(K1940&lt;=StockP67,"Moderate","High"))</f>
        <v>High</v>
      </c>
      <c r="P1940" s="11" t="str">
        <f aca="false">IF(H1940=0,"Low",IF(H1940&lt;=MarkdownP75,"Moderate","High"))</f>
        <v>High</v>
      </c>
      <c r="Q1940" s="11" t="str">
        <f aca="false">IF(ISBLANK(L1940),"Unknown",IF(L1940&gt;=4,"Good",IF(L1940&lt;=2,"Poor","Neutral")))</f>
        <v>Unknown</v>
      </c>
      <c r="R1940" s="11" t="str">
        <f aca="false">IF(AND(O1940="Low",P1940="Low",Q1940="Good"),"BUY / PRIORITIZE",IF(AND(O1940="High",P1940="High",OR(Q1940="Poor",M1940=TRUE())),"HOLD / REVIEW","MONITOR"))</f>
        <v>MONITOR</v>
      </c>
      <c r="S1940" s="11" t="n">
        <f aca="false">K1940+(ROW()/10000000)</f>
        <v>36.000194</v>
      </c>
    </row>
    <row r="1941" customFormat="false" ht="15" hidden="false" customHeight="false" outlineLevel="0" collapsed="false">
      <c r="A1941" s="11" t="s">
        <v>2295</v>
      </c>
      <c r="B1941" s="11" t="s">
        <v>29</v>
      </c>
      <c r="C1941" s="11" t="s">
        <v>101</v>
      </c>
      <c r="D1941" s="11" t="s">
        <v>36</v>
      </c>
      <c r="E1941" s="11" t="s">
        <v>113</v>
      </c>
      <c r="F1941" s="11" t="s">
        <v>98</v>
      </c>
      <c r="G1941" s="21" t="n">
        <v>77.45</v>
      </c>
      <c r="H1941" s="19" t="n">
        <v>52.8</v>
      </c>
      <c r="I1941" s="21" t="n">
        <v>36.56</v>
      </c>
      <c r="J1941" s="22" t="s">
        <v>80</v>
      </c>
      <c r="K1941" s="11" t="n">
        <v>6</v>
      </c>
      <c r="L1941" s="23" t="n">
        <v>2.7</v>
      </c>
      <c r="M1941" s="24" t="b">
        <f aca="false">FALSE()</f>
        <v>0</v>
      </c>
      <c r="N1941" s="11"/>
      <c r="O1941" s="11" t="str">
        <f aca="false">IF(K1941&lt;=StockP33,"Low",IF(K1941&lt;=StockP67,"Moderate","High"))</f>
        <v>Low</v>
      </c>
      <c r="P1941" s="11" t="str">
        <f aca="false">IF(H1941=0,"Low",IF(H1941&lt;=MarkdownP75,"Moderate","High"))</f>
        <v>High</v>
      </c>
      <c r="Q1941" s="11" t="str">
        <f aca="false">IF(ISBLANK(L1941),"Unknown",IF(L1941&gt;=4,"Good",IF(L1941&lt;=2,"Poor","Neutral")))</f>
        <v>Neutral</v>
      </c>
      <c r="R1941" s="11" t="str">
        <f aca="false">IF(AND(O1941="Low",P1941="Low",Q1941="Good"),"BUY / PRIORITIZE",IF(AND(O1941="High",P1941="High",OR(Q1941="Poor",M1941=TRUE())),"HOLD / REVIEW","MONITOR"))</f>
        <v>MONITOR</v>
      </c>
      <c r="S1941" s="11" t="n">
        <f aca="false">K1941+(ROW()/10000000)</f>
        <v>6.0001941</v>
      </c>
    </row>
    <row r="1942" customFormat="false" ht="15" hidden="false" customHeight="false" outlineLevel="0" collapsed="false">
      <c r="A1942" s="11" t="s">
        <v>2296</v>
      </c>
      <c r="B1942" s="11" t="s">
        <v>29</v>
      </c>
      <c r="C1942" s="11" t="s">
        <v>107</v>
      </c>
      <c r="D1942" s="11" t="s">
        <v>36</v>
      </c>
      <c r="E1942" s="11" t="s">
        <v>110</v>
      </c>
      <c r="F1942" s="11" t="s">
        <v>88</v>
      </c>
      <c r="G1942" s="21" t="n">
        <v>142.87</v>
      </c>
      <c r="H1942" s="19" t="n">
        <v>45.4</v>
      </c>
      <c r="I1942" s="21" t="n">
        <v>78.01</v>
      </c>
      <c r="J1942" s="22" t="s">
        <v>80</v>
      </c>
      <c r="K1942" s="11" t="n">
        <v>20</v>
      </c>
      <c r="L1942" s="23" t="n">
        <v>1.7</v>
      </c>
      <c r="M1942" s="24" t="b">
        <f aca="false">FALSE()</f>
        <v>0</v>
      </c>
      <c r="N1942" s="11"/>
      <c r="O1942" s="11" t="str">
        <f aca="false">IF(K1942&lt;=StockP33,"Low",IF(K1942&lt;=StockP67,"Moderate","High"))</f>
        <v>Moderate</v>
      </c>
      <c r="P1942" s="11" t="str">
        <f aca="false">IF(H1942=0,"Low",IF(H1942&lt;=MarkdownP75,"Moderate","High"))</f>
        <v>High</v>
      </c>
      <c r="Q1942" s="11" t="str">
        <f aca="false">IF(ISBLANK(L1942),"Unknown",IF(L1942&gt;=4,"Good",IF(L1942&lt;=2,"Poor","Neutral")))</f>
        <v>Poor</v>
      </c>
      <c r="R1942" s="11" t="str">
        <f aca="false">IF(AND(O1942="Low",P1942="Low",Q1942="Good"),"BUY / PRIORITIZE",IF(AND(O1942="High",P1942="High",OR(Q1942="Poor",M1942=TRUE())),"HOLD / REVIEW","MONITOR"))</f>
        <v>MONITOR</v>
      </c>
      <c r="S1942" s="11" t="n">
        <f aca="false">K1942+(ROW()/10000000)</f>
        <v>20.0001942</v>
      </c>
    </row>
    <row r="1943" customFormat="false" ht="15" hidden="false" customHeight="false" outlineLevel="0" collapsed="false">
      <c r="A1943" s="11" t="s">
        <v>2297</v>
      </c>
      <c r="B1943" s="11" t="s">
        <v>28</v>
      </c>
      <c r="C1943" s="11" t="s">
        <v>86</v>
      </c>
      <c r="D1943" s="11" t="s">
        <v>37</v>
      </c>
      <c r="E1943" s="11" t="s">
        <v>110</v>
      </c>
      <c r="F1943" s="11" t="s">
        <v>88</v>
      </c>
      <c r="G1943" s="21" t="n">
        <v>138.87</v>
      </c>
      <c r="H1943" s="19" t="n">
        <v>0</v>
      </c>
      <c r="I1943" s="21" t="n">
        <v>138.87</v>
      </c>
      <c r="J1943" s="22" t="s">
        <v>80</v>
      </c>
      <c r="K1943" s="11" t="n">
        <v>37</v>
      </c>
      <c r="L1943" s="23" t="n">
        <v>3.2</v>
      </c>
      <c r="M1943" s="24" t="b">
        <f aca="false">FALSE()</f>
        <v>0</v>
      </c>
      <c r="N1943" s="11"/>
      <c r="O1943" s="11" t="str">
        <f aca="false">IF(K1943&lt;=StockP33,"Low",IF(K1943&lt;=StockP67,"Moderate","High"))</f>
        <v>High</v>
      </c>
      <c r="P1943" s="11" t="str">
        <f aca="false">IF(H1943=0,"Low",IF(H1943&lt;=MarkdownP75,"Moderate","High"))</f>
        <v>Low</v>
      </c>
      <c r="Q1943" s="11" t="str">
        <f aca="false">IF(ISBLANK(L1943),"Unknown",IF(L1943&gt;=4,"Good",IF(L1943&lt;=2,"Poor","Neutral")))</f>
        <v>Neutral</v>
      </c>
      <c r="R1943" s="11" t="str">
        <f aca="false">IF(AND(O1943="Low",P1943="Low",Q1943="Good"),"BUY / PRIORITIZE",IF(AND(O1943="High",P1943="High",OR(Q1943="Poor",M1943=TRUE())),"HOLD / REVIEW","MONITOR"))</f>
        <v>MONITOR</v>
      </c>
      <c r="S1943" s="11" t="n">
        <f aca="false">K1943+(ROW()/10000000)</f>
        <v>37.0001943</v>
      </c>
    </row>
    <row r="1944" customFormat="false" ht="15" hidden="false" customHeight="false" outlineLevel="0" collapsed="false">
      <c r="A1944" s="11" t="s">
        <v>2298</v>
      </c>
      <c r="B1944" s="11" t="s">
        <v>29</v>
      </c>
      <c r="C1944" s="11" t="s">
        <v>107</v>
      </c>
      <c r="D1944" s="11" t="s">
        <v>34</v>
      </c>
      <c r="E1944" s="11" t="s">
        <v>91</v>
      </c>
      <c r="F1944" s="11" t="s">
        <v>74</v>
      </c>
      <c r="G1944" s="21" t="n">
        <v>132.82</v>
      </c>
      <c r="H1944" s="19" t="n">
        <v>0</v>
      </c>
      <c r="I1944" s="21" t="n">
        <v>132.82</v>
      </c>
      <c r="J1944" s="22" t="s">
        <v>1191</v>
      </c>
      <c r="K1944" s="11" t="n">
        <v>40</v>
      </c>
      <c r="L1944" s="23"/>
      <c r="M1944" s="24" t="b">
        <f aca="false">TRUE()</f>
        <v>1</v>
      </c>
      <c r="N1944" s="11" t="s">
        <v>178</v>
      </c>
      <c r="O1944" s="11" t="str">
        <f aca="false">IF(K1944&lt;=StockP33,"Low",IF(K1944&lt;=StockP67,"Moderate","High"))</f>
        <v>High</v>
      </c>
      <c r="P1944" s="11" t="str">
        <f aca="false">IF(H1944=0,"Low",IF(H1944&lt;=MarkdownP75,"Moderate","High"))</f>
        <v>Low</v>
      </c>
      <c r="Q1944" s="11" t="str">
        <f aca="false">IF(ISBLANK(L1944),"Unknown",IF(L1944&gt;=4,"Good",IF(L1944&lt;=2,"Poor","Neutral")))</f>
        <v>Unknown</v>
      </c>
      <c r="R1944" s="11" t="str">
        <f aca="false">IF(AND(O1944="Low",P1944="Low",Q1944="Good"),"BUY / PRIORITIZE",IF(AND(O1944="High",P1944="High",OR(Q1944="Poor",M1944=TRUE())),"HOLD / REVIEW","MONITOR"))</f>
        <v>MONITOR</v>
      </c>
      <c r="S1944" s="11" t="n">
        <f aca="false">K1944+(ROW()/10000000)</f>
        <v>40.0001944</v>
      </c>
    </row>
    <row r="1945" customFormat="false" ht="15" hidden="false" customHeight="false" outlineLevel="0" collapsed="false">
      <c r="A1945" s="11" t="s">
        <v>2299</v>
      </c>
      <c r="B1945" s="11" t="s">
        <v>29</v>
      </c>
      <c r="C1945" s="11" t="s">
        <v>101</v>
      </c>
      <c r="D1945" s="11" t="s">
        <v>35</v>
      </c>
      <c r="E1945" s="11" t="s">
        <v>78</v>
      </c>
      <c r="F1945" s="11" t="s">
        <v>118</v>
      </c>
      <c r="G1945" s="21" t="n">
        <v>110.54</v>
      </c>
      <c r="H1945" s="19" t="n">
        <v>0</v>
      </c>
      <c r="I1945" s="21" t="n">
        <v>110.54</v>
      </c>
      <c r="J1945" s="22" t="s">
        <v>80</v>
      </c>
      <c r="K1945" s="11" t="n">
        <v>24</v>
      </c>
      <c r="L1945" s="23"/>
      <c r="M1945" s="24" t="b">
        <f aca="false">TRUE()</f>
        <v>1</v>
      </c>
      <c r="N1945" s="11" t="s">
        <v>128</v>
      </c>
      <c r="O1945" s="11" t="str">
        <f aca="false">IF(K1945&lt;=StockP33,"Low",IF(K1945&lt;=StockP67,"Moderate","High"))</f>
        <v>Moderate</v>
      </c>
      <c r="P1945" s="11" t="str">
        <f aca="false">IF(H1945=0,"Low",IF(H1945&lt;=MarkdownP75,"Moderate","High"))</f>
        <v>Low</v>
      </c>
      <c r="Q1945" s="11" t="str">
        <f aca="false">IF(ISBLANK(L1945),"Unknown",IF(L1945&gt;=4,"Good",IF(L1945&lt;=2,"Poor","Neutral")))</f>
        <v>Unknown</v>
      </c>
      <c r="R1945" s="11" t="str">
        <f aca="false">IF(AND(O1945="Low",P1945="Low",Q1945="Good"),"BUY / PRIORITIZE",IF(AND(O1945="High",P1945="High",OR(Q1945="Poor",M1945=TRUE())),"HOLD / REVIEW","MONITOR"))</f>
        <v>MONITOR</v>
      </c>
      <c r="S1945" s="11" t="n">
        <f aca="false">K1945+(ROW()/10000000)</f>
        <v>24.0001945</v>
      </c>
    </row>
    <row r="1946" customFormat="false" ht="15" hidden="false" customHeight="false" outlineLevel="0" collapsed="false">
      <c r="A1946" s="11" t="s">
        <v>2300</v>
      </c>
      <c r="B1946" s="11" t="s">
        <v>26</v>
      </c>
      <c r="C1946" s="11" t="s">
        <v>72</v>
      </c>
      <c r="D1946" s="11" t="s">
        <v>35</v>
      </c>
      <c r="E1946" s="11" t="s">
        <v>73</v>
      </c>
      <c r="F1946" s="11" t="s">
        <v>111</v>
      </c>
      <c r="G1946" s="21" t="n">
        <v>29.07</v>
      </c>
      <c r="H1946" s="19" t="n">
        <v>0</v>
      </c>
      <c r="I1946" s="21" t="n">
        <v>29.07</v>
      </c>
      <c r="J1946" s="22" t="s">
        <v>80</v>
      </c>
      <c r="K1946" s="11" t="n">
        <v>41</v>
      </c>
      <c r="L1946" s="23" t="n">
        <v>2.8</v>
      </c>
      <c r="M1946" s="24" t="b">
        <f aca="false">FALSE()</f>
        <v>0</v>
      </c>
      <c r="N1946" s="11"/>
      <c r="O1946" s="11" t="str">
        <f aca="false">IF(K1946&lt;=StockP33,"Low",IF(K1946&lt;=StockP67,"Moderate","High"))</f>
        <v>High</v>
      </c>
      <c r="P1946" s="11" t="str">
        <f aca="false">IF(H1946=0,"Low",IF(H1946&lt;=MarkdownP75,"Moderate","High"))</f>
        <v>Low</v>
      </c>
      <c r="Q1946" s="11" t="str">
        <f aca="false">IF(ISBLANK(L1946),"Unknown",IF(L1946&gt;=4,"Good",IF(L1946&lt;=2,"Poor","Neutral")))</f>
        <v>Neutral</v>
      </c>
      <c r="R1946" s="11" t="str">
        <f aca="false">IF(AND(O1946="Low",P1946="Low",Q1946="Good"),"BUY / PRIORITIZE",IF(AND(O1946="High",P1946="High",OR(Q1946="Poor",M1946=TRUE())),"HOLD / REVIEW","MONITOR"))</f>
        <v>MONITOR</v>
      </c>
      <c r="S1946" s="11" t="n">
        <f aca="false">K1946+(ROW()/10000000)</f>
        <v>41.0001946</v>
      </c>
    </row>
    <row r="1947" customFormat="false" ht="15" hidden="false" customHeight="false" outlineLevel="0" collapsed="false">
      <c r="A1947" s="11" t="s">
        <v>2301</v>
      </c>
      <c r="B1947" s="11" t="s">
        <v>28</v>
      </c>
      <c r="C1947" s="11" t="s">
        <v>116</v>
      </c>
      <c r="D1947" s="11" t="s">
        <v>35</v>
      </c>
      <c r="E1947" s="11" t="s">
        <v>91</v>
      </c>
      <c r="F1947" s="11" t="s">
        <v>118</v>
      </c>
      <c r="G1947" s="21" t="n">
        <v>141.92</v>
      </c>
      <c r="H1947" s="19" t="n">
        <v>0</v>
      </c>
      <c r="I1947" s="21" t="n">
        <v>141.92</v>
      </c>
      <c r="J1947" s="22" t="s">
        <v>80</v>
      </c>
      <c r="K1947" s="11" t="n">
        <v>37</v>
      </c>
      <c r="L1947" s="23" t="n">
        <v>1.7</v>
      </c>
      <c r="M1947" s="24" t="b">
        <f aca="false">FALSE()</f>
        <v>0</v>
      </c>
      <c r="N1947" s="11"/>
      <c r="O1947" s="11" t="str">
        <f aca="false">IF(K1947&lt;=StockP33,"Low",IF(K1947&lt;=StockP67,"Moderate","High"))</f>
        <v>High</v>
      </c>
      <c r="P1947" s="11" t="str">
        <f aca="false">IF(H1947=0,"Low",IF(H1947&lt;=MarkdownP75,"Moderate","High"))</f>
        <v>Low</v>
      </c>
      <c r="Q1947" s="11" t="str">
        <f aca="false">IF(ISBLANK(L1947),"Unknown",IF(L1947&gt;=4,"Good",IF(L1947&lt;=2,"Poor","Neutral")))</f>
        <v>Poor</v>
      </c>
      <c r="R1947" s="11" t="str">
        <f aca="false">IF(AND(O1947="Low",P1947="Low",Q1947="Good"),"BUY / PRIORITIZE",IF(AND(O1947="High",P1947="High",OR(Q1947="Poor",M1947=TRUE())),"HOLD / REVIEW","MONITOR"))</f>
        <v>MONITOR</v>
      </c>
      <c r="S1947" s="11" t="n">
        <f aca="false">K1947+(ROW()/10000000)</f>
        <v>37.0001947</v>
      </c>
    </row>
    <row r="1948" customFormat="false" ht="15" hidden="false" customHeight="false" outlineLevel="0" collapsed="false">
      <c r="A1948" s="11" t="s">
        <v>2302</v>
      </c>
      <c r="B1948" s="11" t="s">
        <v>29</v>
      </c>
      <c r="C1948" s="11" t="s">
        <v>86</v>
      </c>
      <c r="D1948" s="11" t="s">
        <v>35</v>
      </c>
      <c r="E1948" s="11" t="s">
        <v>73</v>
      </c>
      <c r="F1948" s="11" t="s">
        <v>74</v>
      </c>
      <c r="G1948" s="21" t="n">
        <v>67.84</v>
      </c>
      <c r="H1948" s="19" t="n">
        <v>0</v>
      </c>
      <c r="I1948" s="21" t="n">
        <v>67.84</v>
      </c>
      <c r="J1948" s="22" t="s">
        <v>80</v>
      </c>
      <c r="K1948" s="11" t="n">
        <v>24</v>
      </c>
      <c r="L1948" s="23" t="n">
        <v>1.2</v>
      </c>
      <c r="M1948" s="24" t="b">
        <f aca="false">FALSE()</f>
        <v>0</v>
      </c>
      <c r="N1948" s="11"/>
      <c r="O1948" s="11" t="str">
        <f aca="false">IF(K1948&lt;=StockP33,"Low",IF(K1948&lt;=StockP67,"Moderate","High"))</f>
        <v>Moderate</v>
      </c>
      <c r="P1948" s="11" t="str">
        <f aca="false">IF(H1948=0,"Low",IF(H1948&lt;=MarkdownP75,"Moderate","High"))</f>
        <v>Low</v>
      </c>
      <c r="Q1948" s="11" t="str">
        <f aca="false">IF(ISBLANK(L1948),"Unknown",IF(L1948&gt;=4,"Good",IF(L1948&lt;=2,"Poor","Neutral")))</f>
        <v>Poor</v>
      </c>
      <c r="R1948" s="11" t="str">
        <f aca="false">IF(AND(O1948="Low",P1948="Low",Q1948="Good"),"BUY / PRIORITIZE",IF(AND(O1948="High",P1948="High",OR(Q1948="Poor",M1948=TRUE())),"HOLD / REVIEW","MONITOR"))</f>
        <v>MONITOR</v>
      </c>
      <c r="S1948" s="11" t="n">
        <f aca="false">K1948+(ROW()/10000000)</f>
        <v>24.0001948</v>
      </c>
    </row>
    <row r="1949" customFormat="false" ht="15" hidden="false" customHeight="false" outlineLevel="0" collapsed="false">
      <c r="A1949" s="11" t="s">
        <v>2303</v>
      </c>
      <c r="B1949" s="11" t="s">
        <v>29</v>
      </c>
      <c r="C1949" s="11" t="s">
        <v>95</v>
      </c>
      <c r="D1949" s="11" t="s">
        <v>37</v>
      </c>
      <c r="E1949" s="11" t="s">
        <v>91</v>
      </c>
      <c r="F1949" s="11" t="s">
        <v>124</v>
      </c>
      <c r="G1949" s="21" t="n">
        <v>143.27</v>
      </c>
      <c r="H1949" s="19" t="n">
        <v>0</v>
      </c>
      <c r="I1949" s="21" t="n">
        <v>143.27</v>
      </c>
      <c r="J1949" s="22" t="s">
        <v>80</v>
      </c>
      <c r="K1949" s="11" t="n">
        <v>0</v>
      </c>
      <c r="L1949" s="23"/>
      <c r="M1949" s="24" t="b">
        <f aca="false">FALSE()</f>
        <v>0</v>
      </c>
      <c r="N1949" s="11"/>
      <c r="O1949" s="11" t="str">
        <f aca="false">IF(K1949&lt;=StockP33,"Low",IF(K1949&lt;=StockP67,"Moderate","High"))</f>
        <v>Low</v>
      </c>
      <c r="P1949" s="11" t="str">
        <f aca="false">IF(H1949=0,"Low",IF(H1949&lt;=MarkdownP75,"Moderate","High"))</f>
        <v>Low</v>
      </c>
      <c r="Q1949" s="11" t="str">
        <f aca="false">IF(ISBLANK(L1949),"Unknown",IF(L1949&gt;=4,"Good",IF(L1949&lt;=2,"Poor","Neutral")))</f>
        <v>Unknown</v>
      </c>
      <c r="R1949" s="11" t="str">
        <f aca="false">IF(AND(O1949="Low",P1949="Low",Q1949="Good"),"BUY / PRIORITIZE",IF(AND(O1949="High",P1949="High",OR(Q1949="Poor",M1949=TRUE())),"HOLD / REVIEW","MONITOR"))</f>
        <v>MONITOR</v>
      </c>
      <c r="S1949" s="11" t="n">
        <f aca="false">K1949+(ROW()/10000000)</f>
        <v>0.0001949</v>
      </c>
    </row>
    <row r="1950" customFormat="false" ht="15" hidden="false" customHeight="false" outlineLevel="0" collapsed="false">
      <c r="A1950" s="11" t="s">
        <v>2304</v>
      </c>
      <c r="B1950" s="11" t="s">
        <v>8</v>
      </c>
      <c r="C1950" s="11" t="s">
        <v>86</v>
      </c>
      <c r="D1950" s="11" t="s">
        <v>37</v>
      </c>
      <c r="E1950" s="11"/>
      <c r="F1950" s="11" t="s">
        <v>124</v>
      </c>
      <c r="G1950" s="21" t="n">
        <v>20.97</v>
      </c>
      <c r="H1950" s="19" t="n">
        <v>0</v>
      </c>
      <c r="I1950" s="21" t="n">
        <v>20.97</v>
      </c>
      <c r="J1950" s="22" t="s">
        <v>80</v>
      </c>
      <c r="K1950" s="11" t="n">
        <v>44</v>
      </c>
      <c r="L1950" s="23" t="n">
        <v>4.6</v>
      </c>
      <c r="M1950" s="24" t="b">
        <f aca="false">FALSE()</f>
        <v>0</v>
      </c>
      <c r="N1950" s="11"/>
      <c r="O1950" s="11" t="str">
        <f aca="false">IF(K1950&lt;=StockP33,"Low",IF(K1950&lt;=StockP67,"Moderate","High"))</f>
        <v>High</v>
      </c>
      <c r="P1950" s="11" t="str">
        <f aca="false">IF(H1950=0,"Low",IF(H1950&lt;=MarkdownP75,"Moderate","High"))</f>
        <v>Low</v>
      </c>
      <c r="Q1950" s="11" t="str">
        <f aca="false">IF(ISBLANK(L1950),"Unknown",IF(L1950&gt;=4,"Good",IF(L1950&lt;=2,"Poor","Neutral")))</f>
        <v>Good</v>
      </c>
      <c r="R1950" s="11" t="str">
        <f aca="false">IF(AND(O1950="Low",P1950="Low",Q1950="Good"),"BUY / PRIORITIZE",IF(AND(O1950="High",P1950="High",OR(Q1950="Poor",M1950=TRUE())),"HOLD / REVIEW","MONITOR"))</f>
        <v>MONITOR</v>
      </c>
      <c r="S1950" s="11" t="n">
        <f aca="false">K1950+(ROW()/10000000)</f>
        <v>44.000195</v>
      </c>
    </row>
    <row r="1951" customFormat="false" ht="15" hidden="false" customHeight="false" outlineLevel="0" collapsed="false">
      <c r="A1951" s="11" t="s">
        <v>2305</v>
      </c>
      <c r="B1951" s="11" t="s">
        <v>27</v>
      </c>
      <c r="C1951" s="11" t="s">
        <v>72</v>
      </c>
      <c r="D1951" s="11" t="s">
        <v>35</v>
      </c>
      <c r="E1951" s="11" t="s">
        <v>73</v>
      </c>
      <c r="F1951" s="11" t="s">
        <v>120</v>
      </c>
      <c r="G1951" s="21" t="n">
        <v>105.5</v>
      </c>
      <c r="H1951" s="19" t="n">
        <v>59.8</v>
      </c>
      <c r="I1951" s="21" t="n">
        <v>42.41</v>
      </c>
      <c r="J1951" s="22" t="s">
        <v>80</v>
      </c>
      <c r="K1951" s="11" t="n">
        <v>34</v>
      </c>
      <c r="L1951" s="23"/>
      <c r="M1951" s="24" t="b">
        <f aca="false">FALSE()</f>
        <v>0</v>
      </c>
      <c r="N1951" s="11"/>
      <c r="O1951" s="11" t="str">
        <f aca="false">IF(K1951&lt;=StockP33,"Low",IF(K1951&lt;=StockP67,"Moderate","High"))</f>
        <v>High</v>
      </c>
      <c r="P1951" s="11" t="str">
        <f aca="false">IF(H1951=0,"Low",IF(H1951&lt;=MarkdownP75,"Moderate","High"))</f>
        <v>High</v>
      </c>
      <c r="Q1951" s="11" t="str">
        <f aca="false">IF(ISBLANK(L1951),"Unknown",IF(L1951&gt;=4,"Good",IF(L1951&lt;=2,"Poor","Neutral")))</f>
        <v>Unknown</v>
      </c>
      <c r="R1951" s="11" t="str">
        <f aca="false">IF(AND(O1951="Low",P1951="Low",Q1951="Good"),"BUY / PRIORITIZE",IF(AND(O1951="High",P1951="High",OR(Q1951="Poor",M1951=TRUE())),"HOLD / REVIEW","MONITOR"))</f>
        <v>MONITOR</v>
      </c>
      <c r="S1951" s="11" t="n">
        <f aca="false">K1951+(ROW()/10000000)</f>
        <v>34.0001951</v>
      </c>
    </row>
    <row r="1952" customFormat="false" ht="15" hidden="false" customHeight="false" outlineLevel="0" collapsed="false">
      <c r="A1952" s="11" t="s">
        <v>2306</v>
      </c>
      <c r="B1952" s="11" t="s">
        <v>29</v>
      </c>
      <c r="C1952" s="11" t="s">
        <v>86</v>
      </c>
      <c r="D1952" s="11" t="s">
        <v>34</v>
      </c>
      <c r="E1952" s="11" t="s">
        <v>102</v>
      </c>
      <c r="F1952" s="11" t="s">
        <v>98</v>
      </c>
      <c r="G1952" s="21" t="n">
        <v>184.7</v>
      </c>
      <c r="H1952" s="19" t="n">
        <v>0</v>
      </c>
      <c r="I1952" s="21" t="n">
        <v>184.7</v>
      </c>
      <c r="J1952" s="22" t="s">
        <v>1470</v>
      </c>
      <c r="K1952" s="11" t="n">
        <v>39</v>
      </c>
      <c r="L1952" s="23" t="n">
        <v>2.1</v>
      </c>
      <c r="M1952" s="24" t="b">
        <f aca="false">TRUE()</f>
        <v>1</v>
      </c>
      <c r="N1952" s="11" t="s">
        <v>128</v>
      </c>
      <c r="O1952" s="11" t="str">
        <f aca="false">IF(K1952&lt;=StockP33,"Low",IF(K1952&lt;=StockP67,"Moderate","High"))</f>
        <v>High</v>
      </c>
      <c r="P1952" s="11" t="str">
        <f aca="false">IF(H1952=0,"Low",IF(H1952&lt;=MarkdownP75,"Moderate","High"))</f>
        <v>Low</v>
      </c>
      <c r="Q1952" s="11" t="str">
        <f aca="false">IF(ISBLANK(L1952),"Unknown",IF(L1952&gt;=4,"Good",IF(L1952&lt;=2,"Poor","Neutral")))</f>
        <v>Neutral</v>
      </c>
      <c r="R1952" s="11" t="str">
        <f aca="false">IF(AND(O1952="Low",P1952="Low",Q1952="Good"),"BUY / PRIORITIZE",IF(AND(O1952="High",P1952="High",OR(Q1952="Poor",M1952=TRUE())),"HOLD / REVIEW","MONITOR"))</f>
        <v>MONITOR</v>
      </c>
      <c r="S1952" s="11" t="n">
        <f aca="false">K1952+(ROW()/10000000)</f>
        <v>39.0001952</v>
      </c>
    </row>
    <row r="1953" customFormat="false" ht="15" hidden="false" customHeight="false" outlineLevel="0" collapsed="false">
      <c r="A1953" s="11" t="s">
        <v>2307</v>
      </c>
      <c r="B1953" s="11" t="s">
        <v>29</v>
      </c>
      <c r="C1953" s="11" t="s">
        <v>101</v>
      </c>
      <c r="D1953" s="11" t="s">
        <v>34</v>
      </c>
      <c r="E1953" s="11" t="s">
        <v>110</v>
      </c>
      <c r="F1953" s="11" t="s">
        <v>96</v>
      </c>
      <c r="G1953" s="21" t="n">
        <v>81.47</v>
      </c>
      <c r="H1953" s="19" t="n">
        <v>32</v>
      </c>
      <c r="I1953" s="21" t="n">
        <v>55.4</v>
      </c>
      <c r="J1953" s="22" t="s">
        <v>941</v>
      </c>
      <c r="K1953" s="11" t="n">
        <v>2</v>
      </c>
      <c r="L1953" s="23" t="n">
        <v>1.1</v>
      </c>
      <c r="M1953" s="24" t="b">
        <f aca="false">FALSE()</f>
        <v>0</v>
      </c>
      <c r="N1953" s="11"/>
      <c r="O1953" s="11" t="str">
        <f aca="false">IF(K1953&lt;=StockP33,"Low",IF(K1953&lt;=StockP67,"Moderate","High"))</f>
        <v>Low</v>
      </c>
      <c r="P1953" s="11" t="str">
        <f aca="false">IF(H1953=0,"Low",IF(H1953&lt;=MarkdownP75,"Moderate","High"))</f>
        <v>High</v>
      </c>
      <c r="Q1953" s="11" t="str">
        <f aca="false">IF(ISBLANK(L1953),"Unknown",IF(L1953&gt;=4,"Good",IF(L1953&lt;=2,"Poor","Neutral")))</f>
        <v>Poor</v>
      </c>
      <c r="R1953" s="11" t="str">
        <f aca="false">IF(AND(O1953="Low",P1953="Low",Q1953="Good"),"BUY / PRIORITIZE",IF(AND(O1953="High",P1953="High",OR(Q1953="Poor",M1953=TRUE())),"HOLD / REVIEW","MONITOR"))</f>
        <v>MONITOR</v>
      </c>
      <c r="S1953" s="11" t="n">
        <f aca="false">K1953+(ROW()/10000000)</f>
        <v>2.0001953</v>
      </c>
    </row>
    <row r="1954" customFormat="false" ht="15" hidden="false" customHeight="false" outlineLevel="0" collapsed="false">
      <c r="A1954" s="11" t="s">
        <v>2308</v>
      </c>
      <c r="B1954" s="11" t="s">
        <v>28</v>
      </c>
      <c r="C1954" s="11" t="s">
        <v>86</v>
      </c>
      <c r="D1954" s="11" t="s">
        <v>37</v>
      </c>
      <c r="E1954" s="11" t="s">
        <v>78</v>
      </c>
      <c r="F1954" s="11" t="s">
        <v>96</v>
      </c>
      <c r="G1954" s="21" t="n">
        <v>107.67</v>
      </c>
      <c r="H1954" s="19" t="n">
        <v>20.3</v>
      </c>
      <c r="I1954" s="21" t="n">
        <v>85.81</v>
      </c>
      <c r="J1954" s="22" t="s">
        <v>80</v>
      </c>
      <c r="K1954" s="11" t="n">
        <v>16</v>
      </c>
      <c r="L1954" s="23" t="n">
        <v>4.3</v>
      </c>
      <c r="M1954" s="24" t="b">
        <f aca="false">FALSE()</f>
        <v>0</v>
      </c>
      <c r="N1954" s="11"/>
      <c r="O1954" s="11" t="str">
        <f aca="false">IF(K1954&lt;=StockP33,"Low",IF(K1954&lt;=StockP67,"Moderate","High"))</f>
        <v>Low</v>
      </c>
      <c r="P1954" s="11" t="str">
        <f aca="false">IF(H1954=0,"Low",IF(H1954&lt;=MarkdownP75,"Moderate","High"))</f>
        <v>Moderate</v>
      </c>
      <c r="Q1954" s="11" t="str">
        <f aca="false">IF(ISBLANK(L1954),"Unknown",IF(L1954&gt;=4,"Good",IF(L1954&lt;=2,"Poor","Neutral")))</f>
        <v>Good</v>
      </c>
      <c r="R1954" s="11" t="str">
        <f aca="false">IF(AND(O1954="Low",P1954="Low",Q1954="Good"),"BUY / PRIORITIZE",IF(AND(O1954="High",P1954="High",OR(Q1954="Poor",M1954=TRUE())),"HOLD / REVIEW","MONITOR"))</f>
        <v>MONITOR</v>
      </c>
      <c r="S1954" s="11" t="n">
        <f aca="false">K1954+(ROW()/10000000)</f>
        <v>16.0001954</v>
      </c>
    </row>
    <row r="1955" customFormat="false" ht="15" hidden="false" customHeight="false" outlineLevel="0" collapsed="false">
      <c r="A1955" s="11" t="s">
        <v>2309</v>
      </c>
      <c r="B1955" s="11" t="s">
        <v>30</v>
      </c>
      <c r="C1955" s="11" t="s">
        <v>86</v>
      </c>
      <c r="D1955" s="11" t="s">
        <v>35</v>
      </c>
      <c r="E1955" s="11" t="s">
        <v>73</v>
      </c>
      <c r="F1955" s="11" t="s">
        <v>120</v>
      </c>
      <c r="G1955" s="21" t="n">
        <v>88.64</v>
      </c>
      <c r="H1955" s="19" t="n">
        <v>0</v>
      </c>
      <c r="I1955" s="21" t="n">
        <v>88.64</v>
      </c>
      <c r="J1955" s="22" t="s">
        <v>80</v>
      </c>
      <c r="K1955" s="11" t="n">
        <v>33</v>
      </c>
      <c r="L1955" s="23"/>
      <c r="M1955" s="24" t="b">
        <f aca="false">FALSE()</f>
        <v>0</v>
      </c>
      <c r="N1955" s="11"/>
      <c r="O1955" s="11" t="str">
        <f aca="false">IF(K1955&lt;=StockP33,"Low",IF(K1955&lt;=StockP67,"Moderate","High"))</f>
        <v>Moderate</v>
      </c>
      <c r="P1955" s="11" t="str">
        <f aca="false">IF(H1955=0,"Low",IF(H1955&lt;=MarkdownP75,"Moderate","High"))</f>
        <v>Low</v>
      </c>
      <c r="Q1955" s="11" t="str">
        <f aca="false">IF(ISBLANK(L1955),"Unknown",IF(L1955&gt;=4,"Good",IF(L1955&lt;=2,"Poor","Neutral")))</f>
        <v>Unknown</v>
      </c>
      <c r="R1955" s="11" t="str">
        <f aca="false">IF(AND(O1955="Low",P1955="Low",Q1955="Good"),"BUY / PRIORITIZE",IF(AND(O1955="High",P1955="High",OR(Q1955="Poor",M1955=TRUE())),"HOLD / REVIEW","MONITOR"))</f>
        <v>MONITOR</v>
      </c>
      <c r="S1955" s="11" t="n">
        <f aca="false">K1955+(ROW()/10000000)</f>
        <v>33.0001955</v>
      </c>
    </row>
    <row r="1956" customFormat="false" ht="15" hidden="false" customHeight="false" outlineLevel="0" collapsed="false">
      <c r="A1956" s="11" t="s">
        <v>2310</v>
      </c>
      <c r="B1956" s="11" t="s">
        <v>8</v>
      </c>
      <c r="C1956" s="11" t="s">
        <v>72</v>
      </c>
      <c r="D1956" s="11" t="s">
        <v>37</v>
      </c>
      <c r="E1956" s="11"/>
      <c r="F1956" s="11" t="s">
        <v>74</v>
      </c>
      <c r="G1956" s="21" t="n">
        <v>17.5</v>
      </c>
      <c r="H1956" s="19" t="n">
        <v>14.4</v>
      </c>
      <c r="I1956" s="21" t="n">
        <v>14.98</v>
      </c>
      <c r="J1956" s="22" t="s">
        <v>80</v>
      </c>
      <c r="K1956" s="11" t="n">
        <v>16</v>
      </c>
      <c r="L1956" s="23" t="n">
        <v>3.1</v>
      </c>
      <c r="M1956" s="24" t="b">
        <f aca="false">FALSE()</f>
        <v>0</v>
      </c>
      <c r="N1956" s="11"/>
      <c r="O1956" s="11" t="str">
        <f aca="false">IF(K1956&lt;=StockP33,"Low",IF(K1956&lt;=StockP67,"Moderate","High"))</f>
        <v>Low</v>
      </c>
      <c r="P1956" s="11" t="str">
        <f aca="false">IF(H1956=0,"Low",IF(H1956&lt;=MarkdownP75,"Moderate","High"))</f>
        <v>Moderate</v>
      </c>
      <c r="Q1956" s="11" t="str">
        <f aca="false">IF(ISBLANK(L1956),"Unknown",IF(L1956&gt;=4,"Good",IF(L1956&lt;=2,"Poor","Neutral")))</f>
        <v>Neutral</v>
      </c>
      <c r="R1956" s="11" t="str">
        <f aca="false">IF(AND(O1956="Low",P1956="Low",Q1956="Good"),"BUY / PRIORITIZE",IF(AND(O1956="High",P1956="High",OR(Q1956="Poor",M1956=TRUE())),"HOLD / REVIEW","MONITOR"))</f>
        <v>MONITOR</v>
      </c>
      <c r="S1956" s="11" t="n">
        <f aca="false">K1956+(ROW()/10000000)</f>
        <v>16.0001956</v>
      </c>
    </row>
    <row r="1957" customFormat="false" ht="15" hidden="false" customHeight="false" outlineLevel="0" collapsed="false">
      <c r="A1957" s="11" t="s">
        <v>2311</v>
      </c>
      <c r="B1957" s="11" t="s">
        <v>28</v>
      </c>
      <c r="C1957" s="11" t="s">
        <v>101</v>
      </c>
      <c r="D1957" s="11" t="s">
        <v>37</v>
      </c>
      <c r="E1957" s="11" t="s">
        <v>73</v>
      </c>
      <c r="F1957" s="11" t="s">
        <v>92</v>
      </c>
      <c r="G1957" s="21" t="n">
        <v>205.37</v>
      </c>
      <c r="H1957" s="19" t="n">
        <v>0</v>
      </c>
      <c r="I1957" s="21" t="n">
        <v>205.37</v>
      </c>
      <c r="J1957" s="22" t="s">
        <v>80</v>
      </c>
      <c r="K1957" s="11" t="n">
        <v>25</v>
      </c>
      <c r="L1957" s="23" t="n">
        <v>2</v>
      </c>
      <c r="M1957" s="24" t="b">
        <f aca="false">TRUE()</f>
        <v>1</v>
      </c>
      <c r="N1957" s="11" t="s">
        <v>134</v>
      </c>
      <c r="O1957" s="11" t="str">
        <f aca="false">IF(K1957&lt;=StockP33,"Low",IF(K1957&lt;=StockP67,"Moderate","High"))</f>
        <v>Moderate</v>
      </c>
      <c r="P1957" s="11" t="str">
        <f aca="false">IF(H1957=0,"Low",IF(H1957&lt;=MarkdownP75,"Moderate","High"))</f>
        <v>Low</v>
      </c>
      <c r="Q1957" s="11" t="str">
        <f aca="false">IF(ISBLANK(L1957),"Unknown",IF(L1957&gt;=4,"Good",IF(L1957&lt;=2,"Poor","Neutral")))</f>
        <v>Poor</v>
      </c>
      <c r="R1957" s="11" t="str">
        <f aca="false">IF(AND(O1957="Low",P1957="Low",Q1957="Good"),"BUY / PRIORITIZE",IF(AND(O1957="High",P1957="High",OR(Q1957="Poor",M1957=TRUE())),"HOLD / REVIEW","MONITOR"))</f>
        <v>MONITOR</v>
      </c>
      <c r="S1957" s="11" t="n">
        <f aca="false">K1957+(ROW()/10000000)</f>
        <v>25.0001957</v>
      </c>
    </row>
    <row r="1958" customFormat="false" ht="15" hidden="false" customHeight="false" outlineLevel="0" collapsed="false">
      <c r="A1958" s="11" t="s">
        <v>2312</v>
      </c>
      <c r="B1958" s="11" t="s">
        <v>27</v>
      </c>
      <c r="C1958" s="11" t="s">
        <v>95</v>
      </c>
      <c r="D1958" s="11" t="s">
        <v>37</v>
      </c>
      <c r="E1958" s="11" t="s">
        <v>110</v>
      </c>
      <c r="F1958" s="11" t="s">
        <v>111</v>
      </c>
      <c r="G1958" s="21" t="n">
        <v>111.66</v>
      </c>
      <c r="H1958" s="19" t="n">
        <v>0</v>
      </c>
      <c r="I1958" s="21" t="n">
        <v>111.66</v>
      </c>
      <c r="J1958" s="22" t="s">
        <v>80</v>
      </c>
      <c r="K1958" s="11" t="n">
        <v>26</v>
      </c>
      <c r="L1958" s="23" t="n">
        <v>1.4</v>
      </c>
      <c r="M1958" s="24" t="b">
        <f aca="false">FALSE()</f>
        <v>0</v>
      </c>
      <c r="N1958" s="11"/>
      <c r="O1958" s="11" t="str">
        <f aca="false">IF(K1958&lt;=StockP33,"Low",IF(K1958&lt;=StockP67,"Moderate","High"))</f>
        <v>Moderate</v>
      </c>
      <c r="P1958" s="11" t="str">
        <f aca="false">IF(H1958=0,"Low",IF(H1958&lt;=MarkdownP75,"Moderate","High"))</f>
        <v>Low</v>
      </c>
      <c r="Q1958" s="11" t="str">
        <f aca="false">IF(ISBLANK(L1958),"Unknown",IF(L1958&gt;=4,"Good",IF(L1958&lt;=2,"Poor","Neutral")))</f>
        <v>Poor</v>
      </c>
      <c r="R1958" s="11" t="str">
        <f aca="false">IF(AND(O1958="Low",P1958="Low",Q1958="Good"),"BUY / PRIORITIZE",IF(AND(O1958="High",P1958="High",OR(Q1958="Poor",M1958=TRUE())),"HOLD / REVIEW","MONITOR"))</f>
        <v>MONITOR</v>
      </c>
      <c r="S1958" s="11" t="n">
        <f aca="false">K1958+(ROW()/10000000)</f>
        <v>26.0001958</v>
      </c>
    </row>
    <row r="1959" customFormat="false" ht="15" hidden="false" customHeight="false" outlineLevel="0" collapsed="false">
      <c r="A1959" s="11" t="s">
        <v>2313</v>
      </c>
      <c r="B1959" s="11" t="s">
        <v>29</v>
      </c>
      <c r="C1959" s="11" t="s">
        <v>95</v>
      </c>
      <c r="D1959" s="11" t="s">
        <v>35</v>
      </c>
      <c r="E1959" s="11" t="s">
        <v>91</v>
      </c>
      <c r="F1959" s="11" t="s">
        <v>79</v>
      </c>
      <c r="G1959" s="21" t="n">
        <v>184.87</v>
      </c>
      <c r="H1959" s="19" t="n">
        <v>56.4</v>
      </c>
      <c r="I1959" s="21" t="n">
        <v>80.6</v>
      </c>
      <c r="J1959" s="22" t="s">
        <v>80</v>
      </c>
      <c r="K1959" s="11" t="n">
        <v>10</v>
      </c>
      <c r="L1959" s="23" t="n">
        <v>3.7</v>
      </c>
      <c r="M1959" s="24" t="b">
        <f aca="false">FALSE()</f>
        <v>0</v>
      </c>
      <c r="N1959" s="11"/>
      <c r="O1959" s="11" t="str">
        <f aca="false">IF(K1959&lt;=StockP33,"Low",IF(K1959&lt;=StockP67,"Moderate","High"))</f>
        <v>Low</v>
      </c>
      <c r="P1959" s="11" t="str">
        <f aca="false">IF(H1959=0,"Low",IF(H1959&lt;=MarkdownP75,"Moderate","High"))</f>
        <v>High</v>
      </c>
      <c r="Q1959" s="11" t="str">
        <f aca="false">IF(ISBLANK(L1959),"Unknown",IF(L1959&gt;=4,"Good",IF(L1959&lt;=2,"Poor","Neutral")))</f>
        <v>Neutral</v>
      </c>
      <c r="R1959" s="11" t="str">
        <f aca="false">IF(AND(O1959="Low",P1959="Low",Q1959="Good"),"BUY / PRIORITIZE",IF(AND(O1959="High",P1959="High",OR(Q1959="Poor",M1959=TRUE())),"HOLD / REVIEW","MONITOR"))</f>
        <v>MONITOR</v>
      </c>
      <c r="S1959" s="11" t="n">
        <f aca="false">K1959+(ROW()/10000000)</f>
        <v>10.0001959</v>
      </c>
    </row>
    <row r="1960" customFormat="false" ht="15" hidden="false" customHeight="false" outlineLevel="0" collapsed="false">
      <c r="A1960" s="11" t="s">
        <v>2314</v>
      </c>
      <c r="B1960" s="11" t="s">
        <v>26</v>
      </c>
      <c r="C1960" s="11" t="s">
        <v>72</v>
      </c>
      <c r="D1960" s="11" t="s">
        <v>34</v>
      </c>
      <c r="E1960" s="11" t="s">
        <v>78</v>
      </c>
      <c r="F1960" s="11" t="s">
        <v>98</v>
      </c>
      <c r="G1960" s="21" t="n">
        <v>84.58</v>
      </c>
      <c r="H1960" s="19" t="n">
        <v>0</v>
      </c>
      <c r="I1960" s="21" t="n">
        <v>84.58</v>
      </c>
      <c r="J1960" s="22" t="s">
        <v>1419</v>
      </c>
      <c r="K1960" s="11" t="n">
        <v>33</v>
      </c>
      <c r="L1960" s="23" t="n">
        <v>4.5</v>
      </c>
      <c r="M1960" s="24" t="b">
        <f aca="false">FALSE()</f>
        <v>0</v>
      </c>
      <c r="N1960" s="11"/>
      <c r="O1960" s="11" t="str">
        <f aca="false">IF(K1960&lt;=StockP33,"Low",IF(K1960&lt;=StockP67,"Moderate","High"))</f>
        <v>Moderate</v>
      </c>
      <c r="P1960" s="11" t="str">
        <f aca="false">IF(H1960=0,"Low",IF(H1960&lt;=MarkdownP75,"Moderate","High"))</f>
        <v>Low</v>
      </c>
      <c r="Q1960" s="11" t="str">
        <f aca="false">IF(ISBLANK(L1960),"Unknown",IF(L1960&gt;=4,"Good",IF(L1960&lt;=2,"Poor","Neutral")))</f>
        <v>Good</v>
      </c>
      <c r="R1960" s="11" t="str">
        <f aca="false">IF(AND(O1960="Low",P1960="Low",Q1960="Good"),"BUY / PRIORITIZE",IF(AND(O1960="High",P1960="High",OR(Q1960="Poor",M1960=TRUE())),"HOLD / REVIEW","MONITOR"))</f>
        <v>MONITOR</v>
      </c>
      <c r="S1960" s="11" t="n">
        <f aca="false">K1960+(ROW()/10000000)</f>
        <v>33.000196</v>
      </c>
    </row>
    <row r="1961" customFormat="false" ht="15" hidden="false" customHeight="false" outlineLevel="0" collapsed="false">
      <c r="A1961" s="11" t="s">
        <v>2315</v>
      </c>
      <c r="B1961" s="11" t="s">
        <v>26</v>
      </c>
      <c r="C1961" s="11" t="s">
        <v>130</v>
      </c>
      <c r="D1961" s="11" t="s">
        <v>35</v>
      </c>
      <c r="E1961" s="11" t="s">
        <v>102</v>
      </c>
      <c r="F1961" s="11" t="s">
        <v>88</v>
      </c>
      <c r="G1961" s="21" t="n">
        <v>66.74</v>
      </c>
      <c r="H1961" s="19" t="n">
        <v>0</v>
      </c>
      <c r="I1961" s="21" t="n">
        <v>66.74</v>
      </c>
      <c r="J1961" s="22" t="s">
        <v>80</v>
      </c>
      <c r="K1961" s="11" t="n">
        <v>26</v>
      </c>
      <c r="L1961" s="23" t="n">
        <v>4.6</v>
      </c>
      <c r="M1961" s="24" t="b">
        <f aca="false">FALSE()</f>
        <v>0</v>
      </c>
      <c r="N1961" s="11"/>
      <c r="O1961" s="11" t="str">
        <f aca="false">IF(K1961&lt;=StockP33,"Low",IF(K1961&lt;=StockP67,"Moderate","High"))</f>
        <v>Moderate</v>
      </c>
      <c r="P1961" s="11" t="str">
        <f aca="false">IF(H1961=0,"Low",IF(H1961&lt;=MarkdownP75,"Moderate","High"))</f>
        <v>Low</v>
      </c>
      <c r="Q1961" s="11" t="str">
        <f aca="false">IF(ISBLANK(L1961),"Unknown",IF(L1961&gt;=4,"Good",IF(L1961&lt;=2,"Poor","Neutral")))</f>
        <v>Good</v>
      </c>
      <c r="R1961" s="11" t="str">
        <f aca="false">IF(AND(O1961="Low",P1961="Low",Q1961="Good"),"BUY / PRIORITIZE",IF(AND(O1961="High",P1961="High",OR(Q1961="Poor",M1961=TRUE())),"HOLD / REVIEW","MONITOR"))</f>
        <v>MONITOR</v>
      </c>
      <c r="S1961" s="11" t="n">
        <f aca="false">K1961+(ROW()/10000000)</f>
        <v>26.0001961</v>
      </c>
    </row>
    <row r="1962" customFormat="false" ht="15" hidden="false" customHeight="false" outlineLevel="0" collapsed="false">
      <c r="A1962" s="11" t="s">
        <v>2316</v>
      </c>
      <c r="B1962" s="11" t="s">
        <v>29</v>
      </c>
      <c r="C1962" s="11" t="s">
        <v>101</v>
      </c>
      <c r="D1962" s="11" t="s">
        <v>35</v>
      </c>
      <c r="E1962" s="11" t="s">
        <v>113</v>
      </c>
      <c r="F1962" s="11" t="s">
        <v>98</v>
      </c>
      <c r="G1962" s="21" t="n">
        <v>104.19</v>
      </c>
      <c r="H1962" s="19" t="n">
        <v>0</v>
      </c>
      <c r="I1962" s="21" t="n">
        <v>104.19</v>
      </c>
      <c r="J1962" s="22" t="s">
        <v>80</v>
      </c>
      <c r="K1962" s="11" t="n">
        <v>4</v>
      </c>
      <c r="L1962" s="23" t="n">
        <v>4.7</v>
      </c>
      <c r="M1962" s="24" t="b">
        <f aca="false">FALSE()</f>
        <v>0</v>
      </c>
      <c r="N1962" s="11"/>
      <c r="O1962" s="11" t="str">
        <f aca="false">IF(K1962&lt;=StockP33,"Low",IF(K1962&lt;=StockP67,"Moderate","High"))</f>
        <v>Low</v>
      </c>
      <c r="P1962" s="11" t="str">
        <f aca="false">IF(H1962=0,"Low",IF(H1962&lt;=MarkdownP75,"Moderate","High"))</f>
        <v>Low</v>
      </c>
      <c r="Q1962" s="11" t="str">
        <f aca="false">IF(ISBLANK(L1962),"Unknown",IF(L1962&gt;=4,"Good",IF(L1962&lt;=2,"Poor","Neutral")))</f>
        <v>Good</v>
      </c>
      <c r="R1962" s="11" t="str">
        <f aca="false">IF(AND(O1962="Low",P1962="Low",Q1962="Good"),"BUY / PRIORITIZE",IF(AND(O1962="High",P1962="High",OR(Q1962="Poor",M1962=TRUE())),"HOLD / REVIEW","MONITOR"))</f>
        <v>BUY / PRIORITIZE</v>
      </c>
      <c r="S1962" s="11" t="n">
        <f aca="false">K1962+(ROW()/10000000)</f>
        <v>4.0001962</v>
      </c>
    </row>
    <row r="1963" customFormat="false" ht="15" hidden="false" customHeight="false" outlineLevel="0" collapsed="false">
      <c r="A1963" s="11" t="s">
        <v>2317</v>
      </c>
      <c r="B1963" s="11" t="s">
        <v>28</v>
      </c>
      <c r="C1963" s="11" t="s">
        <v>77</v>
      </c>
      <c r="D1963" s="11" t="s">
        <v>35</v>
      </c>
      <c r="E1963" s="11" t="s">
        <v>113</v>
      </c>
      <c r="F1963" s="11" t="s">
        <v>98</v>
      </c>
      <c r="G1963" s="21" t="n">
        <v>216.73</v>
      </c>
      <c r="H1963" s="19" t="n">
        <v>0</v>
      </c>
      <c r="I1963" s="21" t="n">
        <v>216.73</v>
      </c>
      <c r="J1963" s="22" t="s">
        <v>80</v>
      </c>
      <c r="K1963" s="11" t="n">
        <v>5</v>
      </c>
      <c r="L1963" s="23" t="n">
        <v>2.7</v>
      </c>
      <c r="M1963" s="24" t="b">
        <f aca="false">TRUE()</f>
        <v>1</v>
      </c>
      <c r="N1963" s="11" t="s">
        <v>191</v>
      </c>
      <c r="O1963" s="11" t="str">
        <f aca="false">IF(K1963&lt;=StockP33,"Low",IF(K1963&lt;=StockP67,"Moderate","High"))</f>
        <v>Low</v>
      </c>
      <c r="P1963" s="11" t="str">
        <f aca="false">IF(H1963=0,"Low",IF(H1963&lt;=MarkdownP75,"Moderate","High"))</f>
        <v>Low</v>
      </c>
      <c r="Q1963" s="11" t="str">
        <f aca="false">IF(ISBLANK(L1963),"Unknown",IF(L1963&gt;=4,"Good",IF(L1963&lt;=2,"Poor","Neutral")))</f>
        <v>Neutral</v>
      </c>
      <c r="R1963" s="11" t="str">
        <f aca="false">IF(AND(O1963="Low",P1963="Low",Q1963="Good"),"BUY / PRIORITIZE",IF(AND(O1963="High",P1963="High",OR(Q1963="Poor",M1963=TRUE())),"HOLD / REVIEW","MONITOR"))</f>
        <v>MONITOR</v>
      </c>
      <c r="S1963" s="11" t="n">
        <f aca="false">K1963+(ROW()/10000000)</f>
        <v>5.0001963</v>
      </c>
    </row>
    <row r="1964" customFormat="false" ht="15" hidden="false" customHeight="false" outlineLevel="0" collapsed="false">
      <c r="A1964" s="11" t="s">
        <v>2318</v>
      </c>
      <c r="B1964" s="11" t="s">
        <v>27</v>
      </c>
      <c r="C1964" s="11" t="s">
        <v>95</v>
      </c>
      <c r="D1964" s="11" t="s">
        <v>35</v>
      </c>
      <c r="E1964" s="11" t="s">
        <v>102</v>
      </c>
      <c r="F1964" s="11" t="s">
        <v>111</v>
      </c>
      <c r="G1964" s="21" t="n">
        <v>87.82</v>
      </c>
      <c r="H1964" s="19" t="n">
        <v>0</v>
      </c>
      <c r="I1964" s="21" t="n">
        <v>87.82</v>
      </c>
      <c r="J1964" s="22" t="s">
        <v>80</v>
      </c>
      <c r="K1964" s="11" t="n">
        <v>24</v>
      </c>
      <c r="L1964" s="23" t="n">
        <v>4.2</v>
      </c>
      <c r="M1964" s="24" t="b">
        <f aca="false">FALSE()</f>
        <v>0</v>
      </c>
      <c r="N1964" s="11"/>
      <c r="O1964" s="11" t="str">
        <f aca="false">IF(K1964&lt;=StockP33,"Low",IF(K1964&lt;=StockP67,"Moderate","High"))</f>
        <v>Moderate</v>
      </c>
      <c r="P1964" s="11" t="str">
        <f aca="false">IF(H1964=0,"Low",IF(H1964&lt;=MarkdownP75,"Moderate","High"))</f>
        <v>Low</v>
      </c>
      <c r="Q1964" s="11" t="str">
        <f aca="false">IF(ISBLANK(L1964),"Unknown",IF(L1964&gt;=4,"Good",IF(L1964&lt;=2,"Poor","Neutral")))</f>
        <v>Good</v>
      </c>
      <c r="R1964" s="11" t="str">
        <f aca="false">IF(AND(O1964="Low",P1964="Low",Q1964="Good"),"BUY / PRIORITIZE",IF(AND(O1964="High",P1964="High",OR(Q1964="Poor",M1964=TRUE())),"HOLD / REVIEW","MONITOR"))</f>
        <v>MONITOR</v>
      </c>
      <c r="S1964" s="11" t="n">
        <f aca="false">K1964+(ROW()/10000000)</f>
        <v>24.0001964</v>
      </c>
    </row>
    <row r="1965" customFormat="false" ht="15" hidden="false" customHeight="false" outlineLevel="0" collapsed="false">
      <c r="A1965" s="11" t="s">
        <v>2319</v>
      </c>
      <c r="B1965" s="11" t="s">
        <v>29</v>
      </c>
      <c r="C1965" s="11" t="s">
        <v>72</v>
      </c>
      <c r="D1965" s="11" t="s">
        <v>35</v>
      </c>
      <c r="E1965" s="11" t="s">
        <v>78</v>
      </c>
      <c r="F1965" s="11" t="s">
        <v>98</v>
      </c>
      <c r="G1965" s="21" t="n">
        <v>81.59</v>
      </c>
      <c r="H1965" s="19" t="n">
        <v>0</v>
      </c>
      <c r="I1965" s="21" t="n">
        <v>81.59</v>
      </c>
      <c r="J1965" s="22" t="s">
        <v>80</v>
      </c>
      <c r="K1965" s="11" t="n">
        <v>5</v>
      </c>
      <c r="L1965" s="23" t="n">
        <v>2.5</v>
      </c>
      <c r="M1965" s="24" t="b">
        <f aca="false">FALSE()</f>
        <v>0</v>
      </c>
      <c r="N1965" s="11"/>
      <c r="O1965" s="11" t="str">
        <f aca="false">IF(K1965&lt;=StockP33,"Low",IF(K1965&lt;=StockP67,"Moderate","High"))</f>
        <v>Low</v>
      </c>
      <c r="P1965" s="11" t="str">
        <f aca="false">IF(H1965=0,"Low",IF(H1965&lt;=MarkdownP75,"Moderate","High"))</f>
        <v>Low</v>
      </c>
      <c r="Q1965" s="11" t="str">
        <f aca="false">IF(ISBLANK(L1965),"Unknown",IF(L1965&gt;=4,"Good",IF(L1965&lt;=2,"Poor","Neutral")))</f>
        <v>Neutral</v>
      </c>
      <c r="R1965" s="11" t="str">
        <f aca="false">IF(AND(O1965="Low",P1965="Low",Q1965="Good"),"BUY / PRIORITIZE",IF(AND(O1965="High",P1965="High",OR(Q1965="Poor",M1965=TRUE())),"HOLD / REVIEW","MONITOR"))</f>
        <v>MONITOR</v>
      </c>
      <c r="S1965" s="11" t="n">
        <f aca="false">K1965+(ROW()/10000000)</f>
        <v>5.0001965</v>
      </c>
    </row>
    <row r="1966" customFormat="false" ht="15" hidden="false" customHeight="false" outlineLevel="0" collapsed="false">
      <c r="A1966" s="11" t="s">
        <v>2320</v>
      </c>
      <c r="B1966" s="11" t="s">
        <v>28</v>
      </c>
      <c r="C1966" s="11" t="s">
        <v>116</v>
      </c>
      <c r="D1966" s="11" t="s">
        <v>35</v>
      </c>
      <c r="E1966" s="11"/>
      <c r="F1966" s="11" t="s">
        <v>96</v>
      </c>
      <c r="G1966" s="21" t="n">
        <v>93.14</v>
      </c>
      <c r="H1966" s="19" t="n">
        <v>32.8</v>
      </c>
      <c r="I1966" s="21" t="n">
        <v>62.59</v>
      </c>
      <c r="J1966" s="22" t="s">
        <v>80</v>
      </c>
      <c r="K1966" s="11" t="n">
        <v>45</v>
      </c>
      <c r="L1966" s="23" t="n">
        <v>4.5</v>
      </c>
      <c r="M1966" s="24" t="b">
        <f aca="false">FALSE()</f>
        <v>0</v>
      </c>
      <c r="N1966" s="11"/>
      <c r="O1966" s="11" t="str">
        <f aca="false">IF(K1966&lt;=StockP33,"Low",IF(K1966&lt;=StockP67,"Moderate","High"))</f>
        <v>High</v>
      </c>
      <c r="P1966" s="11" t="str">
        <f aca="false">IF(H1966=0,"Low",IF(H1966&lt;=MarkdownP75,"Moderate","High"))</f>
        <v>High</v>
      </c>
      <c r="Q1966" s="11" t="str">
        <f aca="false">IF(ISBLANK(L1966),"Unknown",IF(L1966&gt;=4,"Good",IF(L1966&lt;=2,"Poor","Neutral")))</f>
        <v>Good</v>
      </c>
      <c r="R1966" s="11" t="str">
        <f aca="false">IF(AND(O1966="Low",P1966="Low",Q1966="Good"),"BUY / PRIORITIZE",IF(AND(O1966="High",P1966="High",OR(Q1966="Poor",M1966=TRUE())),"HOLD / REVIEW","MONITOR"))</f>
        <v>MONITOR</v>
      </c>
      <c r="S1966" s="11" t="n">
        <f aca="false">K1966+(ROW()/10000000)</f>
        <v>45.0001966</v>
      </c>
    </row>
    <row r="1967" customFormat="false" ht="15" hidden="false" customHeight="false" outlineLevel="0" collapsed="false">
      <c r="A1967" s="11" t="s">
        <v>2321</v>
      </c>
      <c r="B1967" s="11" t="s">
        <v>26</v>
      </c>
      <c r="C1967" s="11" t="s">
        <v>116</v>
      </c>
      <c r="D1967" s="11" t="s">
        <v>34</v>
      </c>
      <c r="E1967" s="11" t="s">
        <v>110</v>
      </c>
      <c r="F1967" s="11" t="s">
        <v>92</v>
      </c>
      <c r="G1967" s="21" t="n">
        <v>96.73</v>
      </c>
      <c r="H1967" s="19" t="n">
        <v>0</v>
      </c>
      <c r="I1967" s="21" t="n">
        <v>96.73</v>
      </c>
      <c r="J1967" s="22" t="s">
        <v>1206</v>
      </c>
      <c r="K1967" s="11" t="n">
        <v>18</v>
      </c>
      <c r="L1967" s="23" t="n">
        <v>4.8</v>
      </c>
      <c r="M1967" s="24" t="b">
        <f aca="false">FALSE()</f>
        <v>0</v>
      </c>
      <c r="N1967" s="11"/>
      <c r="O1967" s="11" t="str">
        <f aca="false">IF(K1967&lt;=StockP33,"Low",IF(K1967&lt;=StockP67,"Moderate","High"))</f>
        <v>Moderate</v>
      </c>
      <c r="P1967" s="11" t="str">
        <f aca="false">IF(H1967=0,"Low",IF(H1967&lt;=MarkdownP75,"Moderate","High"))</f>
        <v>Low</v>
      </c>
      <c r="Q1967" s="11" t="str">
        <f aca="false">IF(ISBLANK(L1967),"Unknown",IF(L1967&gt;=4,"Good",IF(L1967&lt;=2,"Poor","Neutral")))</f>
        <v>Good</v>
      </c>
      <c r="R1967" s="11" t="str">
        <f aca="false">IF(AND(O1967="Low",P1967="Low",Q1967="Good"),"BUY / PRIORITIZE",IF(AND(O1967="High",P1967="High",OR(Q1967="Poor",M1967=TRUE())),"HOLD / REVIEW","MONITOR"))</f>
        <v>MONITOR</v>
      </c>
      <c r="S1967" s="11" t="n">
        <f aca="false">K1967+(ROW()/10000000)</f>
        <v>18.0001967</v>
      </c>
    </row>
    <row r="1968" customFormat="false" ht="15" hidden="false" customHeight="false" outlineLevel="0" collapsed="false">
      <c r="A1968" s="11" t="s">
        <v>2322</v>
      </c>
      <c r="B1968" s="11" t="s">
        <v>8</v>
      </c>
      <c r="C1968" s="11" t="s">
        <v>130</v>
      </c>
      <c r="D1968" s="11" t="s">
        <v>37</v>
      </c>
      <c r="E1968" s="11"/>
      <c r="F1968" s="11" t="s">
        <v>96</v>
      </c>
      <c r="G1968" s="21" t="n">
        <v>19.34</v>
      </c>
      <c r="H1968" s="19" t="n">
        <v>0</v>
      </c>
      <c r="I1968" s="21" t="n">
        <v>19.34</v>
      </c>
      <c r="J1968" s="22" t="s">
        <v>80</v>
      </c>
      <c r="K1968" s="11" t="n">
        <v>19</v>
      </c>
      <c r="L1968" s="23"/>
      <c r="M1968" s="24" t="b">
        <f aca="false">FALSE()</f>
        <v>0</v>
      </c>
      <c r="N1968" s="11"/>
      <c r="O1968" s="11" t="str">
        <f aca="false">IF(K1968&lt;=StockP33,"Low",IF(K1968&lt;=StockP67,"Moderate","High"))</f>
        <v>Moderate</v>
      </c>
      <c r="P1968" s="11" t="str">
        <f aca="false">IF(H1968=0,"Low",IF(H1968&lt;=MarkdownP75,"Moderate","High"))</f>
        <v>Low</v>
      </c>
      <c r="Q1968" s="11" t="str">
        <f aca="false">IF(ISBLANK(L1968),"Unknown",IF(L1968&gt;=4,"Good",IF(L1968&lt;=2,"Poor","Neutral")))</f>
        <v>Unknown</v>
      </c>
      <c r="R1968" s="11" t="str">
        <f aca="false">IF(AND(O1968="Low",P1968="Low",Q1968="Good"),"BUY / PRIORITIZE",IF(AND(O1968="High",P1968="High",OR(Q1968="Poor",M1968=TRUE())),"HOLD / REVIEW","MONITOR"))</f>
        <v>MONITOR</v>
      </c>
      <c r="S1968" s="11" t="n">
        <f aca="false">K1968+(ROW()/10000000)</f>
        <v>19.0001968</v>
      </c>
    </row>
    <row r="1969" customFormat="false" ht="15" hidden="false" customHeight="false" outlineLevel="0" collapsed="false">
      <c r="A1969" s="11" t="s">
        <v>2323</v>
      </c>
      <c r="B1969" s="11" t="s">
        <v>29</v>
      </c>
      <c r="C1969" s="11" t="s">
        <v>72</v>
      </c>
      <c r="D1969" s="11" t="s">
        <v>34</v>
      </c>
      <c r="E1969" s="11" t="s">
        <v>91</v>
      </c>
      <c r="F1969" s="11" t="s">
        <v>74</v>
      </c>
      <c r="G1969" s="21" t="n">
        <v>113.88</v>
      </c>
      <c r="H1969" s="19" t="n">
        <v>31.1</v>
      </c>
      <c r="I1969" s="21" t="n">
        <v>78.46</v>
      </c>
      <c r="J1969" s="22" t="s">
        <v>526</v>
      </c>
      <c r="K1969" s="11" t="n">
        <v>22</v>
      </c>
      <c r="L1969" s="23" t="n">
        <v>3.1</v>
      </c>
      <c r="M1969" s="24" t="b">
        <f aca="false">FALSE()</f>
        <v>0</v>
      </c>
      <c r="N1969" s="11"/>
      <c r="O1969" s="11" t="str">
        <f aca="false">IF(K1969&lt;=StockP33,"Low",IF(K1969&lt;=StockP67,"Moderate","High"))</f>
        <v>Moderate</v>
      </c>
      <c r="P1969" s="11" t="str">
        <f aca="false">IF(H1969=0,"Low",IF(H1969&lt;=MarkdownP75,"Moderate","High"))</f>
        <v>High</v>
      </c>
      <c r="Q1969" s="11" t="str">
        <f aca="false">IF(ISBLANK(L1969),"Unknown",IF(L1969&gt;=4,"Good",IF(L1969&lt;=2,"Poor","Neutral")))</f>
        <v>Neutral</v>
      </c>
      <c r="R1969" s="11" t="str">
        <f aca="false">IF(AND(O1969="Low",P1969="Low",Q1969="Good"),"BUY / PRIORITIZE",IF(AND(O1969="High",P1969="High",OR(Q1969="Poor",M1969=TRUE())),"HOLD / REVIEW","MONITOR"))</f>
        <v>MONITOR</v>
      </c>
      <c r="S1969" s="11" t="n">
        <f aca="false">K1969+(ROW()/10000000)</f>
        <v>22.0001969</v>
      </c>
    </row>
    <row r="1970" customFormat="false" ht="15" hidden="false" customHeight="false" outlineLevel="0" collapsed="false">
      <c r="A1970" s="11" t="s">
        <v>2324</v>
      </c>
      <c r="B1970" s="11" t="s">
        <v>27</v>
      </c>
      <c r="C1970" s="11" t="s">
        <v>72</v>
      </c>
      <c r="D1970" s="11" t="s">
        <v>34</v>
      </c>
      <c r="E1970" s="11" t="s">
        <v>73</v>
      </c>
      <c r="F1970" s="11" t="s">
        <v>118</v>
      </c>
      <c r="G1970" s="21" t="n">
        <v>90.32</v>
      </c>
      <c r="H1970" s="19" t="n">
        <v>0</v>
      </c>
      <c r="I1970" s="21" t="n">
        <v>90.32</v>
      </c>
      <c r="J1970" s="22" t="s">
        <v>2325</v>
      </c>
      <c r="K1970" s="11" t="n">
        <v>41</v>
      </c>
      <c r="L1970" s="23" t="n">
        <v>2.8</v>
      </c>
      <c r="M1970" s="24" t="b">
        <f aca="false">FALSE()</f>
        <v>0</v>
      </c>
      <c r="N1970" s="11"/>
      <c r="O1970" s="11" t="str">
        <f aca="false">IF(K1970&lt;=StockP33,"Low",IF(K1970&lt;=StockP67,"Moderate","High"))</f>
        <v>High</v>
      </c>
      <c r="P1970" s="11" t="str">
        <f aca="false">IF(H1970=0,"Low",IF(H1970&lt;=MarkdownP75,"Moderate","High"))</f>
        <v>Low</v>
      </c>
      <c r="Q1970" s="11" t="str">
        <f aca="false">IF(ISBLANK(L1970),"Unknown",IF(L1970&gt;=4,"Good",IF(L1970&lt;=2,"Poor","Neutral")))</f>
        <v>Neutral</v>
      </c>
      <c r="R1970" s="11" t="str">
        <f aca="false">IF(AND(O1970="Low",P1970="Low",Q1970="Good"),"BUY / PRIORITIZE",IF(AND(O1970="High",P1970="High",OR(Q1970="Poor",M1970=TRUE())),"HOLD / REVIEW","MONITOR"))</f>
        <v>MONITOR</v>
      </c>
      <c r="S1970" s="11" t="n">
        <f aca="false">K1970+(ROW()/10000000)</f>
        <v>41.000197</v>
      </c>
    </row>
    <row r="1971" customFormat="false" ht="15" hidden="false" customHeight="false" outlineLevel="0" collapsed="false">
      <c r="A1971" s="11" t="s">
        <v>2326</v>
      </c>
      <c r="B1971" s="11" t="s">
        <v>30</v>
      </c>
      <c r="C1971" s="11" t="s">
        <v>86</v>
      </c>
      <c r="D1971" s="11" t="s">
        <v>35</v>
      </c>
      <c r="E1971" s="11" t="s">
        <v>78</v>
      </c>
      <c r="F1971" s="11" t="s">
        <v>92</v>
      </c>
      <c r="G1971" s="21" t="n">
        <v>38.12</v>
      </c>
      <c r="H1971" s="19" t="n">
        <v>0</v>
      </c>
      <c r="I1971" s="21" t="n">
        <v>38.12</v>
      </c>
      <c r="J1971" s="22" t="s">
        <v>80</v>
      </c>
      <c r="K1971" s="11" t="n">
        <v>44</v>
      </c>
      <c r="L1971" s="23"/>
      <c r="M1971" s="24" t="b">
        <f aca="false">FALSE()</f>
        <v>0</v>
      </c>
      <c r="N1971" s="11"/>
      <c r="O1971" s="11" t="str">
        <f aca="false">IF(K1971&lt;=StockP33,"Low",IF(K1971&lt;=StockP67,"Moderate","High"))</f>
        <v>High</v>
      </c>
      <c r="P1971" s="11" t="str">
        <f aca="false">IF(H1971=0,"Low",IF(H1971&lt;=MarkdownP75,"Moderate","High"))</f>
        <v>Low</v>
      </c>
      <c r="Q1971" s="11" t="str">
        <f aca="false">IF(ISBLANK(L1971),"Unknown",IF(L1971&gt;=4,"Good",IF(L1971&lt;=2,"Poor","Neutral")))</f>
        <v>Unknown</v>
      </c>
      <c r="R1971" s="11" t="str">
        <f aca="false">IF(AND(O1971="Low",P1971="Low",Q1971="Good"),"BUY / PRIORITIZE",IF(AND(O1971="High",P1971="High",OR(Q1971="Poor",M1971=TRUE())),"HOLD / REVIEW","MONITOR"))</f>
        <v>MONITOR</v>
      </c>
      <c r="S1971" s="11" t="n">
        <f aca="false">K1971+(ROW()/10000000)</f>
        <v>44.0001971</v>
      </c>
    </row>
    <row r="1972" customFormat="false" ht="15" hidden="false" customHeight="false" outlineLevel="0" collapsed="false">
      <c r="A1972" s="11" t="s">
        <v>2327</v>
      </c>
      <c r="B1972" s="11" t="s">
        <v>29</v>
      </c>
      <c r="C1972" s="11" t="s">
        <v>86</v>
      </c>
      <c r="D1972" s="11" t="s">
        <v>35</v>
      </c>
      <c r="E1972" s="11" t="s">
        <v>91</v>
      </c>
      <c r="F1972" s="11" t="s">
        <v>96</v>
      </c>
      <c r="G1972" s="21" t="n">
        <v>175.31</v>
      </c>
      <c r="H1972" s="19" t="n">
        <v>0</v>
      </c>
      <c r="I1972" s="21" t="n">
        <v>175.31</v>
      </c>
      <c r="J1972" s="22" t="s">
        <v>80</v>
      </c>
      <c r="K1972" s="11" t="n">
        <v>13</v>
      </c>
      <c r="L1972" s="23"/>
      <c r="M1972" s="24" t="b">
        <f aca="false">FALSE()</f>
        <v>0</v>
      </c>
      <c r="N1972" s="11"/>
      <c r="O1972" s="11" t="str">
        <f aca="false">IF(K1972&lt;=StockP33,"Low",IF(K1972&lt;=StockP67,"Moderate","High"))</f>
        <v>Low</v>
      </c>
      <c r="P1972" s="11" t="str">
        <f aca="false">IF(H1972=0,"Low",IF(H1972&lt;=MarkdownP75,"Moderate","High"))</f>
        <v>Low</v>
      </c>
      <c r="Q1972" s="11" t="str">
        <f aca="false">IF(ISBLANK(L1972),"Unknown",IF(L1972&gt;=4,"Good",IF(L1972&lt;=2,"Poor","Neutral")))</f>
        <v>Unknown</v>
      </c>
      <c r="R1972" s="11" t="str">
        <f aca="false">IF(AND(O1972="Low",P1972="Low",Q1972="Good"),"BUY / PRIORITIZE",IF(AND(O1972="High",P1972="High",OR(Q1972="Poor",M1972=TRUE())),"HOLD / REVIEW","MONITOR"))</f>
        <v>MONITOR</v>
      </c>
      <c r="S1972" s="11" t="n">
        <f aca="false">K1972+(ROW()/10000000)</f>
        <v>13.0001972</v>
      </c>
    </row>
    <row r="1973" customFormat="false" ht="15" hidden="false" customHeight="false" outlineLevel="0" collapsed="false">
      <c r="A1973" s="11" t="s">
        <v>2328</v>
      </c>
      <c r="B1973" s="11" t="s">
        <v>27</v>
      </c>
      <c r="C1973" s="11" t="s">
        <v>72</v>
      </c>
      <c r="D1973" s="11" t="s">
        <v>34</v>
      </c>
      <c r="E1973" s="11" t="s">
        <v>78</v>
      </c>
      <c r="F1973" s="11" t="s">
        <v>74</v>
      </c>
      <c r="G1973" s="21" t="n">
        <v>171.92</v>
      </c>
      <c r="H1973" s="19" t="n">
        <v>0</v>
      </c>
      <c r="I1973" s="21" t="n">
        <v>171.92</v>
      </c>
      <c r="J1973" s="22" t="s">
        <v>2329</v>
      </c>
      <c r="K1973" s="11" t="n">
        <v>12</v>
      </c>
      <c r="L1973" s="23" t="n">
        <v>1.3</v>
      </c>
      <c r="M1973" s="24" t="b">
        <f aca="false">FALSE()</f>
        <v>0</v>
      </c>
      <c r="N1973" s="11"/>
      <c r="O1973" s="11" t="str">
        <f aca="false">IF(K1973&lt;=StockP33,"Low",IF(K1973&lt;=StockP67,"Moderate","High"))</f>
        <v>Low</v>
      </c>
      <c r="P1973" s="11" t="str">
        <f aca="false">IF(H1973=0,"Low",IF(H1973&lt;=MarkdownP75,"Moderate","High"))</f>
        <v>Low</v>
      </c>
      <c r="Q1973" s="11" t="str">
        <f aca="false">IF(ISBLANK(L1973),"Unknown",IF(L1973&gt;=4,"Good",IF(L1973&lt;=2,"Poor","Neutral")))</f>
        <v>Poor</v>
      </c>
      <c r="R1973" s="11" t="str">
        <f aca="false">IF(AND(O1973="Low",P1973="Low",Q1973="Good"),"BUY / PRIORITIZE",IF(AND(O1973="High",P1973="High",OR(Q1973="Poor",M1973=TRUE())),"HOLD / REVIEW","MONITOR"))</f>
        <v>MONITOR</v>
      </c>
      <c r="S1973" s="11" t="n">
        <f aca="false">K1973+(ROW()/10000000)</f>
        <v>12.0001973</v>
      </c>
    </row>
    <row r="1974" customFormat="false" ht="15" hidden="false" customHeight="false" outlineLevel="0" collapsed="false">
      <c r="A1974" s="11" t="s">
        <v>2330</v>
      </c>
      <c r="B1974" s="11" t="s">
        <v>8</v>
      </c>
      <c r="C1974" s="11" t="s">
        <v>116</v>
      </c>
      <c r="D1974" s="11" t="s">
        <v>35</v>
      </c>
      <c r="E1974" s="11"/>
      <c r="F1974" s="11" t="s">
        <v>96</v>
      </c>
      <c r="G1974" s="21" t="n">
        <v>35.6</v>
      </c>
      <c r="H1974" s="19" t="n">
        <v>0</v>
      </c>
      <c r="I1974" s="21" t="n">
        <v>35.6</v>
      </c>
      <c r="J1974" s="22" t="s">
        <v>80</v>
      </c>
      <c r="K1974" s="11" t="n">
        <v>24</v>
      </c>
      <c r="L1974" s="23" t="n">
        <v>3.1</v>
      </c>
      <c r="M1974" s="24" t="b">
        <f aca="false">FALSE()</f>
        <v>0</v>
      </c>
      <c r="N1974" s="11"/>
      <c r="O1974" s="11" t="str">
        <f aca="false">IF(K1974&lt;=StockP33,"Low",IF(K1974&lt;=StockP67,"Moderate","High"))</f>
        <v>Moderate</v>
      </c>
      <c r="P1974" s="11" t="str">
        <f aca="false">IF(H1974=0,"Low",IF(H1974&lt;=MarkdownP75,"Moderate","High"))</f>
        <v>Low</v>
      </c>
      <c r="Q1974" s="11" t="str">
        <f aca="false">IF(ISBLANK(L1974),"Unknown",IF(L1974&gt;=4,"Good",IF(L1974&lt;=2,"Poor","Neutral")))</f>
        <v>Neutral</v>
      </c>
      <c r="R1974" s="11" t="str">
        <f aca="false">IF(AND(O1974="Low",P1974="Low",Q1974="Good"),"BUY / PRIORITIZE",IF(AND(O1974="High",P1974="High",OR(Q1974="Poor",M1974=TRUE())),"HOLD / REVIEW","MONITOR"))</f>
        <v>MONITOR</v>
      </c>
      <c r="S1974" s="11" t="n">
        <f aca="false">K1974+(ROW()/10000000)</f>
        <v>24.0001974</v>
      </c>
    </row>
    <row r="1975" customFormat="false" ht="15" hidden="false" customHeight="false" outlineLevel="0" collapsed="false">
      <c r="A1975" s="11" t="s">
        <v>2331</v>
      </c>
      <c r="B1975" s="11" t="s">
        <v>26</v>
      </c>
      <c r="C1975" s="11" t="s">
        <v>101</v>
      </c>
      <c r="D1975" s="11" t="s">
        <v>35</v>
      </c>
      <c r="E1975" s="11" t="s">
        <v>113</v>
      </c>
      <c r="F1975" s="11" t="s">
        <v>118</v>
      </c>
      <c r="G1975" s="21" t="n">
        <v>81.7</v>
      </c>
      <c r="H1975" s="19" t="n">
        <v>0</v>
      </c>
      <c r="I1975" s="21" t="n">
        <v>81.7</v>
      </c>
      <c r="J1975" s="22" t="s">
        <v>80</v>
      </c>
      <c r="K1975" s="11" t="n">
        <v>33</v>
      </c>
      <c r="L1975" s="23"/>
      <c r="M1975" s="24" t="b">
        <f aca="false">TRUE()</f>
        <v>1</v>
      </c>
      <c r="N1975" s="11" t="s">
        <v>191</v>
      </c>
      <c r="O1975" s="11" t="str">
        <f aca="false">IF(K1975&lt;=StockP33,"Low",IF(K1975&lt;=StockP67,"Moderate","High"))</f>
        <v>Moderate</v>
      </c>
      <c r="P1975" s="11" t="str">
        <f aca="false">IF(H1975=0,"Low",IF(H1975&lt;=MarkdownP75,"Moderate","High"))</f>
        <v>Low</v>
      </c>
      <c r="Q1975" s="11" t="str">
        <f aca="false">IF(ISBLANK(L1975),"Unknown",IF(L1975&gt;=4,"Good",IF(L1975&lt;=2,"Poor","Neutral")))</f>
        <v>Unknown</v>
      </c>
      <c r="R1975" s="11" t="str">
        <f aca="false">IF(AND(O1975="Low",P1975="Low",Q1975="Good"),"BUY / PRIORITIZE",IF(AND(O1975="High",P1975="High",OR(Q1975="Poor",M1975=TRUE())),"HOLD / REVIEW","MONITOR"))</f>
        <v>MONITOR</v>
      </c>
      <c r="S1975" s="11" t="n">
        <f aca="false">K1975+(ROW()/10000000)</f>
        <v>33.0001975</v>
      </c>
    </row>
    <row r="1976" customFormat="false" ht="15" hidden="false" customHeight="false" outlineLevel="0" collapsed="false">
      <c r="A1976" s="11" t="s">
        <v>2332</v>
      </c>
      <c r="B1976" s="11" t="s">
        <v>26</v>
      </c>
      <c r="C1976" s="11" t="s">
        <v>86</v>
      </c>
      <c r="D1976" s="11" t="s">
        <v>35</v>
      </c>
      <c r="E1976" s="11"/>
      <c r="F1976" s="11" t="s">
        <v>120</v>
      </c>
      <c r="G1976" s="21" t="n">
        <v>29.7</v>
      </c>
      <c r="H1976" s="19" t="n">
        <v>0</v>
      </c>
      <c r="I1976" s="21" t="n">
        <v>29.7</v>
      </c>
      <c r="J1976" s="22" t="s">
        <v>80</v>
      </c>
      <c r="K1976" s="11" t="n">
        <v>16</v>
      </c>
      <c r="L1976" s="23" t="n">
        <v>2.7</v>
      </c>
      <c r="M1976" s="24" t="b">
        <f aca="false">FALSE()</f>
        <v>0</v>
      </c>
      <c r="N1976" s="11"/>
      <c r="O1976" s="11" t="str">
        <f aca="false">IF(K1976&lt;=StockP33,"Low",IF(K1976&lt;=StockP67,"Moderate","High"))</f>
        <v>Low</v>
      </c>
      <c r="P1976" s="11" t="str">
        <f aca="false">IF(H1976=0,"Low",IF(H1976&lt;=MarkdownP75,"Moderate","High"))</f>
        <v>Low</v>
      </c>
      <c r="Q1976" s="11" t="str">
        <f aca="false">IF(ISBLANK(L1976),"Unknown",IF(L1976&gt;=4,"Good",IF(L1976&lt;=2,"Poor","Neutral")))</f>
        <v>Neutral</v>
      </c>
      <c r="R1976" s="11" t="str">
        <f aca="false">IF(AND(O1976="Low",P1976="Low",Q1976="Good"),"BUY / PRIORITIZE",IF(AND(O1976="High",P1976="High",OR(Q1976="Poor",M1976=TRUE())),"HOLD / REVIEW","MONITOR"))</f>
        <v>MONITOR</v>
      </c>
      <c r="S1976" s="11" t="n">
        <f aca="false">K1976+(ROW()/10000000)</f>
        <v>16.0001976</v>
      </c>
    </row>
    <row r="1977" customFormat="false" ht="15" hidden="false" customHeight="false" outlineLevel="0" collapsed="false">
      <c r="A1977" s="11" t="s">
        <v>2333</v>
      </c>
      <c r="B1977" s="11" t="s">
        <v>28</v>
      </c>
      <c r="C1977" s="11" t="s">
        <v>95</v>
      </c>
      <c r="D1977" s="11" t="s">
        <v>37</v>
      </c>
      <c r="E1977" s="11" t="s">
        <v>91</v>
      </c>
      <c r="F1977" s="11" t="s">
        <v>124</v>
      </c>
      <c r="G1977" s="21" t="n">
        <v>239.65</v>
      </c>
      <c r="H1977" s="19" t="n">
        <v>0</v>
      </c>
      <c r="I1977" s="21" t="n">
        <v>239.65</v>
      </c>
      <c r="J1977" s="22" t="s">
        <v>80</v>
      </c>
      <c r="K1977" s="11" t="n">
        <v>27</v>
      </c>
      <c r="L1977" s="23" t="n">
        <v>2.9</v>
      </c>
      <c r="M1977" s="24" t="b">
        <f aca="false">FALSE()</f>
        <v>0</v>
      </c>
      <c r="N1977" s="11"/>
      <c r="O1977" s="11" t="str">
        <f aca="false">IF(K1977&lt;=StockP33,"Low",IF(K1977&lt;=StockP67,"Moderate","High"))</f>
        <v>Moderate</v>
      </c>
      <c r="P1977" s="11" t="str">
        <f aca="false">IF(H1977=0,"Low",IF(H1977&lt;=MarkdownP75,"Moderate","High"))</f>
        <v>Low</v>
      </c>
      <c r="Q1977" s="11" t="str">
        <f aca="false">IF(ISBLANK(L1977),"Unknown",IF(L1977&gt;=4,"Good",IF(L1977&lt;=2,"Poor","Neutral")))</f>
        <v>Neutral</v>
      </c>
      <c r="R1977" s="11" t="str">
        <f aca="false">IF(AND(O1977="Low",P1977="Low",Q1977="Good"),"BUY / PRIORITIZE",IF(AND(O1977="High",P1977="High",OR(Q1977="Poor",M1977=TRUE())),"HOLD / REVIEW","MONITOR"))</f>
        <v>MONITOR</v>
      </c>
      <c r="S1977" s="11" t="n">
        <f aca="false">K1977+(ROW()/10000000)</f>
        <v>27.0001977</v>
      </c>
    </row>
    <row r="1978" customFormat="false" ht="15" hidden="false" customHeight="false" outlineLevel="0" collapsed="false">
      <c r="A1978" s="11" t="s">
        <v>2334</v>
      </c>
      <c r="B1978" s="11" t="s">
        <v>30</v>
      </c>
      <c r="C1978" s="11" t="s">
        <v>101</v>
      </c>
      <c r="D1978" s="11" t="s">
        <v>36</v>
      </c>
      <c r="E1978" s="11" t="s">
        <v>113</v>
      </c>
      <c r="F1978" s="11" t="s">
        <v>74</v>
      </c>
      <c r="G1978" s="21" t="n">
        <v>90.41</v>
      </c>
      <c r="H1978" s="19" t="n">
        <v>0</v>
      </c>
      <c r="I1978" s="21" t="n">
        <v>90.41</v>
      </c>
      <c r="J1978" s="22" t="s">
        <v>80</v>
      </c>
      <c r="K1978" s="11" t="n">
        <v>11</v>
      </c>
      <c r="L1978" s="23"/>
      <c r="M1978" s="24" t="b">
        <f aca="false">FALSE()</f>
        <v>0</v>
      </c>
      <c r="N1978" s="11"/>
      <c r="O1978" s="11" t="str">
        <f aca="false">IF(K1978&lt;=StockP33,"Low",IF(K1978&lt;=StockP67,"Moderate","High"))</f>
        <v>Low</v>
      </c>
      <c r="P1978" s="11" t="str">
        <f aca="false">IF(H1978=0,"Low",IF(H1978&lt;=MarkdownP75,"Moderate","High"))</f>
        <v>Low</v>
      </c>
      <c r="Q1978" s="11" t="str">
        <f aca="false">IF(ISBLANK(L1978),"Unknown",IF(L1978&gt;=4,"Good",IF(L1978&lt;=2,"Poor","Neutral")))</f>
        <v>Unknown</v>
      </c>
      <c r="R1978" s="11" t="str">
        <f aca="false">IF(AND(O1978="Low",P1978="Low",Q1978="Good"),"BUY / PRIORITIZE",IF(AND(O1978="High",P1978="High",OR(Q1978="Poor",M1978=TRUE())),"HOLD / REVIEW","MONITOR"))</f>
        <v>MONITOR</v>
      </c>
      <c r="S1978" s="11" t="n">
        <f aca="false">K1978+(ROW()/10000000)</f>
        <v>11.0001978</v>
      </c>
    </row>
    <row r="1979" customFormat="false" ht="15" hidden="false" customHeight="false" outlineLevel="0" collapsed="false">
      <c r="A1979" s="11" t="s">
        <v>2335</v>
      </c>
      <c r="B1979" s="11" t="s">
        <v>27</v>
      </c>
      <c r="C1979" s="11" t="s">
        <v>107</v>
      </c>
      <c r="D1979" s="11" t="s">
        <v>37</v>
      </c>
      <c r="E1979" s="11" t="s">
        <v>73</v>
      </c>
      <c r="F1979" s="11" t="s">
        <v>88</v>
      </c>
      <c r="G1979" s="21" t="n">
        <v>81.78</v>
      </c>
      <c r="H1979" s="19" t="n">
        <v>10</v>
      </c>
      <c r="I1979" s="21" t="n">
        <v>73.6</v>
      </c>
      <c r="J1979" s="22" t="s">
        <v>80</v>
      </c>
      <c r="K1979" s="11" t="n">
        <v>24</v>
      </c>
      <c r="L1979" s="23" t="n">
        <v>1.2</v>
      </c>
      <c r="M1979" s="24" t="b">
        <f aca="false">FALSE()</f>
        <v>0</v>
      </c>
      <c r="N1979" s="11"/>
      <c r="O1979" s="11" t="str">
        <f aca="false">IF(K1979&lt;=StockP33,"Low",IF(K1979&lt;=StockP67,"Moderate","High"))</f>
        <v>Moderate</v>
      </c>
      <c r="P1979" s="11" t="str">
        <f aca="false">IF(H1979=0,"Low",IF(H1979&lt;=MarkdownP75,"Moderate","High"))</f>
        <v>Moderate</v>
      </c>
      <c r="Q1979" s="11" t="str">
        <f aca="false">IF(ISBLANK(L1979),"Unknown",IF(L1979&gt;=4,"Good",IF(L1979&lt;=2,"Poor","Neutral")))</f>
        <v>Poor</v>
      </c>
      <c r="R1979" s="11" t="str">
        <f aca="false">IF(AND(O1979="Low",P1979="Low",Q1979="Good"),"BUY / PRIORITIZE",IF(AND(O1979="High",P1979="High",OR(Q1979="Poor",M1979=TRUE())),"HOLD / REVIEW","MONITOR"))</f>
        <v>MONITOR</v>
      </c>
      <c r="S1979" s="11" t="n">
        <f aca="false">K1979+(ROW()/10000000)</f>
        <v>24.0001979</v>
      </c>
    </row>
    <row r="1980" customFormat="false" ht="15" hidden="false" customHeight="false" outlineLevel="0" collapsed="false">
      <c r="A1980" s="11" t="s">
        <v>2336</v>
      </c>
      <c r="B1980" s="11" t="s">
        <v>28</v>
      </c>
      <c r="C1980" s="11" t="s">
        <v>130</v>
      </c>
      <c r="D1980" s="11" t="s">
        <v>37</v>
      </c>
      <c r="E1980" s="11" t="s">
        <v>78</v>
      </c>
      <c r="F1980" s="11" t="s">
        <v>82</v>
      </c>
      <c r="G1980" s="21" t="n">
        <v>142.55</v>
      </c>
      <c r="H1980" s="19" t="n">
        <v>0</v>
      </c>
      <c r="I1980" s="21" t="n">
        <v>142.55</v>
      </c>
      <c r="J1980" s="22" t="s">
        <v>80</v>
      </c>
      <c r="K1980" s="11" t="n">
        <v>21</v>
      </c>
      <c r="L1980" s="23" t="n">
        <v>4.5</v>
      </c>
      <c r="M1980" s="24" t="b">
        <f aca="false">FALSE()</f>
        <v>0</v>
      </c>
      <c r="N1980" s="11"/>
      <c r="O1980" s="11" t="str">
        <f aca="false">IF(K1980&lt;=StockP33,"Low",IF(K1980&lt;=StockP67,"Moderate","High"))</f>
        <v>Moderate</v>
      </c>
      <c r="P1980" s="11" t="str">
        <f aca="false">IF(H1980=0,"Low",IF(H1980&lt;=MarkdownP75,"Moderate","High"))</f>
        <v>Low</v>
      </c>
      <c r="Q1980" s="11" t="str">
        <f aca="false">IF(ISBLANK(L1980),"Unknown",IF(L1980&gt;=4,"Good",IF(L1980&lt;=2,"Poor","Neutral")))</f>
        <v>Good</v>
      </c>
      <c r="R1980" s="11" t="str">
        <f aca="false">IF(AND(O1980="Low",P1980="Low",Q1980="Good"),"BUY / PRIORITIZE",IF(AND(O1980="High",P1980="High",OR(Q1980="Poor",M1980=TRUE())),"HOLD / REVIEW","MONITOR"))</f>
        <v>MONITOR</v>
      </c>
      <c r="S1980" s="11" t="n">
        <f aca="false">K1980+(ROW()/10000000)</f>
        <v>21.000198</v>
      </c>
    </row>
    <row r="1981" customFormat="false" ht="15" hidden="false" customHeight="false" outlineLevel="0" collapsed="false">
      <c r="A1981" s="11" t="s">
        <v>2337</v>
      </c>
      <c r="B1981" s="11" t="s">
        <v>27</v>
      </c>
      <c r="C1981" s="11" t="s">
        <v>116</v>
      </c>
      <c r="D1981" s="11" t="s">
        <v>36</v>
      </c>
      <c r="E1981" s="11" t="s">
        <v>91</v>
      </c>
      <c r="F1981" s="11" t="s">
        <v>82</v>
      </c>
      <c r="G1981" s="21" t="n">
        <v>53.13</v>
      </c>
      <c r="H1981" s="19" t="n">
        <v>0</v>
      </c>
      <c r="I1981" s="21" t="n">
        <v>53.13</v>
      </c>
      <c r="J1981" s="22" t="s">
        <v>80</v>
      </c>
      <c r="K1981" s="11" t="n">
        <v>5</v>
      </c>
      <c r="L1981" s="23" t="n">
        <v>4.6</v>
      </c>
      <c r="M1981" s="24" t="b">
        <f aca="false">FALSE()</f>
        <v>0</v>
      </c>
      <c r="N1981" s="11"/>
      <c r="O1981" s="11" t="str">
        <f aca="false">IF(K1981&lt;=StockP33,"Low",IF(K1981&lt;=StockP67,"Moderate","High"))</f>
        <v>Low</v>
      </c>
      <c r="P1981" s="11" t="str">
        <f aca="false">IF(H1981=0,"Low",IF(H1981&lt;=MarkdownP75,"Moderate","High"))</f>
        <v>Low</v>
      </c>
      <c r="Q1981" s="11" t="str">
        <f aca="false">IF(ISBLANK(L1981),"Unknown",IF(L1981&gt;=4,"Good",IF(L1981&lt;=2,"Poor","Neutral")))</f>
        <v>Good</v>
      </c>
      <c r="R1981" s="11" t="str">
        <f aca="false">IF(AND(O1981="Low",P1981="Low",Q1981="Good"),"BUY / PRIORITIZE",IF(AND(O1981="High",P1981="High",OR(Q1981="Poor",M1981=TRUE())),"HOLD / REVIEW","MONITOR"))</f>
        <v>BUY / PRIORITIZE</v>
      </c>
      <c r="S1981" s="11" t="n">
        <f aca="false">K1981+(ROW()/10000000)</f>
        <v>5.0001981</v>
      </c>
    </row>
    <row r="1982" customFormat="false" ht="15" hidden="false" customHeight="false" outlineLevel="0" collapsed="false">
      <c r="A1982" s="11" t="s">
        <v>2338</v>
      </c>
      <c r="B1982" s="11" t="s">
        <v>26</v>
      </c>
      <c r="C1982" s="11" t="s">
        <v>130</v>
      </c>
      <c r="D1982" s="11" t="s">
        <v>35</v>
      </c>
      <c r="E1982" s="11" t="s">
        <v>78</v>
      </c>
      <c r="F1982" s="11" t="s">
        <v>118</v>
      </c>
      <c r="G1982" s="21" t="n">
        <v>80.81</v>
      </c>
      <c r="H1982" s="19" t="n">
        <v>0</v>
      </c>
      <c r="I1982" s="21" t="n">
        <v>80.81</v>
      </c>
      <c r="J1982" s="22" t="s">
        <v>80</v>
      </c>
      <c r="K1982" s="11" t="n">
        <v>15</v>
      </c>
      <c r="L1982" s="23" t="n">
        <v>4.6</v>
      </c>
      <c r="M1982" s="24" t="b">
        <f aca="false">FALSE()</f>
        <v>0</v>
      </c>
      <c r="N1982" s="11"/>
      <c r="O1982" s="11" t="str">
        <f aca="false">IF(K1982&lt;=StockP33,"Low",IF(K1982&lt;=StockP67,"Moderate","High"))</f>
        <v>Low</v>
      </c>
      <c r="P1982" s="11" t="str">
        <f aca="false">IF(H1982=0,"Low",IF(H1982&lt;=MarkdownP75,"Moderate","High"))</f>
        <v>Low</v>
      </c>
      <c r="Q1982" s="11" t="str">
        <f aca="false">IF(ISBLANK(L1982),"Unknown",IF(L1982&gt;=4,"Good",IF(L1982&lt;=2,"Poor","Neutral")))</f>
        <v>Good</v>
      </c>
      <c r="R1982" s="11" t="str">
        <f aca="false">IF(AND(O1982="Low",P1982="Low",Q1982="Good"),"BUY / PRIORITIZE",IF(AND(O1982="High",P1982="High",OR(Q1982="Poor",M1982=TRUE())),"HOLD / REVIEW","MONITOR"))</f>
        <v>BUY / PRIORITIZE</v>
      </c>
      <c r="S1982" s="11" t="n">
        <f aca="false">K1982+(ROW()/10000000)</f>
        <v>15.0001982</v>
      </c>
    </row>
    <row r="1983" customFormat="false" ht="15" hidden="false" customHeight="false" outlineLevel="0" collapsed="false">
      <c r="A1983" s="11" t="s">
        <v>2339</v>
      </c>
      <c r="B1983" s="11" t="s">
        <v>30</v>
      </c>
      <c r="C1983" s="11" t="s">
        <v>77</v>
      </c>
      <c r="D1983" s="11" t="s">
        <v>36</v>
      </c>
      <c r="E1983" s="11" t="s">
        <v>113</v>
      </c>
      <c r="F1983" s="11" t="s">
        <v>118</v>
      </c>
      <c r="G1983" s="21" t="n">
        <v>89.39</v>
      </c>
      <c r="H1983" s="19" t="n">
        <v>0</v>
      </c>
      <c r="I1983" s="21" t="n">
        <v>89.39</v>
      </c>
      <c r="J1983" s="22" t="s">
        <v>80</v>
      </c>
      <c r="K1983" s="11" t="n">
        <v>33</v>
      </c>
      <c r="L1983" s="23" t="n">
        <v>4.2</v>
      </c>
      <c r="M1983" s="24" t="b">
        <f aca="false">FALSE()</f>
        <v>0</v>
      </c>
      <c r="N1983" s="11"/>
      <c r="O1983" s="11" t="str">
        <f aca="false">IF(K1983&lt;=StockP33,"Low",IF(K1983&lt;=StockP67,"Moderate","High"))</f>
        <v>Moderate</v>
      </c>
      <c r="P1983" s="11" t="str">
        <f aca="false">IF(H1983=0,"Low",IF(H1983&lt;=MarkdownP75,"Moderate","High"))</f>
        <v>Low</v>
      </c>
      <c r="Q1983" s="11" t="str">
        <f aca="false">IF(ISBLANK(L1983),"Unknown",IF(L1983&gt;=4,"Good",IF(L1983&lt;=2,"Poor","Neutral")))</f>
        <v>Good</v>
      </c>
      <c r="R1983" s="11" t="str">
        <f aca="false">IF(AND(O1983="Low",P1983="Low",Q1983="Good"),"BUY / PRIORITIZE",IF(AND(O1983="High",P1983="High",OR(Q1983="Poor",M1983=TRUE())),"HOLD / REVIEW","MONITOR"))</f>
        <v>MONITOR</v>
      </c>
      <c r="S1983" s="11" t="n">
        <f aca="false">K1983+(ROW()/10000000)</f>
        <v>33.0001983</v>
      </c>
    </row>
    <row r="1984" customFormat="false" ht="15" hidden="false" customHeight="false" outlineLevel="0" collapsed="false">
      <c r="A1984" s="11" t="s">
        <v>2340</v>
      </c>
      <c r="B1984" s="11" t="s">
        <v>26</v>
      </c>
      <c r="C1984" s="11" t="s">
        <v>95</v>
      </c>
      <c r="D1984" s="11" t="s">
        <v>35</v>
      </c>
      <c r="E1984" s="11" t="s">
        <v>91</v>
      </c>
      <c r="F1984" s="11" t="s">
        <v>96</v>
      </c>
      <c r="G1984" s="21" t="n">
        <v>37.9</v>
      </c>
      <c r="H1984" s="19" t="n">
        <v>37.9</v>
      </c>
      <c r="I1984" s="21" t="n">
        <v>23.54</v>
      </c>
      <c r="J1984" s="22" t="s">
        <v>80</v>
      </c>
      <c r="K1984" s="11" t="n">
        <v>34</v>
      </c>
      <c r="L1984" s="23" t="n">
        <v>1.3</v>
      </c>
      <c r="M1984" s="24" t="b">
        <f aca="false">FALSE()</f>
        <v>0</v>
      </c>
      <c r="N1984" s="11"/>
      <c r="O1984" s="11" t="str">
        <f aca="false">IF(K1984&lt;=StockP33,"Low",IF(K1984&lt;=StockP67,"Moderate","High"))</f>
        <v>High</v>
      </c>
      <c r="P1984" s="11" t="str">
        <f aca="false">IF(H1984=0,"Low",IF(H1984&lt;=MarkdownP75,"Moderate","High"))</f>
        <v>High</v>
      </c>
      <c r="Q1984" s="11" t="str">
        <f aca="false">IF(ISBLANK(L1984),"Unknown",IF(L1984&gt;=4,"Good",IF(L1984&lt;=2,"Poor","Neutral")))</f>
        <v>Poor</v>
      </c>
      <c r="R1984" s="11" t="str">
        <f aca="false">IF(AND(O1984="Low",P1984="Low",Q1984="Good"),"BUY / PRIORITIZE",IF(AND(O1984="High",P1984="High",OR(Q1984="Poor",M1984=TRUE())),"HOLD / REVIEW","MONITOR"))</f>
        <v>HOLD / REVIEW</v>
      </c>
      <c r="S1984" s="11" t="n">
        <f aca="false">K1984+(ROW()/10000000)</f>
        <v>34.0001984</v>
      </c>
    </row>
    <row r="1985" customFormat="false" ht="15" hidden="false" customHeight="false" outlineLevel="0" collapsed="false">
      <c r="A1985" s="11" t="s">
        <v>2341</v>
      </c>
      <c r="B1985" s="11" t="s">
        <v>8</v>
      </c>
      <c r="C1985" s="11" t="s">
        <v>95</v>
      </c>
      <c r="D1985" s="11" t="s">
        <v>34</v>
      </c>
      <c r="E1985" s="11"/>
      <c r="F1985" s="11" t="s">
        <v>124</v>
      </c>
      <c r="G1985" s="21" t="n">
        <v>44.49</v>
      </c>
      <c r="H1985" s="19" t="n">
        <v>0</v>
      </c>
      <c r="I1985" s="21" t="n">
        <v>44.49</v>
      </c>
      <c r="J1985" s="22" t="s">
        <v>436</v>
      </c>
      <c r="K1985" s="11" t="n">
        <v>34</v>
      </c>
      <c r="L1985" s="23" t="n">
        <v>2.1</v>
      </c>
      <c r="M1985" s="24" t="b">
        <f aca="false">FALSE()</f>
        <v>0</v>
      </c>
      <c r="N1985" s="11"/>
      <c r="O1985" s="11" t="str">
        <f aca="false">IF(K1985&lt;=StockP33,"Low",IF(K1985&lt;=StockP67,"Moderate","High"))</f>
        <v>High</v>
      </c>
      <c r="P1985" s="11" t="str">
        <f aca="false">IF(H1985=0,"Low",IF(H1985&lt;=MarkdownP75,"Moderate","High"))</f>
        <v>Low</v>
      </c>
      <c r="Q1985" s="11" t="str">
        <f aca="false">IF(ISBLANK(L1985),"Unknown",IF(L1985&gt;=4,"Good",IF(L1985&lt;=2,"Poor","Neutral")))</f>
        <v>Neutral</v>
      </c>
      <c r="R1985" s="11" t="str">
        <f aca="false">IF(AND(O1985="Low",P1985="Low",Q1985="Good"),"BUY / PRIORITIZE",IF(AND(O1985="High",P1985="High",OR(Q1985="Poor",M1985=TRUE())),"HOLD / REVIEW","MONITOR"))</f>
        <v>MONITOR</v>
      </c>
      <c r="S1985" s="11" t="n">
        <f aca="false">K1985+(ROW()/10000000)</f>
        <v>34.0001985</v>
      </c>
    </row>
    <row r="1986" customFormat="false" ht="15" hidden="false" customHeight="false" outlineLevel="0" collapsed="false">
      <c r="A1986" s="11" t="s">
        <v>2342</v>
      </c>
      <c r="B1986" s="11" t="s">
        <v>30</v>
      </c>
      <c r="C1986" s="11" t="s">
        <v>95</v>
      </c>
      <c r="D1986" s="11" t="s">
        <v>35</v>
      </c>
      <c r="E1986" s="11" t="s">
        <v>78</v>
      </c>
      <c r="F1986" s="11" t="s">
        <v>111</v>
      </c>
      <c r="G1986" s="21" t="n">
        <v>111.7</v>
      </c>
      <c r="H1986" s="19" t="n">
        <v>0</v>
      </c>
      <c r="I1986" s="21" t="n">
        <v>111.7</v>
      </c>
      <c r="J1986" s="22" t="s">
        <v>80</v>
      </c>
      <c r="K1986" s="11" t="n">
        <v>2</v>
      </c>
      <c r="L1986" s="23"/>
      <c r="M1986" s="24" t="b">
        <f aca="false">TRUE()</f>
        <v>1</v>
      </c>
      <c r="N1986" s="11" t="s">
        <v>128</v>
      </c>
      <c r="O1986" s="11" t="str">
        <f aca="false">IF(K1986&lt;=StockP33,"Low",IF(K1986&lt;=StockP67,"Moderate","High"))</f>
        <v>Low</v>
      </c>
      <c r="P1986" s="11" t="str">
        <f aca="false">IF(H1986=0,"Low",IF(H1986&lt;=MarkdownP75,"Moderate","High"))</f>
        <v>Low</v>
      </c>
      <c r="Q1986" s="11" t="str">
        <f aca="false">IF(ISBLANK(L1986),"Unknown",IF(L1986&gt;=4,"Good",IF(L1986&lt;=2,"Poor","Neutral")))</f>
        <v>Unknown</v>
      </c>
      <c r="R1986" s="11" t="str">
        <f aca="false">IF(AND(O1986="Low",P1986="Low",Q1986="Good"),"BUY / PRIORITIZE",IF(AND(O1986="High",P1986="High",OR(Q1986="Poor",M1986=TRUE())),"HOLD / REVIEW","MONITOR"))</f>
        <v>MONITOR</v>
      </c>
      <c r="S1986" s="11" t="n">
        <f aca="false">K1986+(ROW()/10000000)</f>
        <v>2.0001986</v>
      </c>
    </row>
    <row r="1987" customFormat="false" ht="15" hidden="false" customHeight="false" outlineLevel="0" collapsed="false">
      <c r="A1987" s="11" t="s">
        <v>2343</v>
      </c>
      <c r="B1987" s="11" t="s">
        <v>30</v>
      </c>
      <c r="C1987" s="11" t="s">
        <v>101</v>
      </c>
      <c r="D1987" s="11" t="s">
        <v>34</v>
      </c>
      <c r="E1987" s="11" t="s">
        <v>78</v>
      </c>
      <c r="F1987" s="11" t="s">
        <v>118</v>
      </c>
      <c r="G1987" s="21" t="n">
        <v>109.76</v>
      </c>
      <c r="H1987" s="19" t="n">
        <v>0</v>
      </c>
      <c r="I1987" s="21" t="n">
        <v>109.76</v>
      </c>
      <c r="J1987" s="22" t="s">
        <v>1487</v>
      </c>
      <c r="K1987" s="11" t="n">
        <v>23</v>
      </c>
      <c r="L1987" s="23" t="n">
        <v>2</v>
      </c>
      <c r="M1987" s="24" t="b">
        <f aca="false">TRUE()</f>
        <v>1</v>
      </c>
      <c r="N1987" s="11" t="s">
        <v>140</v>
      </c>
      <c r="O1987" s="11" t="str">
        <f aca="false">IF(K1987&lt;=StockP33,"Low",IF(K1987&lt;=StockP67,"Moderate","High"))</f>
        <v>Moderate</v>
      </c>
      <c r="P1987" s="11" t="str">
        <f aca="false">IF(H1987=0,"Low",IF(H1987&lt;=MarkdownP75,"Moderate","High"))</f>
        <v>Low</v>
      </c>
      <c r="Q1987" s="11" t="str">
        <f aca="false">IF(ISBLANK(L1987),"Unknown",IF(L1987&gt;=4,"Good",IF(L1987&lt;=2,"Poor","Neutral")))</f>
        <v>Poor</v>
      </c>
      <c r="R1987" s="11" t="str">
        <f aca="false">IF(AND(O1987="Low",P1987="Low",Q1987="Good"),"BUY / PRIORITIZE",IF(AND(O1987="High",P1987="High",OR(Q1987="Poor",M1987=TRUE())),"HOLD / REVIEW","MONITOR"))</f>
        <v>MONITOR</v>
      </c>
      <c r="S1987" s="11" t="n">
        <f aca="false">K1987+(ROW()/10000000)</f>
        <v>23.0001987</v>
      </c>
    </row>
    <row r="1988" customFormat="false" ht="15" hidden="false" customHeight="false" outlineLevel="0" collapsed="false">
      <c r="A1988" s="11" t="s">
        <v>2344</v>
      </c>
      <c r="B1988" s="11" t="s">
        <v>8</v>
      </c>
      <c r="C1988" s="11" t="s">
        <v>77</v>
      </c>
      <c r="D1988" s="11" t="s">
        <v>36</v>
      </c>
      <c r="E1988" s="11"/>
      <c r="F1988" s="11" t="s">
        <v>118</v>
      </c>
      <c r="G1988" s="21" t="n">
        <v>33</v>
      </c>
      <c r="H1988" s="19" t="n">
        <v>0</v>
      </c>
      <c r="I1988" s="21" t="n">
        <v>33</v>
      </c>
      <c r="J1988" s="22" t="s">
        <v>80</v>
      </c>
      <c r="K1988" s="11" t="n">
        <v>50</v>
      </c>
      <c r="L1988" s="23" t="n">
        <v>4</v>
      </c>
      <c r="M1988" s="24" t="b">
        <f aca="false">FALSE()</f>
        <v>0</v>
      </c>
      <c r="N1988" s="11"/>
      <c r="O1988" s="11" t="str">
        <f aca="false">IF(K1988&lt;=StockP33,"Low",IF(K1988&lt;=StockP67,"Moderate","High"))</f>
        <v>High</v>
      </c>
      <c r="P1988" s="11" t="str">
        <f aca="false">IF(H1988=0,"Low",IF(H1988&lt;=MarkdownP75,"Moderate","High"))</f>
        <v>Low</v>
      </c>
      <c r="Q1988" s="11" t="str">
        <f aca="false">IF(ISBLANK(L1988),"Unknown",IF(L1988&gt;=4,"Good",IF(L1988&lt;=2,"Poor","Neutral")))</f>
        <v>Good</v>
      </c>
      <c r="R1988" s="11" t="str">
        <f aca="false">IF(AND(O1988="Low",P1988="Low",Q1988="Good"),"BUY / PRIORITIZE",IF(AND(O1988="High",P1988="High",OR(Q1988="Poor",M1988=TRUE())),"HOLD / REVIEW","MONITOR"))</f>
        <v>MONITOR</v>
      </c>
      <c r="S1988" s="11" t="n">
        <f aca="false">K1988+(ROW()/10000000)</f>
        <v>50.0001988</v>
      </c>
    </row>
    <row r="1989" customFormat="false" ht="15" hidden="false" customHeight="false" outlineLevel="0" collapsed="false">
      <c r="A1989" s="11" t="s">
        <v>2345</v>
      </c>
      <c r="B1989" s="11" t="s">
        <v>29</v>
      </c>
      <c r="C1989" s="11" t="s">
        <v>107</v>
      </c>
      <c r="D1989" s="11" t="s">
        <v>37</v>
      </c>
      <c r="E1989" s="11" t="s">
        <v>113</v>
      </c>
      <c r="F1989" s="11" t="s">
        <v>98</v>
      </c>
      <c r="G1989" s="21" t="n">
        <v>150.65</v>
      </c>
      <c r="H1989" s="19" t="n">
        <v>8.9</v>
      </c>
      <c r="I1989" s="21" t="n">
        <v>137.24</v>
      </c>
      <c r="J1989" s="22" t="s">
        <v>80</v>
      </c>
      <c r="K1989" s="11" t="n">
        <v>43</v>
      </c>
      <c r="L1989" s="23" t="n">
        <v>3.4</v>
      </c>
      <c r="M1989" s="24" t="b">
        <f aca="false">FALSE()</f>
        <v>0</v>
      </c>
      <c r="N1989" s="11"/>
      <c r="O1989" s="11" t="str">
        <f aca="false">IF(K1989&lt;=StockP33,"Low",IF(K1989&lt;=StockP67,"Moderate","High"))</f>
        <v>High</v>
      </c>
      <c r="P1989" s="11" t="str">
        <f aca="false">IF(H1989=0,"Low",IF(H1989&lt;=MarkdownP75,"Moderate","High"))</f>
        <v>Moderate</v>
      </c>
      <c r="Q1989" s="11" t="str">
        <f aca="false">IF(ISBLANK(L1989),"Unknown",IF(L1989&gt;=4,"Good",IF(L1989&lt;=2,"Poor","Neutral")))</f>
        <v>Neutral</v>
      </c>
      <c r="R1989" s="11" t="str">
        <f aca="false">IF(AND(O1989="Low",P1989="Low",Q1989="Good"),"BUY / PRIORITIZE",IF(AND(O1989="High",P1989="High",OR(Q1989="Poor",M1989=TRUE())),"HOLD / REVIEW","MONITOR"))</f>
        <v>MONITOR</v>
      </c>
      <c r="S1989" s="11" t="n">
        <f aca="false">K1989+(ROW()/10000000)</f>
        <v>43.0001989</v>
      </c>
    </row>
    <row r="1990" customFormat="false" ht="15" hidden="false" customHeight="false" outlineLevel="0" collapsed="false">
      <c r="A1990" s="11" t="s">
        <v>2346</v>
      </c>
      <c r="B1990" s="11" t="s">
        <v>26</v>
      </c>
      <c r="C1990" s="11" t="s">
        <v>72</v>
      </c>
      <c r="D1990" s="11" t="s">
        <v>36</v>
      </c>
      <c r="E1990" s="11" t="s">
        <v>91</v>
      </c>
      <c r="F1990" s="11" t="s">
        <v>98</v>
      </c>
      <c r="G1990" s="21" t="n">
        <v>66.34</v>
      </c>
      <c r="H1990" s="19" t="n">
        <v>19</v>
      </c>
      <c r="I1990" s="21" t="n">
        <v>53.74</v>
      </c>
      <c r="J1990" s="22" t="s">
        <v>80</v>
      </c>
      <c r="K1990" s="11" t="n">
        <v>42</v>
      </c>
      <c r="L1990" s="23" t="n">
        <v>1.9</v>
      </c>
      <c r="M1990" s="24" t="b">
        <f aca="false">FALSE()</f>
        <v>0</v>
      </c>
      <c r="N1990" s="11"/>
      <c r="O1990" s="11" t="str">
        <f aca="false">IF(K1990&lt;=StockP33,"Low",IF(K1990&lt;=StockP67,"Moderate","High"))</f>
        <v>High</v>
      </c>
      <c r="P1990" s="11" t="str">
        <f aca="false">IF(H1990=0,"Low",IF(H1990&lt;=MarkdownP75,"Moderate","High"))</f>
        <v>Moderate</v>
      </c>
      <c r="Q1990" s="11" t="str">
        <f aca="false">IF(ISBLANK(L1990),"Unknown",IF(L1990&gt;=4,"Good",IF(L1990&lt;=2,"Poor","Neutral")))</f>
        <v>Poor</v>
      </c>
      <c r="R1990" s="11" t="str">
        <f aca="false">IF(AND(O1990="Low",P1990="Low",Q1990="Good"),"BUY / PRIORITIZE",IF(AND(O1990="High",P1990="High",OR(Q1990="Poor",M1990=TRUE())),"HOLD / REVIEW","MONITOR"))</f>
        <v>MONITOR</v>
      </c>
      <c r="S1990" s="11" t="n">
        <f aca="false">K1990+(ROW()/10000000)</f>
        <v>42.000199</v>
      </c>
    </row>
    <row r="1991" customFormat="false" ht="15" hidden="false" customHeight="false" outlineLevel="0" collapsed="false">
      <c r="A1991" s="11" t="s">
        <v>2347</v>
      </c>
      <c r="B1991" s="11" t="s">
        <v>26</v>
      </c>
      <c r="C1991" s="11" t="s">
        <v>116</v>
      </c>
      <c r="D1991" s="11" t="s">
        <v>34</v>
      </c>
      <c r="E1991" s="11" t="s">
        <v>113</v>
      </c>
      <c r="F1991" s="11" t="s">
        <v>79</v>
      </c>
      <c r="G1991" s="21" t="n">
        <v>27.89</v>
      </c>
      <c r="H1991" s="19" t="n">
        <v>17.4</v>
      </c>
      <c r="I1991" s="21" t="n">
        <v>23.04</v>
      </c>
      <c r="J1991" s="22" t="s">
        <v>247</v>
      </c>
      <c r="K1991" s="11" t="n">
        <v>43</v>
      </c>
      <c r="L1991" s="23" t="n">
        <v>2.1</v>
      </c>
      <c r="M1991" s="24" t="b">
        <f aca="false">FALSE()</f>
        <v>0</v>
      </c>
      <c r="N1991" s="11"/>
      <c r="O1991" s="11" t="str">
        <f aca="false">IF(K1991&lt;=StockP33,"Low",IF(K1991&lt;=StockP67,"Moderate","High"))</f>
        <v>High</v>
      </c>
      <c r="P1991" s="11" t="str">
        <f aca="false">IF(H1991=0,"Low",IF(H1991&lt;=MarkdownP75,"Moderate","High"))</f>
        <v>Moderate</v>
      </c>
      <c r="Q1991" s="11" t="str">
        <f aca="false">IF(ISBLANK(L1991),"Unknown",IF(L1991&gt;=4,"Good",IF(L1991&lt;=2,"Poor","Neutral")))</f>
        <v>Neutral</v>
      </c>
      <c r="R1991" s="11" t="str">
        <f aca="false">IF(AND(O1991="Low",P1991="Low",Q1991="Good"),"BUY / PRIORITIZE",IF(AND(O1991="High",P1991="High",OR(Q1991="Poor",M1991=TRUE())),"HOLD / REVIEW","MONITOR"))</f>
        <v>MONITOR</v>
      </c>
      <c r="S1991" s="11" t="n">
        <f aca="false">K1991+(ROW()/10000000)</f>
        <v>43.0001991</v>
      </c>
    </row>
    <row r="1992" customFormat="false" ht="15" hidden="false" customHeight="false" outlineLevel="0" collapsed="false">
      <c r="A1992" s="11" t="s">
        <v>2348</v>
      </c>
      <c r="B1992" s="11" t="s">
        <v>8</v>
      </c>
      <c r="C1992" s="11" t="s">
        <v>77</v>
      </c>
      <c r="D1992" s="11" t="s">
        <v>35</v>
      </c>
      <c r="E1992" s="11"/>
      <c r="F1992" s="11" t="s">
        <v>92</v>
      </c>
      <c r="G1992" s="21" t="n">
        <v>60.18</v>
      </c>
      <c r="H1992" s="19" t="n">
        <v>0</v>
      </c>
      <c r="I1992" s="21" t="n">
        <v>60.18</v>
      </c>
      <c r="J1992" s="22" t="s">
        <v>80</v>
      </c>
      <c r="K1992" s="11" t="n">
        <v>36</v>
      </c>
      <c r="L1992" s="23" t="n">
        <v>1.4</v>
      </c>
      <c r="M1992" s="24" t="b">
        <f aca="false">FALSE()</f>
        <v>0</v>
      </c>
      <c r="N1992" s="11"/>
      <c r="O1992" s="11" t="str">
        <f aca="false">IF(K1992&lt;=StockP33,"Low",IF(K1992&lt;=StockP67,"Moderate","High"))</f>
        <v>High</v>
      </c>
      <c r="P1992" s="11" t="str">
        <f aca="false">IF(H1992=0,"Low",IF(H1992&lt;=MarkdownP75,"Moderate","High"))</f>
        <v>Low</v>
      </c>
      <c r="Q1992" s="11" t="str">
        <f aca="false">IF(ISBLANK(L1992),"Unknown",IF(L1992&gt;=4,"Good",IF(L1992&lt;=2,"Poor","Neutral")))</f>
        <v>Poor</v>
      </c>
      <c r="R1992" s="11" t="str">
        <f aca="false">IF(AND(O1992="Low",P1992="Low",Q1992="Good"),"BUY / PRIORITIZE",IF(AND(O1992="High",P1992="High",OR(Q1992="Poor",M1992=TRUE())),"HOLD / REVIEW","MONITOR"))</f>
        <v>MONITOR</v>
      </c>
      <c r="S1992" s="11" t="n">
        <f aca="false">K1992+(ROW()/10000000)</f>
        <v>36.0001992</v>
      </c>
    </row>
    <row r="1993" customFormat="false" ht="15" hidden="false" customHeight="false" outlineLevel="0" collapsed="false">
      <c r="A1993" s="11" t="s">
        <v>2349</v>
      </c>
      <c r="B1993" s="11" t="s">
        <v>30</v>
      </c>
      <c r="C1993" s="11" t="s">
        <v>72</v>
      </c>
      <c r="D1993" s="11" t="s">
        <v>36</v>
      </c>
      <c r="E1993" s="11" t="s">
        <v>73</v>
      </c>
      <c r="F1993" s="11" t="s">
        <v>74</v>
      </c>
      <c r="G1993" s="21" t="n">
        <v>54.26</v>
      </c>
      <c r="H1993" s="19" t="n">
        <v>18.4</v>
      </c>
      <c r="I1993" s="21" t="n">
        <v>44.28</v>
      </c>
      <c r="J1993" s="22" t="s">
        <v>80</v>
      </c>
      <c r="K1993" s="11" t="n">
        <v>29</v>
      </c>
      <c r="L1993" s="23" t="n">
        <v>2.6</v>
      </c>
      <c r="M1993" s="24" t="b">
        <f aca="false">FALSE()</f>
        <v>0</v>
      </c>
      <c r="N1993" s="11"/>
      <c r="O1993" s="11" t="str">
        <f aca="false">IF(K1993&lt;=StockP33,"Low",IF(K1993&lt;=StockP67,"Moderate","High"))</f>
        <v>Moderate</v>
      </c>
      <c r="P1993" s="11" t="str">
        <f aca="false">IF(H1993=0,"Low",IF(H1993&lt;=MarkdownP75,"Moderate","High"))</f>
        <v>Moderate</v>
      </c>
      <c r="Q1993" s="11" t="str">
        <f aca="false">IF(ISBLANK(L1993),"Unknown",IF(L1993&gt;=4,"Good",IF(L1993&lt;=2,"Poor","Neutral")))</f>
        <v>Neutral</v>
      </c>
      <c r="R1993" s="11" t="str">
        <f aca="false">IF(AND(O1993="Low",P1993="Low",Q1993="Good"),"BUY / PRIORITIZE",IF(AND(O1993="High",P1993="High",OR(Q1993="Poor",M1993=TRUE())),"HOLD / REVIEW","MONITOR"))</f>
        <v>MONITOR</v>
      </c>
      <c r="S1993" s="11" t="n">
        <f aca="false">K1993+(ROW()/10000000)</f>
        <v>29.0001993</v>
      </c>
    </row>
    <row r="1994" customFormat="false" ht="15" hidden="false" customHeight="false" outlineLevel="0" collapsed="false">
      <c r="A1994" s="11" t="s">
        <v>2350</v>
      </c>
      <c r="B1994" s="11" t="s">
        <v>29</v>
      </c>
      <c r="C1994" s="11" t="s">
        <v>77</v>
      </c>
      <c r="D1994" s="11" t="s">
        <v>34</v>
      </c>
      <c r="E1994" s="11" t="s">
        <v>91</v>
      </c>
      <c r="F1994" s="11" t="s">
        <v>74</v>
      </c>
      <c r="G1994" s="21" t="n">
        <v>78.44</v>
      </c>
      <c r="H1994" s="19" t="n">
        <v>0</v>
      </c>
      <c r="I1994" s="21" t="n">
        <v>78.44</v>
      </c>
      <c r="J1994" s="22" t="s">
        <v>2351</v>
      </c>
      <c r="K1994" s="11" t="n">
        <v>42</v>
      </c>
      <c r="L1994" s="23"/>
      <c r="M1994" s="24" t="b">
        <f aca="false">TRUE()</f>
        <v>1</v>
      </c>
      <c r="N1994" s="11" t="s">
        <v>140</v>
      </c>
      <c r="O1994" s="11" t="str">
        <f aca="false">IF(K1994&lt;=StockP33,"Low",IF(K1994&lt;=StockP67,"Moderate","High"))</f>
        <v>High</v>
      </c>
      <c r="P1994" s="11" t="str">
        <f aca="false">IF(H1994=0,"Low",IF(H1994&lt;=MarkdownP75,"Moderate","High"))</f>
        <v>Low</v>
      </c>
      <c r="Q1994" s="11" t="str">
        <f aca="false">IF(ISBLANK(L1994),"Unknown",IF(L1994&gt;=4,"Good",IF(L1994&lt;=2,"Poor","Neutral")))</f>
        <v>Unknown</v>
      </c>
      <c r="R1994" s="11" t="str">
        <f aca="false">IF(AND(O1994="Low",P1994="Low",Q1994="Good"),"BUY / PRIORITIZE",IF(AND(O1994="High",P1994="High",OR(Q1994="Poor",M1994=TRUE())),"HOLD / REVIEW","MONITOR"))</f>
        <v>MONITOR</v>
      </c>
      <c r="S1994" s="11" t="n">
        <f aca="false">K1994+(ROW()/10000000)</f>
        <v>42.0001994</v>
      </c>
    </row>
    <row r="1995" customFormat="false" ht="15" hidden="false" customHeight="false" outlineLevel="0" collapsed="false">
      <c r="A1995" s="11" t="s">
        <v>2352</v>
      </c>
      <c r="B1995" s="11" t="s">
        <v>28</v>
      </c>
      <c r="C1995" s="11" t="s">
        <v>101</v>
      </c>
      <c r="D1995" s="11" t="s">
        <v>36</v>
      </c>
      <c r="E1995" s="11" t="s">
        <v>110</v>
      </c>
      <c r="F1995" s="11" t="s">
        <v>82</v>
      </c>
      <c r="G1995" s="21" t="n">
        <v>183.05</v>
      </c>
      <c r="H1995" s="19" t="n">
        <v>0</v>
      </c>
      <c r="I1995" s="21" t="n">
        <v>183.05</v>
      </c>
      <c r="J1995" s="22" t="s">
        <v>80</v>
      </c>
      <c r="K1995" s="11" t="n">
        <v>4</v>
      </c>
      <c r="L1995" s="23" t="n">
        <v>4.6</v>
      </c>
      <c r="M1995" s="24" t="b">
        <f aca="false">FALSE()</f>
        <v>0</v>
      </c>
      <c r="N1995" s="11"/>
      <c r="O1995" s="11" t="str">
        <f aca="false">IF(K1995&lt;=StockP33,"Low",IF(K1995&lt;=StockP67,"Moderate","High"))</f>
        <v>Low</v>
      </c>
      <c r="P1995" s="11" t="str">
        <f aca="false">IF(H1995=0,"Low",IF(H1995&lt;=MarkdownP75,"Moderate","High"))</f>
        <v>Low</v>
      </c>
      <c r="Q1995" s="11" t="str">
        <f aca="false">IF(ISBLANK(L1995),"Unknown",IF(L1995&gt;=4,"Good",IF(L1995&lt;=2,"Poor","Neutral")))</f>
        <v>Good</v>
      </c>
      <c r="R1995" s="11" t="str">
        <f aca="false">IF(AND(O1995="Low",P1995="Low",Q1995="Good"),"BUY / PRIORITIZE",IF(AND(O1995="High",P1995="High",OR(Q1995="Poor",M1995=TRUE())),"HOLD / REVIEW","MONITOR"))</f>
        <v>BUY / PRIORITIZE</v>
      </c>
      <c r="S1995" s="11" t="n">
        <f aca="false">K1995+(ROW()/10000000)</f>
        <v>4.0001995</v>
      </c>
    </row>
    <row r="1996" customFormat="false" ht="15" hidden="false" customHeight="false" outlineLevel="0" collapsed="false">
      <c r="A1996" s="11" t="s">
        <v>2353</v>
      </c>
      <c r="B1996" s="11" t="s">
        <v>29</v>
      </c>
      <c r="C1996" s="11" t="s">
        <v>77</v>
      </c>
      <c r="D1996" s="11" t="s">
        <v>34</v>
      </c>
      <c r="E1996" s="11" t="s">
        <v>113</v>
      </c>
      <c r="F1996" s="11" t="s">
        <v>92</v>
      </c>
      <c r="G1996" s="21" t="n">
        <v>76.3</v>
      </c>
      <c r="H1996" s="19" t="n">
        <v>0</v>
      </c>
      <c r="I1996" s="21" t="n">
        <v>76.3</v>
      </c>
      <c r="J1996" s="22" t="s">
        <v>665</v>
      </c>
      <c r="K1996" s="11" t="n">
        <v>35</v>
      </c>
      <c r="L1996" s="23" t="n">
        <v>2.6</v>
      </c>
      <c r="M1996" s="24" t="b">
        <f aca="false">FALSE()</f>
        <v>0</v>
      </c>
      <c r="N1996" s="11"/>
      <c r="O1996" s="11" t="str">
        <f aca="false">IF(K1996&lt;=StockP33,"Low",IF(K1996&lt;=StockP67,"Moderate","High"))</f>
        <v>High</v>
      </c>
      <c r="P1996" s="11" t="str">
        <f aca="false">IF(H1996=0,"Low",IF(H1996&lt;=MarkdownP75,"Moderate","High"))</f>
        <v>Low</v>
      </c>
      <c r="Q1996" s="11" t="str">
        <f aca="false">IF(ISBLANK(L1996),"Unknown",IF(L1996&gt;=4,"Good",IF(L1996&lt;=2,"Poor","Neutral")))</f>
        <v>Neutral</v>
      </c>
      <c r="R1996" s="11" t="str">
        <f aca="false">IF(AND(O1996="Low",P1996="Low",Q1996="Good"),"BUY / PRIORITIZE",IF(AND(O1996="High",P1996="High",OR(Q1996="Poor",M1996=TRUE())),"HOLD / REVIEW","MONITOR"))</f>
        <v>MONITOR</v>
      </c>
      <c r="S1996" s="11" t="n">
        <f aca="false">K1996+(ROW()/10000000)</f>
        <v>35.0001996</v>
      </c>
    </row>
    <row r="1997" customFormat="false" ht="15" hidden="false" customHeight="false" outlineLevel="0" collapsed="false">
      <c r="A1997" s="11" t="s">
        <v>2354</v>
      </c>
      <c r="B1997" s="11" t="s">
        <v>30</v>
      </c>
      <c r="C1997" s="11" t="s">
        <v>72</v>
      </c>
      <c r="D1997" s="11" t="s">
        <v>34</v>
      </c>
      <c r="E1997" s="11" t="s">
        <v>110</v>
      </c>
      <c r="F1997" s="11" t="s">
        <v>120</v>
      </c>
      <c r="G1997" s="21" t="n">
        <v>84.21</v>
      </c>
      <c r="H1997" s="19" t="n">
        <v>0</v>
      </c>
      <c r="I1997" s="21" t="n">
        <v>84.21</v>
      </c>
      <c r="J1997" s="22" t="s">
        <v>2355</v>
      </c>
      <c r="K1997" s="11" t="n">
        <v>43</v>
      </c>
      <c r="L1997" s="23" t="n">
        <v>3.4</v>
      </c>
      <c r="M1997" s="24" t="b">
        <f aca="false">FALSE()</f>
        <v>0</v>
      </c>
      <c r="N1997" s="11"/>
      <c r="O1997" s="11" t="str">
        <f aca="false">IF(K1997&lt;=StockP33,"Low",IF(K1997&lt;=StockP67,"Moderate","High"))</f>
        <v>High</v>
      </c>
      <c r="P1997" s="11" t="str">
        <f aca="false">IF(H1997=0,"Low",IF(H1997&lt;=MarkdownP75,"Moderate","High"))</f>
        <v>Low</v>
      </c>
      <c r="Q1997" s="11" t="str">
        <f aca="false">IF(ISBLANK(L1997),"Unknown",IF(L1997&gt;=4,"Good",IF(L1997&lt;=2,"Poor","Neutral")))</f>
        <v>Neutral</v>
      </c>
      <c r="R1997" s="11" t="str">
        <f aca="false">IF(AND(O1997="Low",P1997="Low",Q1997="Good"),"BUY / PRIORITIZE",IF(AND(O1997="High",P1997="High",OR(Q1997="Poor",M1997=TRUE())),"HOLD / REVIEW","MONITOR"))</f>
        <v>MONITOR</v>
      </c>
      <c r="S1997" s="11" t="n">
        <f aca="false">K1997+(ROW()/10000000)</f>
        <v>43.0001997</v>
      </c>
    </row>
    <row r="1998" customFormat="false" ht="15" hidden="false" customHeight="false" outlineLevel="0" collapsed="false">
      <c r="A1998" s="11" t="s">
        <v>2356</v>
      </c>
      <c r="B1998" s="11" t="s">
        <v>8</v>
      </c>
      <c r="C1998" s="11" t="s">
        <v>107</v>
      </c>
      <c r="D1998" s="11" t="s">
        <v>34</v>
      </c>
      <c r="E1998" s="11"/>
      <c r="F1998" s="11" t="s">
        <v>92</v>
      </c>
      <c r="G1998" s="21" t="n">
        <v>77.34</v>
      </c>
      <c r="H1998" s="19" t="n">
        <v>0</v>
      </c>
      <c r="I1998" s="21" t="n">
        <v>77.34</v>
      </c>
      <c r="J1998" s="22" t="s">
        <v>2357</v>
      </c>
      <c r="K1998" s="11" t="n">
        <v>27</v>
      </c>
      <c r="L1998" s="23"/>
      <c r="M1998" s="24" t="b">
        <f aca="false">FALSE()</f>
        <v>0</v>
      </c>
      <c r="N1998" s="11"/>
      <c r="O1998" s="11" t="str">
        <f aca="false">IF(K1998&lt;=StockP33,"Low",IF(K1998&lt;=StockP67,"Moderate","High"))</f>
        <v>Moderate</v>
      </c>
      <c r="P1998" s="11" t="str">
        <f aca="false">IF(H1998=0,"Low",IF(H1998&lt;=MarkdownP75,"Moderate","High"))</f>
        <v>Low</v>
      </c>
      <c r="Q1998" s="11" t="str">
        <f aca="false">IF(ISBLANK(L1998),"Unknown",IF(L1998&gt;=4,"Good",IF(L1998&lt;=2,"Poor","Neutral")))</f>
        <v>Unknown</v>
      </c>
      <c r="R1998" s="11" t="str">
        <f aca="false">IF(AND(O1998="Low",P1998="Low",Q1998="Good"),"BUY / PRIORITIZE",IF(AND(O1998="High",P1998="High",OR(Q1998="Poor",M1998=TRUE())),"HOLD / REVIEW","MONITOR"))</f>
        <v>MONITOR</v>
      </c>
      <c r="S1998" s="11" t="n">
        <f aca="false">K1998+(ROW()/10000000)</f>
        <v>27.0001998</v>
      </c>
    </row>
    <row r="1999" customFormat="false" ht="15" hidden="false" customHeight="false" outlineLevel="0" collapsed="false">
      <c r="A1999" s="11" t="s">
        <v>2358</v>
      </c>
      <c r="B1999" s="11" t="s">
        <v>27</v>
      </c>
      <c r="C1999" s="11" t="s">
        <v>72</v>
      </c>
      <c r="D1999" s="11" t="s">
        <v>34</v>
      </c>
      <c r="E1999" s="11" t="s">
        <v>91</v>
      </c>
      <c r="F1999" s="11" t="s">
        <v>118</v>
      </c>
      <c r="G1999" s="21" t="n">
        <v>122.82</v>
      </c>
      <c r="H1999" s="19" t="n">
        <v>45.4</v>
      </c>
      <c r="I1999" s="21" t="n">
        <v>67.06</v>
      </c>
      <c r="J1999" s="22" t="s">
        <v>2359</v>
      </c>
      <c r="K1999" s="11" t="n">
        <v>9</v>
      </c>
      <c r="L1999" s="23" t="n">
        <v>3.1</v>
      </c>
      <c r="M1999" s="24" t="b">
        <f aca="false">FALSE()</f>
        <v>0</v>
      </c>
      <c r="N1999" s="11"/>
      <c r="O1999" s="11" t="str">
        <f aca="false">IF(K1999&lt;=StockP33,"Low",IF(K1999&lt;=StockP67,"Moderate","High"))</f>
        <v>Low</v>
      </c>
      <c r="P1999" s="11" t="str">
        <f aca="false">IF(H1999=0,"Low",IF(H1999&lt;=MarkdownP75,"Moderate","High"))</f>
        <v>High</v>
      </c>
      <c r="Q1999" s="11" t="str">
        <f aca="false">IF(ISBLANK(L1999),"Unknown",IF(L1999&gt;=4,"Good",IF(L1999&lt;=2,"Poor","Neutral")))</f>
        <v>Neutral</v>
      </c>
      <c r="R1999" s="11" t="str">
        <f aca="false">IF(AND(O1999="Low",P1999="Low",Q1999="Good"),"BUY / PRIORITIZE",IF(AND(O1999="High",P1999="High",OR(Q1999="Poor",M1999=TRUE())),"HOLD / REVIEW","MONITOR"))</f>
        <v>MONITOR</v>
      </c>
      <c r="S1999" s="11" t="n">
        <f aca="false">K1999+(ROW()/10000000)</f>
        <v>9.0001999</v>
      </c>
    </row>
    <row r="2000" customFormat="false" ht="15" hidden="false" customHeight="false" outlineLevel="0" collapsed="false">
      <c r="A2000" s="11" t="s">
        <v>2360</v>
      </c>
      <c r="B2000" s="11" t="s">
        <v>27</v>
      </c>
      <c r="C2000" s="11" t="s">
        <v>95</v>
      </c>
      <c r="D2000" s="11" t="s">
        <v>37</v>
      </c>
      <c r="E2000" s="11" t="s">
        <v>102</v>
      </c>
      <c r="F2000" s="11" t="s">
        <v>96</v>
      </c>
      <c r="G2000" s="21" t="n">
        <v>103.85</v>
      </c>
      <c r="H2000" s="19" t="n">
        <v>0</v>
      </c>
      <c r="I2000" s="21" t="n">
        <v>103.85</v>
      </c>
      <c r="J2000" s="22" t="s">
        <v>80</v>
      </c>
      <c r="K2000" s="11" t="n">
        <v>26</v>
      </c>
      <c r="L2000" s="23" t="n">
        <v>3.1</v>
      </c>
      <c r="M2000" s="24" t="b">
        <f aca="false">FALSE()</f>
        <v>0</v>
      </c>
      <c r="N2000" s="11"/>
      <c r="O2000" s="11" t="str">
        <f aca="false">IF(K2000&lt;=StockP33,"Low",IF(K2000&lt;=StockP67,"Moderate","High"))</f>
        <v>Moderate</v>
      </c>
      <c r="P2000" s="11" t="str">
        <f aca="false">IF(H2000=0,"Low",IF(H2000&lt;=MarkdownP75,"Moderate","High"))</f>
        <v>Low</v>
      </c>
      <c r="Q2000" s="11" t="str">
        <f aca="false">IF(ISBLANK(L2000),"Unknown",IF(L2000&gt;=4,"Good",IF(L2000&lt;=2,"Poor","Neutral")))</f>
        <v>Neutral</v>
      </c>
      <c r="R2000" s="11" t="str">
        <f aca="false">IF(AND(O2000="Low",P2000="Low",Q2000="Good"),"BUY / PRIORITIZE",IF(AND(O2000="High",P2000="High",OR(Q2000="Poor",M2000=TRUE())),"HOLD / REVIEW","MONITOR"))</f>
        <v>MONITOR</v>
      </c>
      <c r="S2000" s="11" t="n">
        <f aca="false">K2000+(ROW()/10000000)</f>
        <v>26.0002</v>
      </c>
    </row>
    <row r="2001" customFormat="false" ht="15" hidden="false" customHeight="false" outlineLevel="0" collapsed="false">
      <c r="A2001" s="11" t="s">
        <v>2361</v>
      </c>
      <c r="B2001" s="11" t="s">
        <v>26</v>
      </c>
      <c r="C2001" s="11" t="s">
        <v>101</v>
      </c>
      <c r="D2001" s="11" t="s">
        <v>36</v>
      </c>
      <c r="E2001" s="11" t="s">
        <v>102</v>
      </c>
      <c r="F2001" s="11" t="s">
        <v>74</v>
      </c>
      <c r="G2001" s="21" t="n">
        <v>117.73</v>
      </c>
      <c r="H2001" s="19" t="n">
        <v>41.3</v>
      </c>
      <c r="I2001" s="21" t="n">
        <v>69.11</v>
      </c>
      <c r="J2001" s="22" t="s">
        <v>80</v>
      </c>
      <c r="K2001" s="11" t="n">
        <v>8</v>
      </c>
      <c r="L2001" s="23"/>
      <c r="M2001" s="24" t="b">
        <f aca="false">FALSE()</f>
        <v>0</v>
      </c>
      <c r="N2001" s="11"/>
      <c r="O2001" s="11" t="str">
        <f aca="false">IF(K2001&lt;=StockP33,"Low",IF(K2001&lt;=StockP67,"Moderate","High"))</f>
        <v>Low</v>
      </c>
      <c r="P2001" s="11" t="str">
        <f aca="false">IF(H2001=0,"Low",IF(H2001&lt;=MarkdownP75,"Moderate","High"))</f>
        <v>High</v>
      </c>
      <c r="Q2001" s="11" t="str">
        <f aca="false">IF(ISBLANK(L2001),"Unknown",IF(L2001&gt;=4,"Good",IF(L2001&lt;=2,"Poor","Neutral")))</f>
        <v>Unknown</v>
      </c>
      <c r="R2001" s="11" t="str">
        <f aca="false">IF(AND(O2001="Low",P2001="Low",Q2001="Good"),"BUY / PRIORITIZE",IF(AND(O2001="High",P2001="High",OR(Q2001="Poor",M2001=TRUE())),"HOLD / REVIEW","MONITOR"))</f>
        <v>MONITOR</v>
      </c>
      <c r="S2001" s="11" t="n">
        <f aca="false">K2001+(ROW()/10000000)</f>
        <v>8.0002001</v>
      </c>
    </row>
    <row r="2002" customFormat="false" ht="15" hidden="false" customHeight="false" outlineLevel="0" collapsed="false">
      <c r="A2002" s="11" t="s">
        <v>2362</v>
      </c>
      <c r="B2002" s="11" t="s">
        <v>27</v>
      </c>
      <c r="C2002" s="11" t="s">
        <v>130</v>
      </c>
      <c r="D2002" s="11" t="s">
        <v>36</v>
      </c>
      <c r="E2002" s="11" t="s">
        <v>73</v>
      </c>
      <c r="F2002" s="11" t="s">
        <v>98</v>
      </c>
      <c r="G2002" s="21" t="n">
        <v>115.98</v>
      </c>
      <c r="H2002" s="19" t="n">
        <v>0</v>
      </c>
      <c r="I2002" s="21" t="n">
        <v>115.98</v>
      </c>
      <c r="J2002" s="22" t="s">
        <v>80</v>
      </c>
      <c r="K2002" s="11" t="n">
        <v>42</v>
      </c>
      <c r="L2002" s="23" t="n">
        <v>3.7</v>
      </c>
      <c r="M2002" s="24" t="b">
        <f aca="false">FALSE()</f>
        <v>0</v>
      </c>
      <c r="N2002" s="11"/>
      <c r="O2002" s="11" t="str">
        <f aca="false">IF(K2002&lt;=StockP33,"Low",IF(K2002&lt;=StockP67,"Moderate","High"))</f>
        <v>High</v>
      </c>
      <c r="P2002" s="11" t="str">
        <f aca="false">IF(H2002=0,"Low",IF(H2002&lt;=MarkdownP75,"Moderate","High"))</f>
        <v>Low</v>
      </c>
      <c r="Q2002" s="11" t="str">
        <f aca="false">IF(ISBLANK(L2002),"Unknown",IF(L2002&gt;=4,"Good",IF(L2002&lt;=2,"Poor","Neutral")))</f>
        <v>Neutral</v>
      </c>
      <c r="R2002" s="11" t="str">
        <f aca="false">IF(AND(O2002="Low",P2002="Low",Q2002="Good"),"BUY / PRIORITIZE",IF(AND(O2002="High",P2002="High",OR(Q2002="Poor",M2002=TRUE())),"HOLD / REVIEW","MONITOR"))</f>
        <v>MONITOR</v>
      </c>
      <c r="S2002" s="11" t="n">
        <f aca="false">K2002+(ROW()/10000000)</f>
        <v>42.0002002</v>
      </c>
    </row>
    <row r="2003" customFormat="false" ht="15" hidden="false" customHeight="false" outlineLevel="0" collapsed="false">
      <c r="A2003" s="11" t="s">
        <v>2363</v>
      </c>
      <c r="B2003" s="11" t="s">
        <v>27</v>
      </c>
      <c r="C2003" s="11" t="s">
        <v>72</v>
      </c>
      <c r="D2003" s="11" t="s">
        <v>36</v>
      </c>
      <c r="E2003" s="11" t="s">
        <v>78</v>
      </c>
      <c r="F2003" s="11" t="s">
        <v>118</v>
      </c>
      <c r="G2003" s="21" t="n">
        <v>175.43</v>
      </c>
      <c r="H2003" s="19" t="n">
        <v>0</v>
      </c>
      <c r="I2003" s="21" t="n">
        <v>175.43</v>
      </c>
      <c r="J2003" s="22" t="s">
        <v>80</v>
      </c>
      <c r="K2003" s="11" t="n">
        <v>3</v>
      </c>
      <c r="L2003" s="23" t="n">
        <v>1.8</v>
      </c>
      <c r="M2003" s="24" t="b">
        <f aca="false">TRUE()</f>
        <v>1</v>
      </c>
      <c r="N2003" s="11" t="s">
        <v>89</v>
      </c>
      <c r="O2003" s="11" t="str">
        <f aca="false">IF(K2003&lt;=StockP33,"Low",IF(K2003&lt;=StockP67,"Moderate","High"))</f>
        <v>Low</v>
      </c>
      <c r="P2003" s="11" t="str">
        <f aca="false">IF(H2003=0,"Low",IF(H2003&lt;=MarkdownP75,"Moderate","High"))</f>
        <v>Low</v>
      </c>
      <c r="Q2003" s="11" t="str">
        <f aca="false">IF(ISBLANK(L2003),"Unknown",IF(L2003&gt;=4,"Good",IF(L2003&lt;=2,"Poor","Neutral")))</f>
        <v>Poor</v>
      </c>
      <c r="R2003" s="11" t="str">
        <f aca="false">IF(AND(O2003="Low",P2003="Low",Q2003="Good"),"BUY / PRIORITIZE",IF(AND(O2003="High",P2003="High",OR(Q2003="Poor",M2003=TRUE())),"HOLD / REVIEW","MONITOR"))</f>
        <v>MONITOR</v>
      </c>
      <c r="S2003" s="11" t="n">
        <f aca="false">K2003+(ROW()/10000000)</f>
        <v>3.0002003</v>
      </c>
    </row>
    <row r="2004" customFormat="false" ht="15" hidden="false" customHeight="false" outlineLevel="0" collapsed="false">
      <c r="A2004" s="11" t="s">
        <v>2364</v>
      </c>
      <c r="B2004" s="11" t="s">
        <v>28</v>
      </c>
      <c r="C2004" s="11" t="s">
        <v>116</v>
      </c>
      <c r="D2004" s="11" t="s">
        <v>34</v>
      </c>
      <c r="E2004" s="11" t="s">
        <v>91</v>
      </c>
      <c r="F2004" s="11" t="s">
        <v>98</v>
      </c>
      <c r="G2004" s="21" t="n">
        <v>162.81</v>
      </c>
      <c r="H2004" s="19" t="n">
        <v>0</v>
      </c>
      <c r="I2004" s="21" t="n">
        <v>162.81</v>
      </c>
      <c r="J2004" s="22" t="s">
        <v>2357</v>
      </c>
      <c r="K2004" s="11" t="n">
        <v>40</v>
      </c>
      <c r="L2004" s="23" t="n">
        <v>2.1</v>
      </c>
      <c r="M2004" s="24" t="b">
        <f aca="false">FALSE()</f>
        <v>0</v>
      </c>
      <c r="N2004" s="11"/>
      <c r="O2004" s="11" t="str">
        <f aca="false">IF(K2004&lt;=StockP33,"Low",IF(K2004&lt;=StockP67,"Moderate","High"))</f>
        <v>High</v>
      </c>
      <c r="P2004" s="11" t="str">
        <f aca="false">IF(H2004=0,"Low",IF(H2004&lt;=MarkdownP75,"Moderate","High"))</f>
        <v>Low</v>
      </c>
      <c r="Q2004" s="11" t="str">
        <f aca="false">IF(ISBLANK(L2004),"Unknown",IF(L2004&gt;=4,"Good",IF(L2004&lt;=2,"Poor","Neutral")))</f>
        <v>Neutral</v>
      </c>
      <c r="R2004" s="11" t="str">
        <f aca="false">IF(AND(O2004="Low",P2004="Low",Q2004="Good"),"BUY / PRIORITIZE",IF(AND(O2004="High",P2004="High",OR(Q2004="Poor",M2004=TRUE())),"HOLD / REVIEW","MONITOR"))</f>
        <v>MONITOR</v>
      </c>
      <c r="S2004" s="11" t="n">
        <f aca="false">K2004+(ROW()/10000000)</f>
        <v>40.0002004</v>
      </c>
    </row>
    <row r="2005" customFormat="false" ht="15" hidden="false" customHeight="false" outlineLevel="0" collapsed="false">
      <c r="A2005" s="11" t="s">
        <v>2365</v>
      </c>
      <c r="B2005" s="11" t="s">
        <v>27</v>
      </c>
      <c r="C2005" s="11" t="s">
        <v>77</v>
      </c>
      <c r="D2005" s="11" t="s">
        <v>34</v>
      </c>
      <c r="E2005" s="11" t="s">
        <v>78</v>
      </c>
      <c r="F2005" s="11" t="s">
        <v>120</v>
      </c>
      <c r="G2005" s="21" t="n">
        <v>146.68</v>
      </c>
      <c r="H2005" s="19" t="n">
        <v>0</v>
      </c>
      <c r="I2005" s="21" t="n">
        <v>146.68</v>
      </c>
      <c r="J2005" s="22" t="s">
        <v>702</v>
      </c>
      <c r="K2005" s="11" t="n">
        <v>8</v>
      </c>
      <c r="L2005" s="23"/>
      <c r="M2005" s="24" t="b">
        <f aca="false">FALSE()</f>
        <v>0</v>
      </c>
      <c r="N2005" s="11"/>
      <c r="O2005" s="11" t="str">
        <f aca="false">IF(K2005&lt;=StockP33,"Low",IF(K2005&lt;=StockP67,"Moderate","High"))</f>
        <v>Low</v>
      </c>
      <c r="P2005" s="11" t="str">
        <f aca="false">IF(H2005=0,"Low",IF(H2005&lt;=MarkdownP75,"Moderate","High"))</f>
        <v>Low</v>
      </c>
      <c r="Q2005" s="11" t="str">
        <f aca="false">IF(ISBLANK(L2005),"Unknown",IF(L2005&gt;=4,"Good",IF(L2005&lt;=2,"Poor","Neutral")))</f>
        <v>Unknown</v>
      </c>
      <c r="R2005" s="11" t="str">
        <f aca="false">IF(AND(O2005="Low",P2005="Low",Q2005="Good"),"BUY / PRIORITIZE",IF(AND(O2005="High",P2005="High",OR(Q2005="Poor",M2005=TRUE())),"HOLD / REVIEW","MONITOR"))</f>
        <v>MONITOR</v>
      </c>
      <c r="S2005" s="11" t="n">
        <f aca="false">K2005+(ROW()/10000000)</f>
        <v>8.0002005</v>
      </c>
    </row>
    <row r="2006" customFormat="false" ht="15" hidden="false" customHeight="false" outlineLevel="0" collapsed="false">
      <c r="A2006" s="11" t="s">
        <v>2366</v>
      </c>
      <c r="B2006" s="11" t="s">
        <v>27</v>
      </c>
      <c r="C2006" s="11" t="s">
        <v>101</v>
      </c>
      <c r="D2006" s="11" t="s">
        <v>36</v>
      </c>
      <c r="E2006" s="11" t="s">
        <v>78</v>
      </c>
      <c r="F2006" s="11" t="s">
        <v>79</v>
      </c>
      <c r="G2006" s="21" t="n">
        <v>82.9</v>
      </c>
      <c r="H2006" s="19" t="n">
        <v>42.2</v>
      </c>
      <c r="I2006" s="21" t="n">
        <v>47.92</v>
      </c>
      <c r="J2006" s="22" t="s">
        <v>80</v>
      </c>
      <c r="K2006" s="11" t="n">
        <v>4</v>
      </c>
      <c r="L2006" s="23" t="n">
        <v>2.1</v>
      </c>
      <c r="M2006" s="24" t="b">
        <f aca="false">FALSE()</f>
        <v>0</v>
      </c>
      <c r="N2006" s="11"/>
      <c r="O2006" s="11" t="str">
        <f aca="false">IF(K2006&lt;=StockP33,"Low",IF(K2006&lt;=StockP67,"Moderate","High"))</f>
        <v>Low</v>
      </c>
      <c r="P2006" s="11" t="str">
        <f aca="false">IF(H2006=0,"Low",IF(H2006&lt;=MarkdownP75,"Moderate","High"))</f>
        <v>High</v>
      </c>
      <c r="Q2006" s="11" t="str">
        <f aca="false">IF(ISBLANK(L2006),"Unknown",IF(L2006&gt;=4,"Good",IF(L2006&lt;=2,"Poor","Neutral")))</f>
        <v>Neutral</v>
      </c>
      <c r="R2006" s="11" t="str">
        <f aca="false">IF(AND(O2006="Low",P2006="Low",Q2006="Good"),"BUY / PRIORITIZE",IF(AND(O2006="High",P2006="High",OR(Q2006="Poor",M2006=TRUE())),"HOLD / REVIEW","MONITOR"))</f>
        <v>MONITOR</v>
      </c>
      <c r="S2006" s="11" t="n">
        <f aca="false">K2006+(ROW()/10000000)</f>
        <v>4.0002006</v>
      </c>
    </row>
    <row r="2007" customFormat="false" ht="15" hidden="false" customHeight="false" outlineLevel="0" collapsed="false">
      <c r="A2007" s="11" t="s">
        <v>2367</v>
      </c>
      <c r="B2007" s="11" t="s">
        <v>30</v>
      </c>
      <c r="C2007" s="11" t="s">
        <v>72</v>
      </c>
      <c r="D2007" s="11" t="s">
        <v>36</v>
      </c>
      <c r="E2007" s="11" t="s">
        <v>110</v>
      </c>
      <c r="F2007" s="11" t="s">
        <v>88</v>
      </c>
      <c r="G2007" s="21" t="n">
        <v>92.9</v>
      </c>
      <c r="H2007" s="19" t="n">
        <v>0</v>
      </c>
      <c r="I2007" s="21" t="n">
        <v>92.9</v>
      </c>
      <c r="J2007" s="22" t="s">
        <v>80</v>
      </c>
      <c r="K2007" s="11" t="n">
        <v>30</v>
      </c>
      <c r="L2007" s="23"/>
      <c r="M2007" s="24" t="b">
        <f aca="false">FALSE()</f>
        <v>0</v>
      </c>
      <c r="N2007" s="11"/>
      <c r="O2007" s="11" t="str">
        <f aca="false">IF(K2007&lt;=StockP33,"Low",IF(K2007&lt;=StockP67,"Moderate","High"))</f>
        <v>Moderate</v>
      </c>
      <c r="P2007" s="11" t="str">
        <f aca="false">IF(H2007=0,"Low",IF(H2007&lt;=MarkdownP75,"Moderate","High"))</f>
        <v>Low</v>
      </c>
      <c r="Q2007" s="11" t="str">
        <f aca="false">IF(ISBLANK(L2007),"Unknown",IF(L2007&gt;=4,"Good",IF(L2007&lt;=2,"Poor","Neutral")))</f>
        <v>Unknown</v>
      </c>
      <c r="R2007" s="11" t="str">
        <f aca="false">IF(AND(O2007="Low",P2007="Low",Q2007="Good"),"BUY / PRIORITIZE",IF(AND(O2007="High",P2007="High",OR(Q2007="Poor",M2007=TRUE())),"HOLD / REVIEW","MONITOR"))</f>
        <v>MONITOR</v>
      </c>
      <c r="S2007" s="11" t="n">
        <f aca="false">K2007+(ROW()/10000000)</f>
        <v>30.0002007</v>
      </c>
    </row>
    <row r="2008" customFormat="false" ht="15" hidden="false" customHeight="false" outlineLevel="0" collapsed="false">
      <c r="A2008" s="11" t="s">
        <v>2368</v>
      </c>
      <c r="B2008" s="11" t="s">
        <v>27</v>
      </c>
      <c r="C2008" s="11" t="s">
        <v>86</v>
      </c>
      <c r="D2008" s="11" t="s">
        <v>37</v>
      </c>
      <c r="E2008" s="11" t="s">
        <v>102</v>
      </c>
      <c r="F2008" s="11" t="s">
        <v>96</v>
      </c>
      <c r="G2008" s="21" t="n">
        <v>133.89</v>
      </c>
      <c r="H2008" s="19" t="n">
        <v>5.7</v>
      </c>
      <c r="I2008" s="21" t="n">
        <v>126.26</v>
      </c>
      <c r="J2008" s="22" t="s">
        <v>80</v>
      </c>
      <c r="K2008" s="11" t="n">
        <v>17</v>
      </c>
      <c r="L2008" s="23" t="n">
        <v>3.4</v>
      </c>
      <c r="M2008" s="24" t="b">
        <f aca="false">TRUE()</f>
        <v>1</v>
      </c>
      <c r="N2008" s="11" t="s">
        <v>128</v>
      </c>
      <c r="O2008" s="11" t="str">
        <f aca="false">IF(K2008&lt;=StockP33,"Low",IF(K2008&lt;=StockP67,"Moderate","High"))</f>
        <v>Low</v>
      </c>
      <c r="P2008" s="11" t="str">
        <f aca="false">IF(H2008=0,"Low",IF(H2008&lt;=MarkdownP75,"Moderate","High"))</f>
        <v>Moderate</v>
      </c>
      <c r="Q2008" s="11" t="str">
        <f aca="false">IF(ISBLANK(L2008),"Unknown",IF(L2008&gt;=4,"Good",IF(L2008&lt;=2,"Poor","Neutral")))</f>
        <v>Neutral</v>
      </c>
      <c r="R2008" s="11" t="str">
        <f aca="false">IF(AND(O2008="Low",P2008="Low",Q2008="Good"),"BUY / PRIORITIZE",IF(AND(O2008="High",P2008="High",OR(Q2008="Poor",M2008=TRUE())),"HOLD / REVIEW","MONITOR"))</f>
        <v>MONITOR</v>
      </c>
      <c r="S2008" s="11" t="n">
        <f aca="false">K2008+(ROW()/10000000)</f>
        <v>17.0002008</v>
      </c>
    </row>
    <row r="2009" customFormat="false" ht="15" hidden="false" customHeight="false" outlineLevel="0" collapsed="false">
      <c r="A2009" s="11" t="s">
        <v>2369</v>
      </c>
      <c r="B2009" s="11" t="s">
        <v>27</v>
      </c>
      <c r="C2009" s="11" t="s">
        <v>107</v>
      </c>
      <c r="D2009" s="11" t="s">
        <v>37</v>
      </c>
      <c r="E2009" s="11" t="s">
        <v>102</v>
      </c>
      <c r="F2009" s="11" t="s">
        <v>111</v>
      </c>
      <c r="G2009" s="21" t="n">
        <v>89.1</v>
      </c>
      <c r="H2009" s="19" t="n">
        <v>0</v>
      </c>
      <c r="I2009" s="21" t="n">
        <v>89.1</v>
      </c>
      <c r="J2009" s="22" t="s">
        <v>80</v>
      </c>
      <c r="K2009" s="11" t="n">
        <v>8</v>
      </c>
      <c r="L2009" s="23" t="n">
        <v>2.2</v>
      </c>
      <c r="M2009" s="24" t="b">
        <f aca="false">FALSE()</f>
        <v>0</v>
      </c>
      <c r="N2009" s="11"/>
      <c r="O2009" s="11" t="str">
        <f aca="false">IF(K2009&lt;=StockP33,"Low",IF(K2009&lt;=StockP67,"Moderate","High"))</f>
        <v>Low</v>
      </c>
      <c r="P2009" s="11" t="str">
        <f aca="false">IF(H2009=0,"Low",IF(H2009&lt;=MarkdownP75,"Moderate","High"))</f>
        <v>Low</v>
      </c>
      <c r="Q2009" s="11" t="str">
        <f aca="false">IF(ISBLANK(L2009),"Unknown",IF(L2009&gt;=4,"Good",IF(L2009&lt;=2,"Poor","Neutral")))</f>
        <v>Neutral</v>
      </c>
      <c r="R2009" s="11" t="str">
        <f aca="false">IF(AND(O2009="Low",P2009="Low",Q2009="Good"),"BUY / PRIORITIZE",IF(AND(O2009="High",P2009="High",OR(Q2009="Poor",M2009=TRUE())),"HOLD / REVIEW","MONITOR"))</f>
        <v>MONITOR</v>
      </c>
      <c r="S2009" s="11" t="n">
        <f aca="false">K2009+(ROW()/10000000)</f>
        <v>8.0002009</v>
      </c>
    </row>
    <row r="2010" customFormat="false" ht="15" hidden="false" customHeight="false" outlineLevel="0" collapsed="false">
      <c r="A2010" s="11" t="s">
        <v>2370</v>
      </c>
      <c r="B2010" s="11" t="s">
        <v>28</v>
      </c>
      <c r="C2010" s="11" t="s">
        <v>86</v>
      </c>
      <c r="D2010" s="11" t="s">
        <v>37</v>
      </c>
      <c r="E2010" s="11" t="s">
        <v>73</v>
      </c>
      <c r="F2010" s="11" t="s">
        <v>111</v>
      </c>
      <c r="G2010" s="21" t="n">
        <v>175.62</v>
      </c>
      <c r="H2010" s="19" t="n">
        <v>3.2</v>
      </c>
      <c r="I2010" s="21" t="n">
        <v>170</v>
      </c>
      <c r="J2010" s="22" t="s">
        <v>80</v>
      </c>
      <c r="K2010" s="11" t="n">
        <v>46</v>
      </c>
      <c r="L2010" s="23"/>
      <c r="M2010" s="24" t="b">
        <f aca="false">FALSE()</f>
        <v>0</v>
      </c>
      <c r="N2010" s="11"/>
      <c r="O2010" s="11" t="str">
        <f aca="false">IF(K2010&lt;=StockP33,"Low",IF(K2010&lt;=StockP67,"Moderate","High"))</f>
        <v>High</v>
      </c>
      <c r="P2010" s="11" t="str">
        <f aca="false">IF(H2010=0,"Low",IF(H2010&lt;=MarkdownP75,"Moderate","High"))</f>
        <v>Moderate</v>
      </c>
      <c r="Q2010" s="11" t="str">
        <f aca="false">IF(ISBLANK(L2010),"Unknown",IF(L2010&gt;=4,"Good",IF(L2010&lt;=2,"Poor","Neutral")))</f>
        <v>Unknown</v>
      </c>
      <c r="R2010" s="11" t="str">
        <f aca="false">IF(AND(O2010="Low",P2010="Low",Q2010="Good"),"BUY / PRIORITIZE",IF(AND(O2010="High",P2010="High",OR(Q2010="Poor",M2010=TRUE())),"HOLD / REVIEW","MONITOR"))</f>
        <v>MONITOR</v>
      </c>
      <c r="S2010" s="11" t="n">
        <f aca="false">K2010+(ROW()/10000000)</f>
        <v>46.000201</v>
      </c>
    </row>
    <row r="2011" customFormat="false" ht="15" hidden="false" customHeight="false" outlineLevel="0" collapsed="false">
      <c r="A2011" s="11" t="s">
        <v>2371</v>
      </c>
      <c r="B2011" s="11" t="s">
        <v>27</v>
      </c>
      <c r="C2011" s="11" t="s">
        <v>101</v>
      </c>
      <c r="D2011" s="11" t="s">
        <v>35</v>
      </c>
      <c r="E2011" s="11" t="s">
        <v>78</v>
      </c>
      <c r="F2011" s="11" t="s">
        <v>82</v>
      </c>
      <c r="G2011" s="21" t="n">
        <v>154.02</v>
      </c>
      <c r="H2011" s="19" t="n">
        <v>0</v>
      </c>
      <c r="I2011" s="21" t="n">
        <v>154.02</v>
      </c>
      <c r="J2011" s="22" t="s">
        <v>80</v>
      </c>
      <c r="K2011" s="11" t="n">
        <v>21</v>
      </c>
      <c r="L2011" s="23" t="n">
        <v>3.3</v>
      </c>
      <c r="M2011" s="24" t="b">
        <f aca="false">FALSE()</f>
        <v>0</v>
      </c>
      <c r="N2011" s="11"/>
      <c r="O2011" s="11" t="str">
        <f aca="false">IF(K2011&lt;=StockP33,"Low",IF(K2011&lt;=StockP67,"Moderate","High"))</f>
        <v>Moderate</v>
      </c>
      <c r="P2011" s="11" t="str">
        <f aca="false">IF(H2011=0,"Low",IF(H2011&lt;=MarkdownP75,"Moderate","High"))</f>
        <v>Low</v>
      </c>
      <c r="Q2011" s="11" t="str">
        <f aca="false">IF(ISBLANK(L2011),"Unknown",IF(L2011&gt;=4,"Good",IF(L2011&lt;=2,"Poor","Neutral")))</f>
        <v>Neutral</v>
      </c>
      <c r="R2011" s="11" t="str">
        <f aca="false">IF(AND(O2011="Low",P2011="Low",Q2011="Good"),"BUY / PRIORITIZE",IF(AND(O2011="High",P2011="High",OR(Q2011="Poor",M2011=TRUE())),"HOLD / REVIEW","MONITOR"))</f>
        <v>MONITOR</v>
      </c>
      <c r="S2011" s="11" t="n">
        <f aca="false">K2011+(ROW()/10000000)</f>
        <v>21.0002011</v>
      </c>
    </row>
    <row r="2012" customFormat="false" ht="15" hidden="false" customHeight="false" outlineLevel="0" collapsed="false">
      <c r="A2012" s="11" t="s">
        <v>2372</v>
      </c>
      <c r="B2012" s="11" t="s">
        <v>28</v>
      </c>
      <c r="C2012" s="11" t="s">
        <v>72</v>
      </c>
      <c r="D2012" s="11" t="s">
        <v>36</v>
      </c>
      <c r="E2012" s="11" t="s">
        <v>91</v>
      </c>
      <c r="F2012" s="11" t="s">
        <v>111</v>
      </c>
      <c r="G2012" s="21" t="n">
        <v>215.1</v>
      </c>
      <c r="H2012" s="19" t="n">
        <v>0</v>
      </c>
      <c r="I2012" s="21" t="n">
        <v>215.1</v>
      </c>
      <c r="J2012" s="22" t="s">
        <v>80</v>
      </c>
      <c r="K2012" s="11" t="n">
        <v>16</v>
      </c>
      <c r="L2012" s="23" t="n">
        <v>2.5</v>
      </c>
      <c r="M2012" s="24" t="b">
        <f aca="false">FALSE()</f>
        <v>0</v>
      </c>
      <c r="N2012" s="11"/>
      <c r="O2012" s="11" t="str">
        <f aca="false">IF(K2012&lt;=StockP33,"Low",IF(K2012&lt;=StockP67,"Moderate","High"))</f>
        <v>Low</v>
      </c>
      <c r="P2012" s="11" t="str">
        <f aca="false">IF(H2012=0,"Low",IF(H2012&lt;=MarkdownP75,"Moderate","High"))</f>
        <v>Low</v>
      </c>
      <c r="Q2012" s="11" t="str">
        <f aca="false">IF(ISBLANK(L2012),"Unknown",IF(L2012&gt;=4,"Good",IF(L2012&lt;=2,"Poor","Neutral")))</f>
        <v>Neutral</v>
      </c>
      <c r="R2012" s="11" t="str">
        <f aca="false">IF(AND(O2012="Low",P2012="Low",Q2012="Good"),"BUY / PRIORITIZE",IF(AND(O2012="High",P2012="High",OR(Q2012="Poor",M2012=TRUE())),"HOLD / REVIEW","MONITOR"))</f>
        <v>MONITOR</v>
      </c>
      <c r="S2012" s="11" t="n">
        <f aca="false">K2012+(ROW()/10000000)</f>
        <v>16.0002012</v>
      </c>
    </row>
    <row r="2013" customFormat="false" ht="15" hidden="false" customHeight="false" outlineLevel="0" collapsed="false">
      <c r="A2013" s="11" t="s">
        <v>2373</v>
      </c>
      <c r="B2013" s="11" t="s">
        <v>30</v>
      </c>
      <c r="C2013" s="11" t="s">
        <v>107</v>
      </c>
      <c r="D2013" s="11" t="s">
        <v>36</v>
      </c>
      <c r="E2013" s="11" t="s">
        <v>113</v>
      </c>
      <c r="F2013" s="11" t="s">
        <v>124</v>
      </c>
      <c r="G2013" s="21" t="n">
        <v>40.28</v>
      </c>
      <c r="H2013" s="19" t="n">
        <v>0</v>
      </c>
      <c r="I2013" s="21" t="n">
        <v>40.28</v>
      </c>
      <c r="J2013" s="22" t="s">
        <v>80</v>
      </c>
      <c r="K2013" s="11" t="n">
        <v>35</v>
      </c>
      <c r="L2013" s="23" t="n">
        <v>3.8</v>
      </c>
      <c r="M2013" s="24" t="b">
        <f aca="false">FALSE()</f>
        <v>0</v>
      </c>
      <c r="N2013" s="11"/>
      <c r="O2013" s="11" t="str">
        <f aca="false">IF(K2013&lt;=StockP33,"Low",IF(K2013&lt;=StockP67,"Moderate","High"))</f>
        <v>High</v>
      </c>
      <c r="P2013" s="11" t="str">
        <f aca="false">IF(H2013=0,"Low",IF(H2013&lt;=MarkdownP75,"Moderate","High"))</f>
        <v>Low</v>
      </c>
      <c r="Q2013" s="11" t="str">
        <f aca="false">IF(ISBLANK(L2013),"Unknown",IF(L2013&gt;=4,"Good",IF(L2013&lt;=2,"Poor","Neutral")))</f>
        <v>Neutral</v>
      </c>
      <c r="R2013" s="11" t="str">
        <f aca="false">IF(AND(O2013="Low",P2013="Low",Q2013="Good"),"BUY / PRIORITIZE",IF(AND(O2013="High",P2013="High",OR(Q2013="Poor",M2013=TRUE())),"HOLD / REVIEW","MONITOR"))</f>
        <v>MONITOR</v>
      </c>
      <c r="S2013" s="11" t="n">
        <f aca="false">K2013+(ROW()/10000000)</f>
        <v>35.0002013</v>
      </c>
    </row>
    <row r="2014" customFormat="false" ht="15" hidden="false" customHeight="false" outlineLevel="0" collapsed="false">
      <c r="A2014" s="11" t="s">
        <v>2374</v>
      </c>
      <c r="B2014" s="11" t="s">
        <v>8</v>
      </c>
      <c r="C2014" s="11" t="s">
        <v>130</v>
      </c>
      <c r="D2014" s="11" t="s">
        <v>36</v>
      </c>
      <c r="E2014" s="11"/>
      <c r="F2014" s="11" t="s">
        <v>92</v>
      </c>
      <c r="G2014" s="21" t="n">
        <v>25.95</v>
      </c>
      <c r="H2014" s="19" t="n">
        <v>18.8</v>
      </c>
      <c r="I2014" s="21" t="n">
        <v>21.07</v>
      </c>
      <c r="J2014" s="22" t="s">
        <v>80</v>
      </c>
      <c r="K2014" s="11" t="n">
        <v>1</v>
      </c>
      <c r="L2014" s="23" t="n">
        <v>4</v>
      </c>
      <c r="M2014" s="24" t="b">
        <f aca="false">FALSE()</f>
        <v>0</v>
      </c>
      <c r="N2014" s="11"/>
      <c r="O2014" s="11" t="str">
        <f aca="false">IF(K2014&lt;=StockP33,"Low",IF(K2014&lt;=StockP67,"Moderate","High"))</f>
        <v>Low</v>
      </c>
      <c r="P2014" s="11" t="str">
        <f aca="false">IF(H2014=0,"Low",IF(H2014&lt;=MarkdownP75,"Moderate","High"))</f>
        <v>Moderate</v>
      </c>
      <c r="Q2014" s="11" t="str">
        <f aca="false">IF(ISBLANK(L2014),"Unknown",IF(L2014&gt;=4,"Good",IF(L2014&lt;=2,"Poor","Neutral")))</f>
        <v>Good</v>
      </c>
      <c r="R2014" s="11" t="str">
        <f aca="false">IF(AND(O2014="Low",P2014="Low",Q2014="Good"),"BUY / PRIORITIZE",IF(AND(O2014="High",P2014="High",OR(Q2014="Poor",M2014=TRUE())),"HOLD / REVIEW","MONITOR"))</f>
        <v>MONITOR</v>
      </c>
      <c r="S2014" s="11" t="n">
        <f aca="false">K2014+(ROW()/10000000)</f>
        <v>1.0002014</v>
      </c>
    </row>
    <row r="2015" customFormat="false" ht="15" hidden="false" customHeight="false" outlineLevel="0" collapsed="false">
      <c r="A2015" s="11" t="s">
        <v>2375</v>
      </c>
      <c r="B2015" s="11" t="s">
        <v>8</v>
      </c>
      <c r="C2015" s="11" t="s">
        <v>77</v>
      </c>
      <c r="D2015" s="11" t="s">
        <v>36</v>
      </c>
      <c r="E2015" s="11"/>
      <c r="F2015" s="11" t="s">
        <v>118</v>
      </c>
      <c r="G2015" s="21" t="n">
        <v>21.26</v>
      </c>
      <c r="H2015" s="19" t="n">
        <v>50.7</v>
      </c>
      <c r="I2015" s="21" t="n">
        <v>10.48</v>
      </c>
      <c r="J2015" s="22" t="s">
        <v>80</v>
      </c>
      <c r="K2015" s="11" t="n">
        <v>39</v>
      </c>
      <c r="L2015" s="23" t="n">
        <v>4.3</v>
      </c>
      <c r="M2015" s="24" t="b">
        <f aca="false">FALSE()</f>
        <v>0</v>
      </c>
      <c r="N2015" s="11"/>
      <c r="O2015" s="11" t="str">
        <f aca="false">IF(K2015&lt;=StockP33,"Low",IF(K2015&lt;=StockP67,"Moderate","High"))</f>
        <v>High</v>
      </c>
      <c r="P2015" s="11" t="str">
        <f aca="false">IF(H2015=0,"Low",IF(H2015&lt;=MarkdownP75,"Moderate","High"))</f>
        <v>High</v>
      </c>
      <c r="Q2015" s="11" t="str">
        <f aca="false">IF(ISBLANK(L2015),"Unknown",IF(L2015&gt;=4,"Good",IF(L2015&lt;=2,"Poor","Neutral")))</f>
        <v>Good</v>
      </c>
      <c r="R2015" s="11" t="str">
        <f aca="false">IF(AND(O2015="Low",P2015="Low",Q2015="Good"),"BUY / PRIORITIZE",IF(AND(O2015="High",P2015="High",OR(Q2015="Poor",M2015=TRUE())),"HOLD / REVIEW","MONITOR"))</f>
        <v>MONITOR</v>
      </c>
      <c r="S2015" s="11" t="n">
        <f aca="false">K2015+(ROW()/10000000)</f>
        <v>39.0002015</v>
      </c>
    </row>
    <row r="2016" customFormat="false" ht="15" hidden="false" customHeight="false" outlineLevel="0" collapsed="false">
      <c r="A2016" s="11" t="s">
        <v>2376</v>
      </c>
      <c r="B2016" s="11" t="s">
        <v>27</v>
      </c>
      <c r="C2016" s="11" t="s">
        <v>72</v>
      </c>
      <c r="D2016" s="11" t="s">
        <v>34</v>
      </c>
      <c r="E2016" s="11" t="s">
        <v>110</v>
      </c>
      <c r="F2016" s="11" t="s">
        <v>96</v>
      </c>
      <c r="G2016" s="21" t="n">
        <v>146.07</v>
      </c>
      <c r="H2016" s="19" t="n">
        <v>0</v>
      </c>
      <c r="I2016" s="21" t="n">
        <v>146.07</v>
      </c>
      <c r="J2016" s="22" t="s">
        <v>2377</v>
      </c>
      <c r="K2016" s="11" t="n">
        <v>33</v>
      </c>
      <c r="L2016" s="23" t="n">
        <v>3.7</v>
      </c>
      <c r="M2016" s="24" t="b">
        <f aca="false">FALSE()</f>
        <v>0</v>
      </c>
      <c r="N2016" s="11"/>
      <c r="O2016" s="11" t="str">
        <f aca="false">IF(K2016&lt;=StockP33,"Low",IF(K2016&lt;=StockP67,"Moderate","High"))</f>
        <v>Moderate</v>
      </c>
      <c r="P2016" s="11" t="str">
        <f aca="false">IF(H2016=0,"Low",IF(H2016&lt;=MarkdownP75,"Moderate","High"))</f>
        <v>Low</v>
      </c>
      <c r="Q2016" s="11" t="str">
        <f aca="false">IF(ISBLANK(L2016),"Unknown",IF(L2016&gt;=4,"Good",IF(L2016&lt;=2,"Poor","Neutral")))</f>
        <v>Neutral</v>
      </c>
      <c r="R2016" s="11" t="str">
        <f aca="false">IF(AND(O2016="Low",P2016="Low",Q2016="Good"),"BUY / PRIORITIZE",IF(AND(O2016="High",P2016="High",OR(Q2016="Poor",M2016=TRUE())),"HOLD / REVIEW","MONITOR"))</f>
        <v>MONITOR</v>
      </c>
      <c r="S2016" s="11" t="n">
        <f aca="false">K2016+(ROW()/10000000)</f>
        <v>33.0002016</v>
      </c>
    </row>
    <row r="2017" customFormat="false" ht="15" hidden="false" customHeight="false" outlineLevel="0" collapsed="false">
      <c r="A2017" s="11" t="s">
        <v>2378</v>
      </c>
      <c r="B2017" s="11" t="s">
        <v>27</v>
      </c>
      <c r="C2017" s="11" t="s">
        <v>107</v>
      </c>
      <c r="D2017" s="11" t="s">
        <v>34</v>
      </c>
      <c r="E2017" s="11" t="s">
        <v>91</v>
      </c>
      <c r="F2017" s="11" t="s">
        <v>92</v>
      </c>
      <c r="G2017" s="21" t="n">
        <v>135.97</v>
      </c>
      <c r="H2017" s="19" t="n">
        <v>0</v>
      </c>
      <c r="I2017" s="21" t="n">
        <v>135.97</v>
      </c>
      <c r="J2017" s="22" t="s">
        <v>952</v>
      </c>
      <c r="K2017" s="11" t="n">
        <v>30</v>
      </c>
      <c r="L2017" s="23" t="n">
        <v>1.1</v>
      </c>
      <c r="M2017" s="24" t="b">
        <f aca="false">FALSE()</f>
        <v>0</v>
      </c>
      <c r="N2017" s="11"/>
      <c r="O2017" s="11" t="str">
        <f aca="false">IF(K2017&lt;=StockP33,"Low",IF(K2017&lt;=StockP67,"Moderate","High"))</f>
        <v>Moderate</v>
      </c>
      <c r="P2017" s="11" t="str">
        <f aca="false">IF(H2017=0,"Low",IF(H2017&lt;=MarkdownP75,"Moderate","High"))</f>
        <v>Low</v>
      </c>
      <c r="Q2017" s="11" t="str">
        <f aca="false">IF(ISBLANK(L2017),"Unknown",IF(L2017&gt;=4,"Good",IF(L2017&lt;=2,"Poor","Neutral")))</f>
        <v>Poor</v>
      </c>
      <c r="R2017" s="11" t="str">
        <f aca="false">IF(AND(O2017="Low",P2017="Low",Q2017="Good"),"BUY / PRIORITIZE",IF(AND(O2017="High",P2017="High",OR(Q2017="Poor",M2017=TRUE())),"HOLD / REVIEW","MONITOR"))</f>
        <v>MONITOR</v>
      </c>
      <c r="S2017" s="11" t="n">
        <f aca="false">K2017+(ROW()/10000000)</f>
        <v>30.0002017</v>
      </c>
    </row>
    <row r="2018" customFormat="false" ht="15" hidden="false" customHeight="false" outlineLevel="0" collapsed="false">
      <c r="A2018" s="11" t="s">
        <v>2379</v>
      </c>
      <c r="B2018" s="11" t="s">
        <v>29</v>
      </c>
      <c r="C2018" s="11" t="s">
        <v>72</v>
      </c>
      <c r="D2018" s="11" t="s">
        <v>34</v>
      </c>
      <c r="E2018" s="11" t="s">
        <v>78</v>
      </c>
      <c r="F2018" s="11" t="s">
        <v>98</v>
      </c>
      <c r="G2018" s="21" t="n">
        <v>84.88</v>
      </c>
      <c r="H2018" s="19" t="n">
        <v>7.4</v>
      </c>
      <c r="I2018" s="21" t="n">
        <v>78.6</v>
      </c>
      <c r="J2018" s="22" t="s">
        <v>2325</v>
      </c>
      <c r="K2018" s="11" t="n">
        <v>42</v>
      </c>
      <c r="L2018" s="23" t="n">
        <v>3.4</v>
      </c>
      <c r="M2018" s="24" t="b">
        <f aca="false">FALSE()</f>
        <v>0</v>
      </c>
      <c r="N2018" s="11"/>
      <c r="O2018" s="11" t="str">
        <f aca="false">IF(K2018&lt;=StockP33,"Low",IF(K2018&lt;=StockP67,"Moderate","High"))</f>
        <v>High</v>
      </c>
      <c r="P2018" s="11" t="str">
        <f aca="false">IF(H2018=0,"Low",IF(H2018&lt;=MarkdownP75,"Moderate","High"))</f>
        <v>Moderate</v>
      </c>
      <c r="Q2018" s="11" t="str">
        <f aca="false">IF(ISBLANK(L2018),"Unknown",IF(L2018&gt;=4,"Good",IF(L2018&lt;=2,"Poor","Neutral")))</f>
        <v>Neutral</v>
      </c>
      <c r="R2018" s="11" t="str">
        <f aca="false">IF(AND(O2018="Low",P2018="Low",Q2018="Good"),"BUY / PRIORITIZE",IF(AND(O2018="High",P2018="High",OR(Q2018="Poor",M2018=TRUE())),"HOLD / REVIEW","MONITOR"))</f>
        <v>MONITOR</v>
      </c>
      <c r="S2018" s="11" t="n">
        <f aca="false">K2018+(ROW()/10000000)</f>
        <v>42.0002018</v>
      </c>
    </row>
    <row r="2019" customFormat="false" ht="15" hidden="false" customHeight="false" outlineLevel="0" collapsed="false">
      <c r="A2019" s="11" t="s">
        <v>2380</v>
      </c>
      <c r="B2019" s="11" t="s">
        <v>29</v>
      </c>
      <c r="C2019" s="11" t="s">
        <v>101</v>
      </c>
      <c r="D2019" s="11" t="s">
        <v>37</v>
      </c>
      <c r="E2019" s="11" t="s">
        <v>110</v>
      </c>
      <c r="F2019" s="11" t="s">
        <v>111</v>
      </c>
      <c r="G2019" s="21" t="n">
        <v>159.25</v>
      </c>
      <c r="H2019" s="19" t="n">
        <v>5.5</v>
      </c>
      <c r="I2019" s="21" t="n">
        <v>150.49</v>
      </c>
      <c r="J2019" s="22" t="s">
        <v>80</v>
      </c>
      <c r="K2019" s="11" t="n">
        <v>8</v>
      </c>
      <c r="L2019" s="23"/>
      <c r="M2019" s="24" t="b">
        <f aca="false">FALSE()</f>
        <v>0</v>
      </c>
      <c r="N2019" s="11"/>
      <c r="O2019" s="11" t="str">
        <f aca="false">IF(K2019&lt;=StockP33,"Low",IF(K2019&lt;=StockP67,"Moderate","High"))</f>
        <v>Low</v>
      </c>
      <c r="P2019" s="11" t="str">
        <f aca="false">IF(H2019=0,"Low",IF(H2019&lt;=MarkdownP75,"Moderate","High"))</f>
        <v>Moderate</v>
      </c>
      <c r="Q2019" s="11" t="str">
        <f aca="false">IF(ISBLANK(L2019),"Unknown",IF(L2019&gt;=4,"Good",IF(L2019&lt;=2,"Poor","Neutral")))</f>
        <v>Unknown</v>
      </c>
      <c r="R2019" s="11" t="str">
        <f aca="false">IF(AND(O2019="Low",P2019="Low",Q2019="Good"),"BUY / PRIORITIZE",IF(AND(O2019="High",P2019="High",OR(Q2019="Poor",M2019=TRUE())),"HOLD / REVIEW","MONITOR"))</f>
        <v>MONITOR</v>
      </c>
      <c r="S2019" s="11" t="n">
        <f aca="false">K2019+(ROW()/10000000)</f>
        <v>8.0002019</v>
      </c>
    </row>
    <row r="2020" customFormat="false" ht="15" hidden="false" customHeight="false" outlineLevel="0" collapsed="false">
      <c r="A2020" s="11" t="s">
        <v>2381</v>
      </c>
      <c r="B2020" s="11" t="s">
        <v>26</v>
      </c>
      <c r="C2020" s="11" t="s">
        <v>107</v>
      </c>
      <c r="D2020" s="11" t="s">
        <v>37</v>
      </c>
      <c r="E2020" s="11" t="s">
        <v>113</v>
      </c>
      <c r="F2020" s="11" t="s">
        <v>124</v>
      </c>
      <c r="G2020" s="21" t="n">
        <v>84.29</v>
      </c>
      <c r="H2020" s="19" t="n">
        <v>0</v>
      </c>
      <c r="I2020" s="21" t="n">
        <v>84.29</v>
      </c>
      <c r="J2020" s="22" t="s">
        <v>80</v>
      </c>
      <c r="K2020" s="11" t="n">
        <v>4</v>
      </c>
      <c r="L2020" s="23" t="n">
        <v>2.8</v>
      </c>
      <c r="M2020" s="24" t="b">
        <f aca="false">FALSE()</f>
        <v>0</v>
      </c>
      <c r="N2020" s="11"/>
      <c r="O2020" s="11" t="str">
        <f aca="false">IF(K2020&lt;=StockP33,"Low",IF(K2020&lt;=StockP67,"Moderate","High"))</f>
        <v>Low</v>
      </c>
      <c r="P2020" s="11" t="str">
        <f aca="false">IF(H2020=0,"Low",IF(H2020&lt;=MarkdownP75,"Moderate","High"))</f>
        <v>Low</v>
      </c>
      <c r="Q2020" s="11" t="str">
        <f aca="false">IF(ISBLANK(L2020),"Unknown",IF(L2020&gt;=4,"Good",IF(L2020&lt;=2,"Poor","Neutral")))</f>
        <v>Neutral</v>
      </c>
      <c r="R2020" s="11" t="str">
        <f aca="false">IF(AND(O2020="Low",P2020="Low",Q2020="Good"),"BUY / PRIORITIZE",IF(AND(O2020="High",P2020="High",OR(Q2020="Poor",M2020=TRUE())),"HOLD / REVIEW","MONITOR"))</f>
        <v>MONITOR</v>
      </c>
      <c r="S2020" s="11" t="n">
        <f aca="false">K2020+(ROW()/10000000)</f>
        <v>4.000202</v>
      </c>
    </row>
    <row r="2021" customFormat="false" ht="15" hidden="false" customHeight="false" outlineLevel="0" collapsed="false">
      <c r="A2021" s="11" t="s">
        <v>2382</v>
      </c>
      <c r="B2021" s="11" t="s">
        <v>8</v>
      </c>
      <c r="C2021" s="11" t="s">
        <v>130</v>
      </c>
      <c r="D2021" s="11" t="s">
        <v>37</v>
      </c>
      <c r="E2021" s="11"/>
      <c r="F2021" s="11" t="s">
        <v>74</v>
      </c>
      <c r="G2021" s="21" t="n">
        <v>38.86</v>
      </c>
      <c r="H2021" s="19" t="n">
        <v>0</v>
      </c>
      <c r="I2021" s="21" t="n">
        <v>38.86</v>
      </c>
      <c r="J2021" s="22" t="s">
        <v>80</v>
      </c>
      <c r="K2021" s="11" t="n">
        <v>44</v>
      </c>
      <c r="L2021" s="23"/>
      <c r="M2021" s="24" t="b">
        <f aca="false">FALSE()</f>
        <v>0</v>
      </c>
      <c r="N2021" s="11"/>
      <c r="O2021" s="11" t="str">
        <f aca="false">IF(K2021&lt;=StockP33,"Low",IF(K2021&lt;=StockP67,"Moderate","High"))</f>
        <v>High</v>
      </c>
      <c r="P2021" s="11" t="str">
        <f aca="false">IF(H2021=0,"Low",IF(H2021&lt;=MarkdownP75,"Moderate","High"))</f>
        <v>Low</v>
      </c>
      <c r="Q2021" s="11" t="str">
        <f aca="false">IF(ISBLANK(L2021),"Unknown",IF(L2021&gt;=4,"Good",IF(L2021&lt;=2,"Poor","Neutral")))</f>
        <v>Unknown</v>
      </c>
      <c r="R2021" s="11" t="str">
        <f aca="false">IF(AND(O2021="Low",P2021="Low",Q2021="Good"),"BUY / PRIORITIZE",IF(AND(O2021="High",P2021="High",OR(Q2021="Poor",M2021=TRUE())),"HOLD / REVIEW","MONITOR"))</f>
        <v>MONITOR</v>
      </c>
      <c r="S2021" s="11" t="n">
        <f aca="false">K2021+(ROW()/10000000)</f>
        <v>44.0002021</v>
      </c>
    </row>
    <row r="2022" customFormat="false" ht="15" hidden="false" customHeight="false" outlineLevel="0" collapsed="false">
      <c r="A2022" s="11" t="s">
        <v>2383</v>
      </c>
      <c r="B2022" s="11" t="s">
        <v>30</v>
      </c>
      <c r="C2022" s="11" t="s">
        <v>86</v>
      </c>
      <c r="D2022" s="11" t="s">
        <v>35</v>
      </c>
      <c r="E2022" s="11" t="s">
        <v>113</v>
      </c>
      <c r="F2022" s="11" t="s">
        <v>96</v>
      </c>
      <c r="G2022" s="21" t="n">
        <v>38.72</v>
      </c>
      <c r="H2022" s="19" t="n">
        <v>0</v>
      </c>
      <c r="I2022" s="21" t="n">
        <v>38.72</v>
      </c>
      <c r="J2022" s="22" t="s">
        <v>80</v>
      </c>
      <c r="K2022" s="11" t="n">
        <v>35</v>
      </c>
      <c r="L2022" s="23" t="n">
        <v>4</v>
      </c>
      <c r="M2022" s="24" t="b">
        <f aca="false">FALSE()</f>
        <v>0</v>
      </c>
      <c r="N2022" s="11"/>
      <c r="O2022" s="11" t="str">
        <f aca="false">IF(K2022&lt;=StockP33,"Low",IF(K2022&lt;=StockP67,"Moderate","High"))</f>
        <v>High</v>
      </c>
      <c r="P2022" s="11" t="str">
        <f aca="false">IF(H2022=0,"Low",IF(H2022&lt;=MarkdownP75,"Moderate","High"))</f>
        <v>Low</v>
      </c>
      <c r="Q2022" s="11" t="str">
        <f aca="false">IF(ISBLANK(L2022),"Unknown",IF(L2022&gt;=4,"Good",IF(L2022&lt;=2,"Poor","Neutral")))</f>
        <v>Good</v>
      </c>
      <c r="R2022" s="11" t="str">
        <f aca="false">IF(AND(O2022="Low",P2022="Low",Q2022="Good"),"BUY / PRIORITIZE",IF(AND(O2022="High",P2022="High",OR(Q2022="Poor",M2022=TRUE())),"HOLD / REVIEW","MONITOR"))</f>
        <v>MONITOR</v>
      </c>
      <c r="S2022" s="11" t="n">
        <f aca="false">K2022+(ROW()/10000000)</f>
        <v>35.0002022</v>
      </c>
    </row>
    <row r="2023" customFormat="false" ht="15" hidden="false" customHeight="false" outlineLevel="0" collapsed="false">
      <c r="A2023" s="11" t="s">
        <v>2384</v>
      </c>
      <c r="B2023" s="11" t="s">
        <v>27</v>
      </c>
      <c r="C2023" s="11" t="s">
        <v>72</v>
      </c>
      <c r="D2023" s="11" t="s">
        <v>37</v>
      </c>
      <c r="E2023" s="11" t="s">
        <v>110</v>
      </c>
      <c r="F2023" s="11" t="s">
        <v>82</v>
      </c>
      <c r="G2023" s="21" t="n">
        <v>177.1</v>
      </c>
      <c r="H2023" s="19" t="n">
        <v>0</v>
      </c>
      <c r="I2023" s="21" t="n">
        <v>177.1</v>
      </c>
      <c r="J2023" s="22" t="s">
        <v>80</v>
      </c>
      <c r="K2023" s="11" t="n">
        <v>49</v>
      </c>
      <c r="L2023" s="23" t="n">
        <v>1.6</v>
      </c>
      <c r="M2023" s="24" t="b">
        <f aca="false">FALSE()</f>
        <v>0</v>
      </c>
      <c r="N2023" s="11"/>
      <c r="O2023" s="11" t="str">
        <f aca="false">IF(K2023&lt;=StockP33,"Low",IF(K2023&lt;=StockP67,"Moderate","High"))</f>
        <v>High</v>
      </c>
      <c r="P2023" s="11" t="str">
        <f aca="false">IF(H2023=0,"Low",IF(H2023&lt;=MarkdownP75,"Moderate","High"))</f>
        <v>Low</v>
      </c>
      <c r="Q2023" s="11" t="str">
        <f aca="false">IF(ISBLANK(L2023),"Unknown",IF(L2023&gt;=4,"Good",IF(L2023&lt;=2,"Poor","Neutral")))</f>
        <v>Poor</v>
      </c>
      <c r="R2023" s="11" t="str">
        <f aca="false">IF(AND(O2023="Low",P2023="Low",Q2023="Good"),"BUY / PRIORITIZE",IF(AND(O2023="High",P2023="High",OR(Q2023="Poor",M2023=TRUE())),"HOLD / REVIEW","MONITOR"))</f>
        <v>MONITOR</v>
      </c>
      <c r="S2023" s="11" t="n">
        <f aca="false">K2023+(ROW()/10000000)</f>
        <v>49.0002023</v>
      </c>
    </row>
    <row r="2024" customFormat="false" ht="15" hidden="false" customHeight="false" outlineLevel="0" collapsed="false">
      <c r="A2024" s="11" t="s">
        <v>2385</v>
      </c>
      <c r="B2024" s="11" t="s">
        <v>26</v>
      </c>
      <c r="C2024" s="11" t="s">
        <v>130</v>
      </c>
      <c r="D2024" s="11" t="s">
        <v>34</v>
      </c>
      <c r="E2024" s="11" t="s">
        <v>110</v>
      </c>
      <c r="F2024" s="11" t="s">
        <v>92</v>
      </c>
      <c r="G2024" s="21" t="n">
        <v>31.49</v>
      </c>
      <c r="H2024" s="19" t="n">
        <v>0</v>
      </c>
      <c r="I2024" s="21" t="n">
        <v>31.49</v>
      </c>
      <c r="J2024" s="22" t="s">
        <v>2386</v>
      </c>
      <c r="K2024" s="11" t="n">
        <v>28</v>
      </c>
      <c r="L2024" s="23"/>
      <c r="M2024" s="24" t="b">
        <f aca="false">FALSE()</f>
        <v>0</v>
      </c>
      <c r="N2024" s="11"/>
      <c r="O2024" s="11" t="str">
        <f aca="false">IF(K2024&lt;=StockP33,"Low",IF(K2024&lt;=StockP67,"Moderate","High"))</f>
        <v>Moderate</v>
      </c>
      <c r="P2024" s="11" t="str">
        <f aca="false">IF(H2024=0,"Low",IF(H2024&lt;=MarkdownP75,"Moderate","High"))</f>
        <v>Low</v>
      </c>
      <c r="Q2024" s="11" t="str">
        <f aca="false">IF(ISBLANK(L2024),"Unknown",IF(L2024&gt;=4,"Good",IF(L2024&lt;=2,"Poor","Neutral")))</f>
        <v>Unknown</v>
      </c>
      <c r="R2024" s="11" t="str">
        <f aca="false">IF(AND(O2024="Low",P2024="Low",Q2024="Good"),"BUY / PRIORITIZE",IF(AND(O2024="High",P2024="High",OR(Q2024="Poor",M2024=TRUE())),"HOLD / REVIEW","MONITOR"))</f>
        <v>MONITOR</v>
      </c>
      <c r="S2024" s="11" t="n">
        <f aca="false">K2024+(ROW()/10000000)</f>
        <v>28.0002024</v>
      </c>
    </row>
    <row r="2025" customFormat="false" ht="15" hidden="false" customHeight="false" outlineLevel="0" collapsed="false">
      <c r="A2025" s="11" t="s">
        <v>2387</v>
      </c>
      <c r="B2025" s="11" t="s">
        <v>30</v>
      </c>
      <c r="C2025" s="11" t="s">
        <v>77</v>
      </c>
      <c r="D2025" s="11" t="s">
        <v>35</v>
      </c>
      <c r="E2025" s="11"/>
      <c r="F2025" s="11" t="s">
        <v>79</v>
      </c>
      <c r="G2025" s="21" t="n">
        <v>118.14</v>
      </c>
      <c r="H2025" s="19" t="n">
        <v>0</v>
      </c>
      <c r="I2025" s="21" t="n">
        <v>118.14</v>
      </c>
      <c r="J2025" s="22" t="s">
        <v>80</v>
      </c>
      <c r="K2025" s="11" t="n">
        <v>33</v>
      </c>
      <c r="L2025" s="23" t="n">
        <v>2.4</v>
      </c>
      <c r="M2025" s="24" t="b">
        <f aca="false">FALSE()</f>
        <v>0</v>
      </c>
      <c r="N2025" s="11"/>
      <c r="O2025" s="11" t="str">
        <f aca="false">IF(K2025&lt;=StockP33,"Low",IF(K2025&lt;=StockP67,"Moderate","High"))</f>
        <v>Moderate</v>
      </c>
      <c r="P2025" s="11" t="str">
        <f aca="false">IF(H2025=0,"Low",IF(H2025&lt;=MarkdownP75,"Moderate","High"))</f>
        <v>Low</v>
      </c>
      <c r="Q2025" s="11" t="str">
        <f aca="false">IF(ISBLANK(L2025),"Unknown",IF(L2025&gt;=4,"Good",IF(L2025&lt;=2,"Poor","Neutral")))</f>
        <v>Neutral</v>
      </c>
      <c r="R2025" s="11" t="str">
        <f aca="false">IF(AND(O2025="Low",P2025="Low",Q2025="Good"),"BUY / PRIORITIZE",IF(AND(O2025="High",P2025="High",OR(Q2025="Poor",M2025=TRUE())),"HOLD / REVIEW","MONITOR"))</f>
        <v>MONITOR</v>
      </c>
      <c r="S2025" s="11" t="n">
        <f aca="false">K2025+(ROW()/10000000)</f>
        <v>33.0002025</v>
      </c>
    </row>
    <row r="2026" customFormat="false" ht="15" hidden="false" customHeight="false" outlineLevel="0" collapsed="false">
      <c r="A2026" s="11" t="s">
        <v>2388</v>
      </c>
      <c r="B2026" s="11" t="s">
        <v>30</v>
      </c>
      <c r="C2026" s="11" t="s">
        <v>116</v>
      </c>
      <c r="D2026" s="11" t="s">
        <v>34</v>
      </c>
      <c r="E2026" s="11" t="s">
        <v>91</v>
      </c>
      <c r="F2026" s="11" t="s">
        <v>98</v>
      </c>
      <c r="G2026" s="21" t="n">
        <v>26.51</v>
      </c>
      <c r="H2026" s="19" t="n">
        <v>24</v>
      </c>
      <c r="I2026" s="21" t="n">
        <v>20.15</v>
      </c>
      <c r="J2026" s="22" t="s">
        <v>2389</v>
      </c>
      <c r="K2026" s="11" t="n">
        <v>1</v>
      </c>
      <c r="L2026" s="23" t="n">
        <v>4.7</v>
      </c>
      <c r="M2026" s="24" t="b">
        <f aca="false">FALSE()</f>
        <v>0</v>
      </c>
      <c r="N2026" s="11"/>
      <c r="O2026" s="11" t="str">
        <f aca="false">IF(K2026&lt;=StockP33,"Low",IF(K2026&lt;=StockP67,"Moderate","High"))</f>
        <v>Low</v>
      </c>
      <c r="P2026" s="11" t="str">
        <f aca="false">IF(H2026=0,"Low",IF(H2026&lt;=MarkdownP75,"Moderate","High"))</f>
        <v>High</v>
      </c>
      <c r="Q2026" s="11" t="str">
        <f aca="false">IF(ISBLANK(L2026),"Unknown",IF(L2026&gt;=4,"Good",IF(L2026&lt;=2,"Poor","Neutral")))</f>
        <v>Good</v>
      </c>
      <c r="R2026" s="11" t="str">
        <f aca="false">IF(AND(O2026="Low",P2026="Low",Q2026="Good"),"BUY / PRIORITIZE",IF(AND(O2026="High",P2026="High",OR(Q2026="Poor",M2026=TRUE())),"HOLD / REVIEW","MONITOR"))</f>
        <v>MONITOR</v>
      </c>
      <c r="S2026" s="11" t="n">
        <f aca="false">K2026+(ROW()/10000000)</f>
        <v>1.0002026</v>
      </c>
    </row>
    <row r="2027" customFormat="false" ht="15" hidden="false" customHeight="false" outlineLevel="0" collapsed="false">
      <c r="A2027" s="11" t="s">
        <v>2390</v>
      </c>
      <c r="B2027" s="11" t="s">
        <v>30</v>
      </c>
      <c r="C2027" s="11" t="s">
        <v>130</v>
      </c>
      <c r="D2027" s="11" t="s">
        <v>36</v>
      </c>
      <c r="E2027" s="11" t="s">
        <v>78</v>
      </c>
      <c r="F2027" s="11" t="s">
        <v>96</v>
      </c>
      <c r="G2027" s="21" t="n">
        <v>29.61</v>
      </c>
      <c r="H2027" s="19" t="n">
        <v>0</v>
      </c>
      <c r="I2027" s="21" t="n">
        <v>29.61</v>
      </c>
      <c r="J2027" s="22" t="s">
        <v>80</v>
      </c>
      <c r="K2027" s="11" t="n">
        <v>9</v>
      </c>
      <c r="L2027" s="23" t="n">
        <v>1</v>
      </c>
      <c r="M2027" s="24" t="b">
        <f aca="false">FALSE()</f>
        <v>0</v>
      </c>
      <c r="N2027" s="11"/>
      <c r="O2027" s="11" t="str">
        <f aca="false">IF(K2027&lt;=StockP33,"Low",IF(K2027&lt;=StockP67,"Moderate","High"))</f>
        <v>Low</v>
      </c>
      <c r="P2027" s="11" t="str">
        <f aca="false">IF(H2027=0,"Low",IF(H2027&lt;=MarkdownP75,"Moderate","High"))</f>
        <v>Low</v>
      </c>
      <c r="Q2027" s="11" t="str">
        <f aca="false">IF(ISBLANK(L2027),"Unknown",IF(L2027&gt;=4,"Good",IF(L2027&lt;=2,"Poor","Neutral")))</f>
        <v>Poor</v>
      </c>
      <c r="R2027" s="11" t="str">
        <f aca="false">IF(AND(O2027="Low",P2027="Low",Q2027="Good"),"BUY / PRIORITIZE",IF(AND(O2027="High",P2027="High",OR(Q2027="Poor",M2027=TRUE())),"HOLD / REVIEW","MONITOR"))</f>
        <v>MONITOR</v>
      </c>
      <c r="S2027" s="11" t="n">
        <f aca="false">K2027+(ROW()/10000000)</f>
        <v>9.0002027</v>
      </c>
    </row>
    <row r="2028" customFormat="false" ht="15" hidden="false" customHeight="false" outlineLevel="0" collapsed="false">
      <c r="A2028" s="11" t="s">
        <v>2391</v>
      </c>
      <c r="B2028" s="11" t="s">
        <v>28</v>
      </c>
      <c r="C2028" s="11" t="s">
        <v>107</v>
      </c>
      <c r="D2028" s="11" t="s">
        <v>35</v>
      </c>
      <c r="E2028" s="11" t="s">
        <v>91</v>
      </c>
      <c r="F2028" s="11" t="s">
        <v>92</v>
      </c>
      <c r="G2028" s="21" t="n">
        <v>244.13</v>
      </c>
      <c r="H2028" s="19" t="n">
        <v>0</v>
      </c>
      <c r="I2028" s="21" t="n">
        <v>244.13</v>
      </c>
      <c r="J2028" s="22" t="s">
        <v>80</v>
      </c>
      <c r="K2028" s="11" t="n">
        <v>2</v>
      </c>
      <c r="L2028" s="23" t="n">
        <v>3.5</v>
      </c>
      <c r="M2028" s="24" t="b">
        <f aca="false">TRUE()</f>
        <v>1</v>
      </c>
      <c r="N2028" s="11" t="s">
        <v>128</v>
      </c>
      <c r="O2028" s="11" t="str">
        <f aca="false">IF(K2028&lt;=StockP33,"Low",IF(K2028&lt;=StockP67,"Moderate","High"))</f>
        <v>Low</v>
      </c>
      <c r="P2028" s="11" t="str">
        <f aca="false">IF(H2028=0,"Low",IF(H2028&lt;=MarkdownP75,"Moderate","High"))</f>
        <v>Low</v>
      </c>
      <c r="Q2028" s="11" t="str">
        <f aca="false">IF(ISBLANK(L2028),"Unknown",IF(L2028&gt;=4,"Good",IF(L2028&lt;=2,"Poor","Neutral")))</f>
        <v>Neutral</v>
      </c>
      <c r="R2028" s="11" t="str">
        <f aca="false">IF(AND(O2028="Low",P2028="Low",Q2028="Good"),"BUY / PRIORITIZE",IF(AND(O2028="High",P2028="High",OR(Q2028="Poor",M2028=TRUE())),"HOLD / REVIEW","MONITOR"))</f>
        <v>MONITOR</v>
      </c>
      <c r="S2028" s="11" t="n">
        <f aca="false">K2028+(ROW()/10000000)</f>
        <v>2.0002028</v>
      </c>
    </row>
    <row r="2029" customFormat="false" ht="15" hidden="false" customHeight="false" outlineLevel="0" collapsed="false">
      <c r="A2029" s="11" t="s">
        <v>2392</v>
      </c>
      <c r="B2029" s="11" t="s">
        <v>8</v>
      </c>
      <c r="C2029" s="11" t="s">
        <v>116</v>
      </c>
      <c r="D2029" s="11" t="s">
        <v>34</v>
      </c>
      <c r="E2029" s="11"/>
      <c r="F2029" s="11" t="s">
        <v>88</v>
      </c>
      <c r="G2029" s="21" t="n">
        <v>16.54</v>
      </c>
      <c r="H2029" s="19" t="n">
        <v>0</v>
      </c>
      <c r="I2029" s="21" t="n">
        <v>16.54</v>
      </c>
      <c r="J2029" s="22" t="s">
        <v>421</v>
      </c>
      <c r="K2029" s="11" t="n">
        <v>30</v>
      </c>
      <c r="L2029" s="23"/>
      <c r="M2029" s="24" t="b">
        <f aca="false">FALSE()</f>
        <v>0</v>
      </c>
      <c r="N2029" s="11"/>
      <c r="O2029" s="11" t="str">
        <f aca="false">IF(K2029&lt;=StockP33,"Low",IF(K2029&lt;=StockP67,"Moderate","High"))</f>
        <v>Moderate</v>
      </c>
      <c r="P2029" s="11" t="str">
        <f aca="false">IF(H2029=0,"Low",IF(H2029&lt;=MarkdownP75,"Moderate","High"))</f>
        <v>Low</v>
      </c>
      <c r="Q2029" s="11" t="str">
        <f aca="false">IF(ISBLANK(L2029),"Unknown",IF(L2029&gt;=4,"Good",IF(L2029&lt;=2,"Poor","Neutral")))</f>
        <v>Unknown</v>
      </c>
      <c r="R2029" s="11" t="str">
        <f aca="false">IF(AND(O2029="Low",P2029="Low",Q2029="Good"),"BUY / PRIORITIZE",IF(AND(O2029="High",P2029="High",OR(Q2029="Poor",M2029=TRUE())),"HOLD / REVIEW","MONITOR"))</f>
        <v>MONITOR</v>
      </c>
      <c r="S2029" s="11" t="n">
        <f aca="false">K2029+(ROW()/10000000)</f>
        <v>30.0002029</v>
      </c>
    </row>
    <row r="2030" customFormat="false" ht="15" hidden="false" customHeight="false" outlineLevel="0" collapsed="false">
      <c r="A2030" s="11" t="s">
        <v>2393</v>
      </c>
      <c r="B2030" s="11" t="s">
        <v>30</v>
      </c>
      <c r="C2030" s="11" t="s">
        <v>72</v>
      </c>
      <c r="D2030" s="11" t="s">
        <v>36</v>
      </c>
      <c r="E2030" s="11" t="s">
        <v>91</v>
      </c>
      <c r="F2030" s="11" t="s">
        <v>88</v>
      </c>
      <c r="G2030" s="21" t="n">
        <v>100.98</v>
      </c>
      <c r="H2030" s="19" t="n">
        <v>0</v>
      </c>
      <c r="I2030" s="21" t="n">
        <v>100.98</v>
      </c>
      <c r="J2030" s="22" t="s">
        <v>80</v>
      </c>
      <c r="K2030" s="11" t="n">
        <v>41</v>
      </c>
      <c r="L2030" s="23"/>
      <c r="M2030" s="24" t="b">
        <f aca="false">FALSE()</f>
        <v>0</v>
      </c>
      <c r="N2030" s="11"/>
      <c r="O2030" s="11" t="str">
        <f aca="false">IF(K2030&lt;=StockP33,"Low",IF(K2030&lt;=StockP67,"Moderate","High"))</f>
        <v>High</v>
      </c>
      <c r="P2030" s="11" t="str">
        <f aca="false">IF(H2030=0,"Low",IF(H2030&lt;=MarkdownP75,"Moderate","High"))</f>
        <v>Low</v>
      </c>
      <c r="Q2030" s="11" t="str">
        <f aca="false">IF(ISBLANK(L2030),"Unknown",IF(L2030&gt;=4,"Good",IF(L2030&lt;=2,"Poor","Neutral")))</f>
        <v>Unknown</v>
      </c>
      <c r="R2030" s="11" t="str">
        <f aca="false">IF(AND(O2030="Low",P2030="Low",Q2030="Good"),"BUY / PRIORITIZE",IF(AND(O2030="High",P2030="High",OR(Q2030="Poor",M2030=TRUE())),"HOLD / REVIEW","MONITOR"))</f>
        <v>MONITOR</v>
      </c>
      <c r="S2030" s="11" t="n">
        <f aca="false">K2030+(ROW()/10000000)</f>
        <v>41.000203</v>
      </c>
    </row>
    <row r="2031" customFormat="false" ht="15" hidden="false" customHeight="false" outlineLevel="0" collapsed="false">
      <c r="A2031" s="11" t="s">
        <v>2394</v>
      </c>
      <c r="B2031" s="11" t="s">
        <v>28</v>
      </c>
      <c r="C2031" s="11" t="s">
        <v>77</v>
      </c>
      <c r="D2031" s="11" t="s">
        <v>37</v>
      </c>
      <c r="E2031" s="11"/>
      <c r="F2031" s="11" t="s">
        <v>92</v>
      </c>
      <c r="G2031" s="21" t="n">
        <v>175.42</v>
      </c>
      <c r="H2031" s="19" t="n">
        <v>0</v>
      </c>
      <c r="I2031" s="21" t="n">
        <v>175.42</v>
      </c>
      <c r="J2031" s="22" t="s">
        <v>80</v>
      </c>
      <c r="K2031" s="11" t="n">
        <v>5</v>
      </c>
      <c r="L2031" s="23" t="n">
        <v>3.6</v>
      </c>
      <c r="M2031" s="24" t="b">
        <f aca="false">FALSE()</f>
        <v>0</v>
      </c>
      <c r="N2031" s="11"/>
      <c r="O2031" s="11" t="str">
        <f aca="false">IF(K2031&lt;=StockP33,"Low",IF(K2031&lt;=StockP67,"Moderate","High"))</f>
        <v>Low</v>
      </c>
      <c r="P2031" s="11" t="str">
        <f aca="false">IF(H2031=0,"Low",IF(H2031&lt;=MarkdownP75,"Moderate","High"))</f>
        <v>Low</v>
      </c>
      <c r="Q2031" s="11" t="str">
        <f aca="false">IF(ISBLANK(L2031),"Unknown",IF(L2031&gt;=4,"Good",IF(L2031&lt;=2,"Poor","Neutral")))</f>
        <v>Neutral</v>
      </c>
      <c r="R2031" s="11" t="str">
        <f aca="false">IF(AND(O2031="Low",P2031="Low",Q2031="Good"),"BUY / PRIORITIZE",IF(AND(O2031="High",P2031="High",OR(Q2031="Poor",M2031=TRUE())),"HOLD / REVIEW","MONITOR"))</f>
        <v>MONITOR</v>
      </c>
      <c r="S2031" s="11" t="n">
        <f aca="false">K2031+(ROW()/10000000)</f>
        <v>5.0002031</v>
      </c>
    </row>
    <row r="2032" customFormat="false" ht="15" hidden="false" customHeight="false" outlineLevel="0" collapsed="false">
      <c r="A2032" s="11" t="s">
        <v>2395</v>
      </c>
      <c r="B2032" s="11" t="s">
        <v>27</v>
      </c>
      <c r="C2032" s="11" t="s">
        <v>107</v>
      </c>
      <c r="D2032" s="11" t="s">
        <v>34</v>
      </c>
      <c r="E2032" s="11" t="s">
        <v>102</v>
      </c>
      <c r="F2032" s="11" t="s">
        <v>79</v>
      </c>
      <c r="G2032" s="21" t="n">
        <v>133.15</v>
      </c>
      <c r="H2032" s="19" t="n">
        <v>20.3</v>
      </c>
      <c r="I2032" s="21" t="n">
        <v>106.12</v>
      </c>
      <c r="J2032" s="22" t="s">
        <v>2396</v>
      </c>
      <c r="K2032" s="11" t="n">
        <v>9</v>
      </c>
      <c r="L2032" s="23" t="n">
        <v>3.2</v>
      </c>
      <c r="M2032" s="24" t="b">
        <f aca="false">FALSE()</f>
        <v>0</v>
      </c>
      <c r="N2032" s="11"/>
      <c r="O2032" s="11" t="str">
        <f aca="false">IF(K2032&lt;=StockP33,"Low",IF(K2032&lt;=StockP67,"Moderate","High"))</f>
        <v>Low</v>
      </c>
      <c r="P2032" s="11" t="str">
        <f aca="false">IF(H2032=0,"Low",IF(H2032&lt;=MarkdownP75,"Moderate","High"))</f>
        <v>Moderate</v>
      </c>
      <c r="Q2032" s="11" t="str">
        <f aca="false">IF(ISBLANK(L2032),"Unknown",IF(L2032&gt;=4,"Good",IF(L2032&lt;=2,"Poor","Neutral")))</f>
        <v>Neutral</v>
      </c>
      <c r="R2032" s="11" t="str">
        <f aca="false">IF(AND(O2032="Low",P2032="Low",Q2032="Good"),"BUY / PRIORITIZE",IF(AND(O2032="High",P2032="High",OR(Q2032="Poor",M2032=TRUE())),"HOLD / REVIEW","MONITOR"))</f>
        <v>MONITOR</v>
      </c>
      <c r="S2032" s="11" t="n">
        <f aca="false">K2032+(ROW()/10000000)</f>
        <v>9.0002032</v>
      </c>
    </row>
    <row r="2033" customFormat="false" ht="15" hidden="false" customHeight="false" outlineLevel="0" collapsed="false">
      <c r="A2033" s="11" t="s">
        <v>2397</v>
      </c>
      <c r="B2033" s="11" t="s">
        <v>27</v>
      </c>
      <c r="C2033" s="11" t="s">
        <v>77</v>
      </c>
      <c r="D2033" s="11" t="s">
        <v>36</v>
      </c>
      <c r="E2033" s="11"/>
      <c r="F2033" s="11" t="s">
        <v>79</v>
      </c>
      <c r="G2033" s="21" t="n">
        <v>94.21</v>
      </c>
      <c r="H2033" s="19" t="n">
        <v>44.7</v>
      </c>
      <c r="I2033" s="21" t="n">
        <v>52.1</v>
      </c>
      <c r="J2033" s="22" t="s">
        <v>80</v>
      </c>
      <c r="K2033" s="11" t="n">
        <v>48</v>
      </c>
      <c r="L2033" s="23" t="n">
        <v>4.3</v>
      </c>
      <c r="M2033" s="24" t="b">
        <f aca="false">FALSE()</f>
        <v>0</v>
      </c>
      <c r="N2033" s="11"/>
      <c r="O2033" s="11" t="str">
        <f aca="false">IF(K2033&lt;=StockP33,"Low",IF(K2033&lt;=StockP67,"Moderate","High"))</f>
        <v>High</v>
      </c>
      <c r="P2033" s="11" t="str">
        <f aca="false">IF(H2033=0,"Low",IF(H2033&lt;=MarkdownP75,"Moderate","High"))</f>
        <v>High</v>
      </c>
      <c r="Q2033" s="11" t="str">
        <f aca="false">IF(ISBLANK(L2033),"Unknown",IF(L2033&gt;=4,"Good",IF(L2033&lt;=2,"Poor","Neutral")))</f>
        <v>Good</v>
      </c>
      <c r="R2033" s="11" t="str">
        <f aca="false">IF(AND(O2033="Low",P2033="Low",Q2033="Good"),"BUY / PRIORITIZE",IF(AND(O2033="High",P2033="High",OR(Q2033="Poor",M2033=TRUE())),"HOLD / REVIEW","MONITOR"))</f>
        <v>MONITOR</v>
      </c>
      <c r="S2033" s="11" t="n">
        <f aca="false">K2033+(ROW()/10000000)</f>
        <v>48.0002033</v>
      </c>
    </row>
    <row r="2034" customFormat="false" ht="15" hidden="false" customHeight="false" outlineLevel="0" collapsed="false">
      <c r="A2034" s="11" t="s">
        <v>2398</v>
      </c>
      <c r="B2034" s="11" t="s">
        <v>30</v>
      </c>
      <c r="C2034" s="11" t="s">
        <v>130</v>
      </c>
      <c r="D2034" s="11" t="s">
        <v>37</v>
      </c>
      <c r="E2034" s="11" t="s">
        <v>113</v>
      </c>
      <c r="F2034" s="11" t="s">
        <v>79</v>
      </c>
      <c r="G2034" s="21" t="n">
        <v>115.44</v>
      </c>
      <c r="H2034" s="19" t="n">
        <v>0</v>
      </c>
      <c r="I2034" s="21" t="n">
        <v>115.44</v>
      </c>
      <c r="J2034" s="22" t="s">
        <v>80</v>
      </c>
      <c r="K2034" s="11" t="n">
        <v>21</v>
      </c>
      <c r="L2034" s="23" t="n">
        <v>1.2</v>
      </c>
      <c r="M2034" s="24" t="b">
        <f aca="false">FALSE()</f>
        <v>0</v>
      </c>
      <c r="N2034" s="11"/>
      <c r="O2034" s="11" t="str">
        <f aca="false">IF(K2034&lt;=StockP33,"Low",IF(K2034&lt;=StockP67,"Moderate","High"))</f>
        <v>Moderate</v>
      </c>
      <c r="P2034" s="11" t="str">
        <f aca="false">IF(H2034=0,"Low",IF(H2034&lt;=MarkdownP75,"Moderate","High"))</f>
        <v>Low</v>
      </c>
      <c r="Q2034" s="11" t="str">
        <f aca="false">IF(ISBLANK(L2034),"Unknown",IF(L2034&gt;=4,"Good",IF(L2034&lt;=2,"Poor","Neutral")))</f>
        <v>Poor</v>
      </c>
      <c r="R2034" s="11" t="str">
        <f aca="false">IF(AND(O2034="Low",P2034="Low",Q2034="Good"),"BUY / PRIORITIZE",IF(AND(O2034="High",P2034="High",OR(Q2034="Poor",M2034=TRUE())),"HOLD / REVIEW","MONITOR"))</f>
        <v>MONITOR</v>
      </c>
      <c r="S2034" s="11" t="n">
        <f aca="false">K2034+(ROW()/10000000)</f>
        <v>21.0002034</v>
      </c>
    </row>
    <row r="2035" customFormat="false" ht="15" hidden="false" customHeight="false" outlineLevel="0" collapsed="false">
      <c r="A2035" s="11" t="s">
        <v>2399</v>
      </c>
      <c r="B2035" s="11" t="s">
        <v>28</v>
      </c>
      <c r="C2035" s="11" t="s">
        <v>72</v>
      </c>
      <c r="D2035" s="11" t="s">
        <v>34</v>
      </c>
      <c r="E2035" s="11" t="s">
        <v>91</v>
      </c>
      <c r="F2035" s="11" t="s">
        <v>88</v>
      </c>
      <c r="G2035" s="21" t="n">
        <v>194.39</v>
      </c>
      <c r="H2035" s="19" t="n">
        <v>26.5</v>
      </c>
      <c r="I2035" s="21" t="n">
        <v>142.88</v>
      </c>
      <c r="J2035" s="22" t="s">
        <v>1349</v>
      </c>
      <c r="K2035" s="11" t="n">
        <v>12</v>
      </c>
      <c r="L2035" s="23" t="n">
        <v>1.2</v>
      </c>
      <c r="M2035" s="24" t="b">
        <f aca="false">FALSE()</f>
        <v>0</v>
      </c>
      <c r="N2035" s="11"/>
      <c r="O2035" s="11" t="str">
        <f aca="false">IF(K2035&lt;=StockP33,"Low",IF(K2035&lt;=StockP67,"Moderate","High"))</f>
        <v>Low</v>
      </c>
      <c r="P2035" s="11" t="str">
        <f aca="false">IF(H2035=0,"Low",IF(H2035&lt;=MarkdownP75,"Moderate","High"))</f>
        <v>High</v>
      </c>
      <c r="Q2035" s="11" t="str">
        <f aca="false">IF(ISBLANK(L2035),"Unknown",IF(L2035&gt;=4,"Good",IF(L2035&lt;=2,"Poor","Neutral")))</f>
        <v>Poor</v>
      </c>
      <c r="R2035" s="11" t="str">
        <f aca="false">IF(AND(O2035="Low",P2035="Low",Q2035="Good"),"BUY / PRIORITIZE",IF(AND(O2035="High",P2035="High",OR(Q2035="Poor",M2035=TRUE())),"HOLD / REVIEW","MONITOR"))</f>
        <v>MONITOR</v>
      </c>
      <c r="S2035" s="11" t="n">
        <f aca="false">K2035+(ROW()/10000000)</f>
        <v>12.0002035</v>
      </c>
    </row>
    <row r="2036" customFormat="false" ht="15" hidden="false" customHeight="false" outlineLevel="0" collapsed="false">
      <c r="A2036" s="11" t="s">
        <v>2400</v>
      </c>
      <c r="B2036" s="11" t="s">
        <v>29</v>
      </c>
      <c r="C2036" s="11" t="s">
        <v>86</v>
      </c>
      <c r="D2036" s="11" t="s">
        <v>34</v>
      </c>
      <c r="E2036" s="11" t="s">
        <v>78</v>
      </c>
      <c r="F2036" s="11" t="s">
        <v>88</v>
      </c>
      <c r="G2036" s="21" t="n">
        <v>132.39</v>
      </c>
      <c r="H2036" s="19" t="n">
        <v>27.6</v>
      </c>
      <c r="I2036" s="21" t="n">
        <v>95.85</v>
      </c>
      <c r="J2036" s="22" t="s">
        <v>2401</v>
      </c>
      <c r="K2036" s="11" t="n">
        <v>16</v>
      </c>
      <c r="L2036" s="23"/>
      <c r="M2036" s="24" t="b">
        <f aca="false">FALSE()</f>
        <v>0</v>
      </c>
      <c r="N2036" s="11"/>
      <c r="O2036" s="11" t="str">
        <f aca="false">IF(K2036&lt;=StockP33,"Low",IF(K2036&lt;=StockP67,"Moderate","High"))</f>
        <v>Low</v>
      </c>
      <c r="P2036" s="11" t="str">
        <f aca="false">IF(H2036=0,"Low",IF(H2036&lt;=MarkdownP75,"Moderate","High"))</f>
        <v>High</v>
      </c>
      <c r="Q2036" s="11" t="str">
        <f aca="false">IF(ISBLANK(L2036),"Unknown",IF(L2036&gt;=4,"Good",IF(L2036&lt;=2,"Poor","Neutral")))</f>
        <v>Unknown</v>
      </c>
      <c r="R2036" s="11" t="str">
        <f aca="false">IF(AND(O2036="Low",P2036="Low",Q2036="Good"),"BUY / PRIORITIZE",IF(AND(O2036="High",P2036="High",OR(Q2036="Poor",M2036=TRUE())),"HOLD / REVIEW","MONITOR"))</f>
        <v>MONITOR</v>
      </c>
      <c r="S2036" s="11" t="n">
        <f aca="false">K2036+(ROW()/10000000)</f>
        <v>16.0002036</v>
      </c>
    </row>
    <row r="2037" customFormat="false" ht="15" hidden="false" customHeight="false" outlineLevel="0" collapsed="false">
      <c r="A2037" s="11" t="s">
        <v>2402</v>
      </c>
      <c r="B2037" s="11" t="s">
        <v>8</v>
      </c>
      <c r="C2037" s="11" t="s">
        <v>77</v>
      </c>
      <c r="D2037" s="11" t="s">
        <v>34</v>
      </c>
      <c r="E2037" s="11"/>
      <c r="F2037" s="11" t="s">
        <v>74</v>
      </c>
      <c r="G2037" s="21" t="n">
        <v>52.54</v>
      </c>
      <c r="H2037" s="19" t="n">
        <v>14.6</v>
      </c>
      <c r="I2037" s="21" t="n">
        <v>44.87</v>
      </c>
      <c r="J2037" s="22" t="s">
        <v>314</v>
      </c>
      <c r="K2037" s="11" t="n">
        <v>7</v>
      </c>
      <c r="L2037" s="23" t="n">
        <v>1.4</v>
      </c>
      <c r="M2037" s="24" t="b">
        <f aca="false">FALSE()</f>
        <v>0</v>
      </c>
      <c r="N2037" s="11"/>
      <c r="O2037" s="11" t="str">
        <f aca="false">IF(K2037&lt;=StockP33,"Low",IF(K2037&lt;=StockP67,"Moderate","High"))</f>
        <v>Low</v>
      </c>
      <c r="P2037" s="11" t="str">
        <f aca="false">IF(H2037=0,"Low",IF(H2037&lt;=MarkdownP75,"Moderate","High"))</f>
        <v>Moderate</v>
      </c>
      <c r="Q2037" s="11" t="str">
        <f aca="false">IF(ISBLANK(L2037),"Unknown",IF(L2037&gt;=4,"Good",IF(L2037&lt;=2,"Poor","Neutral")))</f>
        <v>Poor</v>
      </c>
      <c r="R2037" s="11" t="str">
        <f aca="false">IF(AND(O2037="Low",P2037="Low",Q2037="Good"),"BUY / PRIORITIZE",IF(AND(O2037="High",P2037="High",OR(Q2037="Poor",M2037=TRUE())),"HOLD / REVIEW","MONITOR"))</f>
        <v>MONITOR</v>
      </c>
      <c r="S2037" s="11" t="n">
        <f aca="false">K2037+(ROW()/10000000)</f>
        <v>7.0002037</v>
      </c>
    </row>
    <row r="2038" customFormat="false" ht="15" hidden="false" customHeight="false" outlineLevel="0" collapsed="false">
      <c r="A2038" s="11" t="s">
        <v>2403</v>
      </c>
      <c r="B2038" s="11" t="s">
        <v>27</v>
      </c>
      <c r="C2038" s="11" t="s">
        <v>77</v>
      </c>
      <c r="D2038" s="11" t="s">
        <v>34</v>
      </c>
      <c r="E2038" s="11" t="s">
        <v>73</v>
      </c>
      <c r="F2038" s="11" t="s">
        <v>82</v>
      </c>
      <c r="G2038" s="21" t="n">
        <v>165.01</v>
      </c>
      <c r="H2038" s="19" t="n">
        <v>41.2</v>
      </c>
      <c r="I2038" s="21" t="n">
        <v>97.03</v>
      </c>
      <c r="J2038" s="22" t="s">
        <v>2386</v>
      </c>
      <c r="K2038" s="11" t="n">
        <v>22</v>
      </c>
      <c r="L2038" s="23"/>
      <c r="M2038" s="24" t="b">
        <f aca="false">FALSE()</f>
        <v>0</v>
      </c>
      <c r="N2038" s="11"/>
      <c r="O2038" s="11" t="str">
        <f aca="false">IF(K2038&lt;=StockP33,"Low",IF(K2038&lt;=StockP67,"Moderate","High"))</f>
        <v>Moderate</v>
      </c>
      <c r="P2038" s="11" t="str">
        <f aca="false">IF(H2038=0,"Low",IF(H2038&lt;=MarkdownP75,"Moderate","High"))</f>
        <v>High</v>
      </c>
      <c r="Q2038" s="11" t="str">
        <f aca="false">IF(ISBLANK(L2038),"Unknown",IF(L2038&gt;=4,"Good",IF(L2038&lt;=2,"Poor","Neutral")))</f>
        <v>Unknown</v>
      </c>
      <c r="R2038" s="11" t="str">
        <f aca="false">IF(AND(O2038="Low",P2038="Low",Q2038="Good"),"BUY / PRIORITIZE",IF(AND(O2038="High",P2038="High",OR(Q2038="Poor",M2038=TRUE())),"HOLD / REVIEW","MONITOR"))</f>
        <v>MONITOR</v>
      </c>
      <c r="S2038" s="11" t="n">
        <f aca="false">K2038+(ROW()/10000000)</f>
        <v>22.0002038</v>
      </c>
    </row>
    <row r="2039" customFormat="false" ht="15" hidden="false" customHeight="false" outlineLevel="0" collapsed="false">
      <c r="A2039" s="11" t="s">
        <v>2404</v>
      </c>
      <c r="B2039" s="11" t="s">
        <v>8</v>
      </c>
      <c r="C2039" s="11" t="s">
        <v>107</v>
      </c>
      <c r="D2039" s="11" t="s">
        <v>34</v>
      </c>
      <c r="E2039" s="11"/>
      <c r="F2039" s="11" t="s">
        <v>120</v>
      </c>
      <c r="G2039" s="21" t="n">
        <v>42.94</v>
      </c>
      <c r="H2039" s="19" t="n">
        <v>34.3</v>
      </c>
      <c r="I2039" s="21" t="n">
        <v>28.21</v>
      </c>
      <c r="J2039" s="22" t="s">
        <v>2405</v>
      </c>
      <c r="K2039" s="11" t="n">
        <v>41</v>
      </c>
      <c r="L2039" s="23"/>
      <c r="M2039" s="24" t="b">
        <f aca="false">FALSE()</f>
        <v>0</v>
      </c>
      <c r="N2039" s="11"/>
      <c r="O2039" s="11" t="str">
        <f aca="false">IF(K2039&lt;=StockP33,"Low",IF(K2039&lt;=StockP67,"Moderate","High"))</f>
        <v>High</v>
      </c>
      <c r="P2039" s="11" t="str">
        <f aca="false">IF(H2039=0,"Low",IF(H2039&lt;=MarkdownP75,"Moderate","High"))</f>
        <v>High</v>
      </c>
      <c r="Q2039" s="11" t="str">
        <f aca="false">IF(ISBLANK(L2039),"Unknown",IF(L2039&gt;=4,"Good",IF(L2039&lt;=2,"Poor","Neutral")))</f>
        <v>Unknown</v>
      </c>
      <c r="R2039" s="11" t="str">
        <f aca="false">IF(AND(O2039="Low",P2039="Low",Q2039="Good"),"BUY / PRIORITIZE",IF(AND(O2039="High",P2039="High",OR(Q2039="Poor",M2039=TRUE())),"HOLD / REVIEW","MONITOR"))</f>
        <v>MONITOR</v>
      </c>
      <c r="S2039" s="11" t="n">
        <f aca="false">K2039+(ROW()/10000000)</f>
        <v>41.0002039</v>
      </c>
    </row>
    <row r="2040" customFormat="false" ht="15" hidden="false" customHeight="false" outlineLevel="0" collapsed="false">
      <c r="A2040" s="11" t="s">
        <v>2406</v>
      </c>
      <c r="B2040" s="11" t="s">
        <v>30</v>
      </c>
      <c r="C2040" s="11" t="s">
        <v>77</v>
      </c>
      <c r="D2040" s="11" t="s">
        <v>36</v>
      </c>
      <c r="E2040" s="11" t="s">
        <v>73</v>
      </c>
      <c r="F2040" s="11" t="s">
        <v>111</v>
      </c>
      <c r="G2040" s="21" t="n">
        <v>72.78</v>
      </c>
      <c r="H2040" s="19" t="n">
        <v>0</v>
      </c>
      <c r="I2040" s="21" t="n">
        <v>72.78</v>
      </c>
      <c r="J2040" s="22" t="s">
        <v>80</v>
      </c>
      <c r="K2040" s="11" t="n">
        <v>49</v>
      </c>
      <c r="L2040" s="23" t="n">
        <v>3.1</v>
      </c>
      <c r="M2040" s="24" t="b">
        <f aca="false">FALSE()</f>
        <v>0</v>
      </c>
      <c r="N2040" s="11"/>
      <c r="O2040" s="11" t="str">
        <f aca="false">IF(K2040&lt;=StockP33,"Low",IF(K2040&lt;=StockP67,"Moderate","High"))</f>
        <v>High</v>
      </c>
      <c r="P2040" s="11" t="str">
        <f aca="false">IF(H2040=0,"Low",IF(H2040&lt;=MarkdownP75,"Moderate","High"))</f>
        <v>Low</v>
      </c>
      <c r="Q2040" s="11" t="str">
        <f aca="false">IF(ISBLANK(L2040),"Unknown",IF(L2040&gt;=4,"Good",IF(L2040&lt;=2,"Poor","Neutral")))</f>
        <v>Neutral</v>
      </c>
      <c r="R2040" s="11" t="str">
        <f aca="false">IF(AND(O2040="Low",P2040="Low",Q2040="Good"),"BUY / PRIORITIZE",IF(AND(O2040="High",P2040="High",OR(Q2040="Poor",M2040=TRUE())),"HOLD / REVIEW","MONITOR"))</f>
        <v>MONITOR</v>
      </c>
      <c r="S2040" s="11" t="n">
        <f aca="false">K2040+(ROW()/10000000)</f>
        <v>49.000204</v>
      </c>
    </row>
    <row r="2041" customFormat="false" ht="15" hidden="false" customHeight="false" outlineLevel="0" collapsed="false">
      <c r="A2041" s="11" t="s">
        <v>2407</v>
      </c>
      <c r="B2041" s="11" t="s">
        <v>29</v>
      </c>
      <c r="C2041" s="11" t="s">
        <v>77</v>
      </c>
      <c r="D2041" s="11" t="s">
        <v>36</v>
      </c>
      <c r="E2041" s="11" t="s">
        <v>91</v>
      </c>
      <c r="F2041" s="11" t="s">
        <v>74</v>
      </c>
      <c r="G2041" s="21" t="n">
        <v>189.32</v>
      </c>
      <c r="H2041" s="19" t="n">
        <v>0</v>
      </c>
      <c r="I2041" s="21" t="n">
        <v>189.32</v>
      </c>
      <c r="J2041" s="22" t="s">
        <v>80</v>
      </c>
      <c r="K2041" s="11" t="n">
        <v>35</v>
      </c>
      <c r="L2041" s="23" t="n">
        <v>2.5</v>
      </c>
      <c r="M2041" s="24" t="b">
        <f aca="false">FALSE()</f>
        <v>0</v>
      </c>
      <c r="N2041" s="11"/>
      <c r="O2041" s="11" t="str">
        <f aca="false">IF(K2041&lt;=StockP33,"Low",IF(K2041&lt;=StockP67,"Moderate","High"))</f>
        <v>High</v>
      </c>
      <c r="P2041" s="11" t="str">
        <f aca="false">IF(H2041=0,"Low",IF(H2041&lt;=MarkdownP75,"Moderate","High"))</f>
        <v>Low</v>
      </c>
      <c r="Q2041" s="11" t="str">
        <f aca="false">IF(ISBLANK(L2041),"Unknown",IF(L2041&gt;=4,"Good",IF(L2041&lt;=2,"Poor","Neutral")))</f>
        <v>Neutral</v>
      </c>
      <c r="R2041" s="11" t="str">
        <f aca="false">IF(AND(O2041="Low",P2041="Low",Q2041="Good"),"BUY / PRIORITIZE",IF(AND(O2041="High",P2041="High",OR(Q2041="Poor",M2041=TRUE())),"HOLD / REVIEW","MONITOR"))</f>
        <v>MONITOR</v>
      </c>
      <c r="S2041" s="11" t="n">
        <f aca="false">K2041+(ROW()/10000000)</f>
        <v>35.0002041</v>
      </c>
    </row>
    <row r="2042" customFormat="false" ht="15" hidden="false" customHeight="false" outlineLevel="0" collapsed="false">
      <c r="A2042" s="11" t="s">
        <v>2408</v>
      </c>
      <c r="B2042" s="11" t="s">
        <v>27</v>
      </c>
      <c r="C2042" s="11" t="s">
        <v>107</v>
      </c>
      <c r="D2042" s="11" t="s">
        <v>35</v>
      </c>
      <c r="E2042" s="11" t="s">
        <v>73</v>
      </c>
      <c r="F2042" s="11" t="s">
        <v>88</v>
      </c>
      <c r="G2042" s="21" t="n">
        <v>157</v>
      </c>
      <c r="H2042" s="19" t="n">
        <v>55.7</v>
      </c>
      <c r="I2042" s="21" t="n">
        <v>69.55</v>
      </c>
      <c r="J2042" s="22" t="s">
        <v>80</v>
      </c>
      <c r="K2042" s="11" t="n">
        <v>6</v>
      </c>
      <c r="L2042" s="23" t="n">
        <v>2.1</v>
      </c>
      <c r="M2042" s="24" t="b">
        <f aca="false">FALSE()</f>
        <v>0</v>
      </c>
      <c r="N2042" s="11"/>
      <c r="O2042" s="11" t="str">
        <f aca="false">IF(K2042&lt;=StockP33,"Low",IF(K2042&lt;=StockP67,"Moderate","High"))</f>
        <v>Low</v>
      </c>
      <c r="P2042" s="11" t="str">
        <f aca="false">IF(H2042=0,"Low",IF(H2042&lt;=MarkdownP75,"Moderate","High"))</f>
        <v>High</v>
      </c>
      <c r="Q2042" s="11" t="str">
        <f aca="false">IF(ISBLANK(L2042),"Unknown",IF(L2042&gt;=4,"Good",IF(L2042&lt;=2,"Poor","Neutral")))</f>
        <v>Neutral</v>
      </c>
      <c r="R2042" s="11" t="str">
        <f aca="false">IF(AND(O2042="Low",P2042="Low",Q2042="Good"),"BUY / PRIORITIZE",IF(AND(O2042="High",P2042="High",OR(Q2042="Poor",M2042=TRUE())),"HOLD / REVIEW","MONITOR"))</f>
        <v>MONITOR</v>
      </c>
      <c r="S2042" s="11" t="n">
        <f aca="false">K2042+(ROW()/10000000)</f>
        <v>6.0002042</v>
      </c>
    </row>
    <row r="2043" customFormat="false" ht="15" hidden="false" customHeight="false" outlineLevel="0" collapsed="false">
      <c r="A2043" s="11" t="s">
        <v>2409</v>
      </c>
      <c r="B2043" s="11" t="s">
        <v>30</v>
      </c>
      <c r="C2043" s="11" t="s">
        <v>116</v>
      </c>
      <c r="D2043" s="11" t="s">
        <v>34</v>
      </c>
      <c r="E2043" s="11" t="s">
        <v>91</v>
      </c>
      <c r="F2043" s="11" t="s">
        <v>120</v>
      </c>
      <c r="G2043" s="21" t="n">
        <v>28.73</v>
      </c>
      <c r="H2043" s="19" t="n">
        <v>26.4</v>
      </c>
      <c r="I2043" s="21" t="n">
        <v>21.15</v>
      </c>
      <c r="J2043" s="22" t="s">
        <v>394</v>
      </c>
      <c r="K2043" s="11" t="n">
        <v>47</v>
      </c>
      <c r="L2043" s="23" t="n">
        <v>2.3</v>
      </c>
      <c r="M2043" s="24" t="b">
        <f aca="false">TRUE()</f>
        <v>1</v>
      </c>
      <c r="N2043" s="11" t="s">
        <v>128</v>
      </c>
      <c r="O2043" s="11" t="str">
        <f aca="false">IF(K2043&lt;=StockP33,"Low",IF(K2043&lt;=StockP67,"Moderate","High"))</f>
        <v>High</v>
      </c>
      <c r="P2043" s="11" t="str">
        <f aca="false">IF(H2043=0,"Low",IF(H2043&lt;=MarkdownP75,"Moderate","High"))</f>
        <v>High</v>
      </c>
      <c r="Q2043" s="11" t="str">
        <f aca="false">IF(ISBLANK(L2043),"Unknown",IF(L2043&gt;=4,"Good",IF(L2043&lt;=2,"Poor","Neutral")))</f>
        <v>Neutral</v>
      </c>
      <c r="R2043" s="11" t="str">
        <f aca="false">IF(AND(O2043="Low",P2043="Low",Q2043="Good"),"BUY / PRIORITIZE",IF(AND(O2043="High",P2043="High",OR(Q2043="Poor",M2043=TRUE())),"HOLD / REVIEW","MONITOR"))</f>
        <v>HOLD / REVIEW</v>
      </c>
      <c r="S2043" s="11" t="n">
        <f aca="false">K2043+(ROW()/10000000)</f>
        <v>47.0002043</v>
      </c>
    </row>
    <row r="2044" customFormat="false" ht="15" hidden="false" customHeight="false" outlineLevel="0" collapsed="false">
      <c r="A2044" s="11" t="s">
        <v>2410</v>
      </c>
      <c r="B2044" s="11" t="s">
        <v>28</v>
      </c>
      <c r="C2044" s="11" t="s">
        <v>130</v>
      </c>
      <c r="D2044" s="11" t="s">
        <v>37</v>
      </c>
      <c r="E2044" s="11" t="s">
        <v>78</v>
      </c>
      <c r="F2044" s="11" t="s">
        <v>92</v>
      </c>
      <c r="G2044" s="21" t="n">
        <v>144.64</v>
      </c>
      <c r="H2044" s="19" t="n">
        <v>0</v>
      </c>
      <c r="I2044" s="21" t="n">
        <v>144.64</v>
      </c>
      <c r="J2044" s="22" t="s">
        <v>80</v>
      </c>
      <c r="K2044" s="11" t="n">
        <v>0</v>
      </c>
      <c r="L2044" s="23" t="n">
        <v>4.5</v>
      </c>
      <c r="M2044" s="24" t="b">
        <f aca="false">FALSE()</f>
        <v>0</v>
      </c>
      <c r="N2044" s="11"/>
      <c r="O2044" s="11" t="str">
        <f aca="false">IF(K2044&lt;=StockP33,"Low",IF(K2044&lt;=StockP67,"Moderate","High"))</f>
        <v>Low</v>
      </c>
      <c r="P2044" s="11" t="str">
        <f aca="false">IF(H2044=0,"Low",IF(H2044&lt;=MarkdownP75,"Moderate","High"))</f>
        <v>Low</v>
      </c>
      <c r="Q2044" s="11" t="str">
        <f aca="false">IF(ISBLANK(L2044),"Unknown",IF(L2044&gt;=4,"Good",IF(L2044&lt;=2,"Poor","Neutral")))</f>
        <v>Good</v>
      </c>
      <c r="R2044" s="11" t="str">
        <f aca="false">IF(AND(O2044="Low",P2044="Low",Q2044="Good"),"BUY / PRIORITIZE",IF(AND(O2044="High",P2044="High",OR(Q2044="Poor",M2044=TRUE())),"HOLD / REVIEW","MONITOR"))</f>
        <v>BUY / PRIORITIZE</v>
      </c>
      <c r="S2044" s="11" t="n">
        <f aca="false">K2044+(ROW()/10000000)</f>
        <v>0.0002044</v>
      </c>
    </row>
    <row r="2045" customFormat="false" ht="15" hidden="false" customHeight="false" outlineLevel="0" collapsed="false">
      <c r="A2045" s="11" t="s">
        <v>2411</v>
      </c>
      <c r="B2045" s="11" t="s">
        <v>29</v>
      </c>
      <c r="C2045" s="11" t="s">
        <v>86</v>
      </c>
      <c r="D2045" s="11" t="s">
        <v>36</v>
      </c>
      <c r="E2045" s="11" t="s">
        <v>78</v>
      </c>
      <c r="F2045" s="11" t="s">
        <v>96</v>
      </c>
      <c r="G2045" s="21" t="n">
        <v>180.99</v>
      </c>
      <c r="H2045" s="19" t="n">
        <v>0</v>
      </c>
      <c r="I2045" s="21" t="n">
        <v>180.99</v>
      </c>
      <c r="J2045" s="22" t="s">
        <v>80</v>
      </c>
      <c r="K2045" s="11" t="n">
        <v>0</v>
      </c>
      <c r="L2045" s="23" t="n">
        <v>4.5</v>
      </c>
      <c r="M2045" s="24" t="b">
        <f aca="false">FALSE()</f>
        <v>0</v>
      </c>
      <c r="N2045" s="11"/>
      <c r="O2045" s="11" t="str">
        <f aca="false">IF(K2045&lt;=StockP33,"Low",IF(K2045&lt;=StockP67,"Moderate","High"))</f>
        <v>Low</v>
      </c>
      <c r="P2045" s="11" t="str">
        <f aca="false">IF(H2045=0,"Low",IF(H2045&lt;=MarkdownP75,"Moderate","High"))</f>
        <v>Low</v>
      </c>
      <c r="Q2045" s="11" t="str">
        <f aca="false">IF(ISBLANK(L2045),"Unknown",IF(L2045&gt;=4,"Good",IF(L2045&lt;=2,"Poor","Neutral")))</f>
        <v>Good</v>
      </c>
      <c r="R2045" s="11" t="str">
        <f aca="false">IF(AND(O2045="Low",P2045="Low",Q2045="Good"),"BUY / PRIORITIZE",IF(AND(O2045="High",P2045="High",OR(Q2045="Poor",M2045=TRUE())),"HOLD / REVIEW","MONITOR"))</f>
        <v>BUY / PRIORITIZE</v>
      </c>
      <c r="S2045" s="11" t="n">
        <f aca="false">K2045+(ROW()/10000000)</f>
        <v>0.0002045</v>
      </c>
    </row>
    <row r="2046" customFormat="false" ht="15" hidden="false" customHeight="false" outlineLevel="0" collapsed="false">
      <c r="A2046" s="11" t="s">
        <v>2412</v>
      </c>
      <c r="B2046" s="11" t="s">
        <v>30</v>
      </c>
      <c r="C2046" s="11" t="s">
        <v>107</v>
      </c>
      <c r="D2046" s="11" t="s">
        <v>36</v>
      </c>
      <c r="E2046" s="11" t="s">
        <v>113</v>
      </c>
      <c r="F2046" s="11" t="s">
        <v>98</v>
      </c>
      <c r="G2046" s="21" t="n">
        <v>74.96</v>
      </c>
      <c r="H2046" s="19" t="n">
        <v>56.1</v>
      </c>
      <c r="I2046" s="21" t="n">
        <v>32.91</v>
      </c>
      <c r="J2046" s="22" t="s">
        <v>80</v>
      </c>
      <c r="K2046" s="11" t="n">
        <v>16</v>
      </c>
      <c r="L2046" s="23"/>
      <c r="M2046" s="24" t="b">
        <f aca="false">TRUE()</f>
        <v>1</v>
      </c>
      <c r="N2046" s="11" t="s">
        <v>191</v>
      </c>
      <c r="O2046" s="11" t="str">
        <f aca="false">IF(K2046&lt;=StockP33,"Low",IF(K2046&lt;=StockP67,"Moderate","High"))</f>
        <v>Low</v>
      </c>
      <c r="P2046" s="11" t="str">
        <f aca="false">IF(H2046=0,"Low",IF(H2046&lt;=MarkdownP75,"Moderate","High"))</f>
        <v>High</v>
      </c>
      <c r="Q2046" s="11" t="str">
        <f aca="false">IF(ISBLANK(L2046),"Unknown",IF(L2046&gt;=4,"Good",IF(L2046&lt;=2,"Poor","Neutral")))</f>
        <v>Unknown</v>
      </c>
      <c r="R2046" s="11" t="str">
        <f aca="false">IF(AND(O2046="Low",P2046="Low",Q2046="Good"),"BUY / PRIORITIZE",IF(AND(O2046="High",P2046="High",OR(Q2046="Poor",M2046=TRUE())),"HOLD / REVIEW","MONITOR"))</f>
        <v>MONITOR</v>
      </c>
      <c r="S2046" s="11" t="n">
        <f aca="false">K2046+(ROW()/10000000)</f>
        <v>16.0002046</v>
      </c>
    </row>
    <row r="2047" customFormat="false" ht="15" hidden="false" customHeight="false" outlineLevel="0" collapsed="false">
      <c r="A2047" s="11" t="s">
        <v>2413</v>
      </c>
      <c r="B2047" s="11" t="s">
        <v>27</v>
      </c>
      <c r="C2047" s="11" t="s">
        <v>107</v>
      </c>
      <c r="D2047" s="11" t="s">
        <v>36</v>
      </c>
      <c r="E2047" s="11" t="s">
        <v>102</v>
      </c>
      <c r="F2047" s="11" t="s">
        <v>118</v>
      </c>
      <c r="G2047" s="21" t="n">
        <v>63.46</v>
      </c>
      <c r="H2047" s="19" t="n">
        <v>0</v>
      </c>
      <c r="I2047" s="21" t="n">
        <v>63.46</v>
      </c>
      <c r="J2047" s="22" t="s">
        <v>80</v>
      </c>
      <c r="K2047" s="11" t="n">
        <v>36</v>
      </c>
      <c r="L2047" s="23" t="n">
        <v>1.2</v>
      </c>
      <c r="M2047" s="24" t="b">
        <f aca="false">FALSE()</f>
        <v>0</v>
      </c>
      <c r="N2047" s="11"/>
      <c r="O2047" s="11" t="str">
        <f aca="false">IF(K2047&lt;=StockP33,"Low",IF(K2047&lt;=StockP67,"Moderate","High"))</f>
        <v>High</v>
      </c>
      <c r="P2047" s="11" t="str">
        <f aca="false">IF(H2047=0,"Low",IF(H2047&lt;=MarkdownP75,"Moderate","High"))</f>
        <v>Low</v>
      </c>
      <c r="Q2047" s="11" t="str">
        <f aca="false">IF(ISBLANK(L2047),"Unknown",IF(L2047&gt;=4,"Good",IF(L2047&lt;=2,"Poor","Neutral")))</f>
        <v>Poor</v>
      </c>
      <c r="R2047" s="11" t="str">
        <f aca="false">IF(AND(O2047="Low",P2047="Low",Q2047="Good"),"BUY / PRIORITIZE",IF(AND(O2047="High",P2047="High",OR(Q2047="Poor",M2047=TRUE())),"HOLD / REVIEW","MONITOR"))</f>
        <v>MONITOR</v>
      </c>
      <c r="S2047" s="11" t="n">
        <f aca="false">K2047+(ROW()/10000000)</f>
        <v>36.0002047</v>
      </c>
    </row>
    <row r="2048" customFormat="false" ht="15" hidden="false" customHeight="false" outlineLevel="0" collapsed="false">
      <c r="A2048" s="11" t="s">
        <v>2414</v>
      </c>
      <c r="B2048" s="11" t="s">
        <v>29</v>
      </c>
      <c r="C2048" s="11" t="s">
        <v>95</v>
      </c>
      <c r="D2048" s="11" t="s">
        <v>34</v>
      </c>
      <c r="E2048" s="11" t="s">
        <v>91</v>
      </c>
      <c r="F2048" s="11" t="s">
        <v>82</v>
      </c>
      <c r="G2048" s="21" t="n">
        <v>105.95</v>
      </c>
      <c r="H2048" s="19" t="n">
        <v>31.6</v>
      </c>
      <c r="I2048" s="21" t="n">
        <v>72.47</v>
      </c>
      <c r="J2048" s="22" t="s">
        <v>188</v>
      </c>
      <c r="K2048" s="11" t="n">
        <v>38</v>
      </c>
      <c r="L2048" s="23" t="n">
        <v>3.5</v>
      </c>
      <c r="M2048" s="24" t="b">
        <f aca="false">FALSE()</f>
        <v>0</v>
      </c>
      <c r="N2048" s="11"/>
      <c r="O2048" s="11" t="str">
        <f aca="false">IF(K2048&lt;=StockP33,"Low",IF(K2048&lt;=StockP67,"Moderate","High"))</f>
        <v>High</v>
      </c>
      <c r="P2048" s="11" t="str">
        <f aca="false">IF(H2048=0,"Low",IF(H2048&lt;=MarkdownP75,"Moderate","High"))</f>
        <v>High</v>
      </c>
      <c r="Q2048" s="11" t="str">
        <f aca="false">IF(ISBLANK(L2048),"Unknown",IF(L2048&gt;=4,"Good",IF(L2048&lt;=2,"Poor","Neutral")))</f>
        <v>Neutral</v>
      </c>
      <c r="R2048" s="11" t="str">
        <f aca="false">IF(AND(O2048="Low",P2048="Low",Q2048="Good"),"BUY / PRIORITIZE",IF(AND(O2048="High",P2048="High",OR(Q2048="Poor",M2048=TRUE())),"HOLD / REVIEW","MONITOR"))</f>
        <v>MONITOR</v>
      </c>
      <c r="S2048" s="11" t="n">
        <f aca="false">K2048+(ROW()/10000000)</f>
        <v>38.0002048</v>
      </c>
    </row>
    <row r="2049" customFormat="false" ht="15" hidden="false" customHeight="false" outlineLevel="0" collapsed="false">
      <c r="A2049" s="11" t="s">
        <v>2415</v>
      </c>
      <c r="B2049" s="11" t="s">
        <v>27</v>
      </c>
      <c r="C2049" s="11" t="s">
        <v>95</v>
      </c>
      <c r="D2049" s="11" t="s">
        <v>35</v>
      </c>
      <c r="E2049" s="11" t="s">
        <v>91</v>
      </c>
      <c r="F2049" s="11" t="s">
        <v>118</v>
      </c>
      <c r="G2049" s="21" t="n">
        <v>86.55</v>
      </c>
      <c r="H2049" s="19" t="n">
        <v>24.5</v>
      </c>
      <c r="I2049" s="21" t="n">
        <v>65.35</v>
      </c>
      <c r="J2049" s="22" t="s">
        <v>80</v>
      </c>
      <c r="K2049" s="11" t="n">
        <v>40</v>
      </c>
      <c r="L2049" s="23" t="n">
        <v>3.5</v>
      </c>
      <c r="M2049" s="24" t="b">
        <f aca="false">FALSE()</f>
        <v>0</v>
      </c>
      <c r="N2049" s="11"/>
      <c r="O2049" s="11" t="str">
        <f aca="false">IF(K2049&lt;=StockP33,"Low",IF(K2049&lt;=StockP67,"Moderate","High"))</f>
        <v>High</v>
      </c>
      <c r="P2049" s="11" t="str">
        <f aca="false">IF(H2049=0,"Low",IF(H2049&lt;=MarkdownP75,"Moderate","High"))</f>
        <v>High</v>
      </c>
      <c r="Q2049" s="11" t="str">
        <f aca="false">IF(ISBLANK(L2049),"Unknown",IF(L2049&gt;=4,"Good",IF(L2049&lt;=2,"Poor","Neutral")))</f>
        <v>Neutral</v>
      </c>
      <c r="R2049" s="11" t="str">
        <f aca="false">IF(AND(O2049="Low",P2049="Low",Q2049="Good"),"BUY / PRIORITIZE",IF(AND(O2049="High",P2049="High",OR(Q2049="Poor",M2049=TRUE())),"HOLD / REVIEW","MONITOR"))</f>
        <v>MONITOR</v>
      </c>
      <c r="S2049" s="11" t="n">
        <f aca="false">K2049+(ROW()/10000000)</f>
        <v>40.0002049</v>
      </c>
    </row>
    <row r="2050" customFormat="false" ht="15" hidden="false" customHeight="false" outlineLevel="0" collapsed="false">
      <c r="A2050" s="11" t="s">
        <v>2416</v>
      </c>
      <c r="B2050" s="11" t="s">
        <v>26</v>
      </c>
      <c r="C2050" s="11" t="s">
        <v>116</v>
      </c>
      <c r="D2050" s="11" t="s">
        <v>36</v>
      </c>
      <c r="E2050" s="11" t="s">
        <v>113</v>
      </c>
      <c r="F2050" s="11" t="s">
        <v>118</v>
      </c>
      <c r="G2050" s="21" t="n">
        <v>90.97</v>
      </c>
      <c r="H2050" s="19" t="n">
        <v>10.8</v>
      </c>
      <c r="I2050" s="21" t="n">
        <v>81.15</v>
      </c>
      <c r="J2050" s="22" t="s">
        <v>80</v>
      </c>
      <c r="K2050" s="11" t="n">
        <v>33</v>
      </c>
      <c r="L2050" s="23" t="n">
        <v>2.2</v>
      </c>
      <c r="M2050" s="24" t="b">
        <f aca="false">TRUE()</f>
        <v>1</v>
      </c>
      <c r="N2050" s="11" t="s">
        <v>134</v>
      </c>
      <c r="O2050" s="11" t="str">
        <f aca="false">IF(K2050&lt;=StockP33,"Low",IF(K2050&lt;=StockP67,"Moderate","High"))</f>
        <v>Moderate</v>
      </c>
      <c r="P2050" s="11" t="str">
        <f aca="false">IF(H2050=0,"Low",IF(H2050&lt;=MarkdownP75,"Moderate","High"))</f>
        <v>Moderate</v>
      </c>
      <c r="Q2050" s="11" t="str">
        <f aca="false">IF(ISBLANK(L2050),"Unknown",IF(L2050&gt;=4,"Good",IF(L2050&lt;=2,"Poor","Neutral")))</f>
        <v>Neutral</v>
      </c>
      <c r="R2050" s="11" t="str">
        <f aca="false">IF(AND(O2050="Low",P2050="Low",Q2050="Good"),"BUY / PRIORITIZE",IF(AND(O2050="High",P2050="High",OR(Q2050="Poor",M2050=TRUE())),"HOLD / REVIEW","MONITOR"))</f>
        <v>MONITOR</v>
      </c>
      <c r="S2050" s="11" t="n">
        <f aca="false">K2050+(ROW()/10000000)</f>
        <v>33.000205</v>
      </c>
    </row>
    <row r="2051" customFormat="false" ht="15" hidden="false" customHeight="false" outlineLevel="0" collapsed="false">
      <c r="A2051" s="11" t="s">
        <v>2417</v>
      </c>
      <c r="B2051" s="11" t="s">
        <v>27</v>
      </c>
      <c r="C2051" s="11" t="s">
        <v>95</v>
      </c>
      <c r="D2051" s="11" t="s">
        <v>37</v>
      </c>
      <c r="E2051" s="11" t="s">
        <v>78</v>
      </c>
      <c r="F2051" s="11" t="s">
        <v>111</v>
      </c>
      <c r="G2051" s="21" t="n">
        <v>122.41</v>
      </c>
      <c r="H2051" s="19" t="n">
        <v>48.2</v>
      </c>
      <c r="I2051" s="21" t="n">
        <v>63.41</v>
      </c>
      <c r="J2051" s="22" t="s">
        <v>80</v>
      </c>
      <c r="K2051" s="11" t="n">
        <v>49</v>
      </c>
      <c r="L2051" s="23" t="n">
        <v>4.5</v>
      </c>
      <c r="M2051" s="24" t="b">
        <f aca="false">FALSE()</f>
        <v>0</v>
      </c>
      <c r="N2051" s="11"/>
      <c r="O2051" s="11" t="str">
        <f aca="false">IF(K2051&lt;=StockP33,"Low",IF(K2051&lt;=StockP67,"Moderate","High"))</f>
        <v>High</v>
      </c>
      <c r="P2051" s="11" t="str">
        <f aca="false">IF(H2051=0,"Low",IF(H2051&lt;=MarkdownP75,"Moderate","High"))</f>
        <v>High</v>
      </c>
      <c r="Q2051" s="11" t="str">
        <f aca="false">IF(ISBLANK(L2051),"Unknown",IF(L2051&gt;=4,"Good",IF(L2051&lt;=2,"Poor","Neutral")))</f>
        <v>Good</v>
      </c>
      <c r="R2051" s="11" t="str">
        <f aca="false">IF(AND(O2051="Low",P2051="Low",Q2051="Good"),"BUY / PRIORITIZE",IF(AND(O2051="High",P2051="High",OR(Q2051="Poor",M2051=TRUE())),"HOLD / REVIEW","MONITOR"))</f>
        <v>MONITOR</v>
      </c>
      <c r="S2051" s="11" t="n">
        <f aca="false">K2051+(ROW()/10000000)</f>
        <v>49.0002051</v>
      </c>
    </row>
    <row r="2052" customFormat="false" ht="15" hidden="false" customHeight="false" outlineLevel="0" collapsed="false">
      <c r="A2052" s="11" t="s">
        <v>2418</v>
      </c>
      <c r="B2052" s="11" t="s">
        <v>29</v>
      </c>
      <c r="C2052" s="11" t="s">
        <v>86</v>
      </c>
      <c r="D2052" s="11" t="s">
        <v>37</v>
      </c>
      <c r="E2052" s="11" t="s">
        <v>102</v>
      </c>
      <c r="F2052" s="11" t="s">
        <v>92</v>
      </c>
      <c r="G2052" s="21" t="n">
        <v>198.22</v>
      </c>
      <c r="H2052" s="19" t="n">
        <v>0</v>
      </c>
      <c r="I2052" s="21" t="n">
        <v>198.22</v>
      </c>
      <c r="J2052" s="22" t="s">
        <v>80</v>
      </c>
      <c r="K2052" s="11" t="n">
        <v>12</v>
      </c>
      <c r="L2052" s="23"/>
      <c r="M2052" s="24" t="b">
        <f aca="false">FALSE()</f>
        <v>0</v>
      </c>
      <c r="N2052" s="11"/>
      <c r="O2052" s="11" t="str">
        <f aca="false">IF(K2052&lt;=StockP33,"Low",IF(K2052&lt;=StockP67,"Moderate","High"))</f>
        <v>Low</v>
      </c>
      <c r="P2052" s="11" t="str">
        <f aca="false">IF(H2052=0,"Low",IF(H2052&lt;=MarkdownP75,"Moderate","High"))</f>
        <v>Low</v>
      </c>
      <c r="Q2052" s="11" t="str">
        <f aca="false">IF(ISBLANK(L2052),"Unknown",IF(L2052&gt;=4,"Good",IF(L2052&lt;=2,"Poor","Neutral")))</f>
        <v>Unknown</v>
      </c>
      <c r="R2052" s="11" t="str">
        <f aca="false">IF(AND(O2052="Low",P2052="Low",Q2052="Good"),"BUY / PRIORITIZE",IF(AND(O2052="High",P2052="High",OR(Q2052="Poor",M2052=TRUE())),"HOLD / REVIEW","MONITOR"))</f>
        <v>MONITOR</v>
      </c>
      <c r="S2052" s="11" t="n">
        <f aca="false">K2052+(ROW()/10000000)</f>
        <v>12.0002052</v>
      </c>
    </row>
    <row r="2053" customFormat="false" ht="15" hidden="false" customHeight="false" outlineLevel="0" collapsed="false">
      <c r="A2053" s="11" t="s">
        <v>2419</v>
      </c>
      <c r="B2053" s="11" t="s">
        <v>29</v>
      </c>
      <c r="C2053" s="11" t="s">
        <v>72</v>
      </c>
      <c r="D2053" s="11" t="s">
        <v>37</v>
      </c>
      <c r="E2053" s="11" t="s">
        <v>113</v>
      </c>
      <c r="F2053" s="11" t="s">
        <v>111</v>
      </c>
      <c r="G2053" s="21" t="n">
        <v>129.56</v>
      </c>
      <c r="H2053" s="19" t="n">
        <v>20.8</v>
      </c>
      <c r="I2053" s="21" t="n">
        <v>102.61</v>
      </c>
      <c r="J2053" s="22" t="s">
        <v>80</v>
      </c>
      <c r="K2053" s="11" t="n">
        <v>3</v>
      </c>
      <c r="L2053" s="23" t="n">
        <v>2.9</v>
      </c>
      <c r="M2053" s="24" t="b">
        <f aca="false">FALSE()</f>
        <v>0</v>
      </c>
      <c r="N2053" s="11"/>
      <c r="O2053" s="11" t="str">
        <f aca="false">IF(K2053&lt;=StockP33,"Low",IF(K2053&lt;=StockP67,"Moderate","High"))</f>
        <v>Low</v>
      </c>
      <c r="P2053" s="11" t="str">
        <f aca="false">IF(H2053=0,"Low",IF(H2053&lt;=MarkdownP75,"Moderate","High"))</f>
        <v>Moderate</v>
      </c>
      <c r="Q2053" s="11" t="str">
        <f aca="false">IF(ISBLANK(L2053),"Unknown",IF(L2053&gt;=4,"Good",IF(L2053&lt;=2,"Poor","Neutral")))</f>
        <v>Neutral</v>
      </c>
      <c r="R2053" s="11" t="str">
        <f aca="false">IF(AND(O2053="Low",P2053="Low",Q2053="Good"),"BUY / PRIORITIZE",IF(AND(O2053="High",P2053="High",OR(Q2053="Poor",M2053=TRUE())),"HOLD / REVIEW","MONITOR"))</f>
        <v>MONITOR</v>
      </c>
      <c r="S2053" s="11" t="n">
        <f aca="false">K2053+(ROW()/10000000)</f>
        <v>3.0002053</v>
      </c>
    </row>
    <row r="2054" customFormat="false" ht="15" hidden="false" customHeight="false" outlineLevel="0" collapsed="false">
      <c r="A2054" s="11" t="s">
        <v>2420</v>
      </c>
      <c r="B2054" s="11" t="s">
        <v>8</v>
      </c>
      <c r="C2054" s="11" t="s">
        <v>72</v>
      </c>
      <c r="D2054" s="11" t="s">
        <v>35</v>
      </c>
      <c r="E2054" s="11"/>
      <c r="F2054" s="11" t="s">
        <v>79</v>
      </c>
      <c r="G2054" s="21" t="n">
        <v>49.31</v>
      </c>
      <c r="H2054" s="19" t="n">
        <v>0</v>
      </c>
      <c r="I2054" s="21" t="n">
        <v>49.31</v>
      </c>
      <c r="J2054" s="22" t="s">
        <v>80</v>
      </c>
      <c r="K2054" s="11" t="n">
        <v>49</v>
      </c>
      <c r="L2054" s="23" t="n">
        <v>3.4</v>
      </c>
      <c r="M2054" s="24" t="b">
        <f aca="false">FALSE()</f>
        <v>0</v>
      </c>
      <c r="N2054" s="11"/>
      <c r="O2054" s="11" t="str">
        <f aca="false">IF(K2054&lt;=StockP33,"Low",IF(K2054&lt;=StockP67,"Moderate","High"))</f>
        <v>High</v>
      </c>
      <c r="P2054" s="11" t="str">
        <f aca="false">IF(H2054=0,"Low",IF(H2054&lt;=MarkdownP75,"Moderate","High"))</f>
        <v>Low</v>
      </c>
      <c r="Q2054" s="11" t="str">
        <f aca="false">IF(ISBLANK(L2054),"Unknown",IF(L2054&gt;=4,"Good",IF(L2054&lt;=2,"Poor","Neutral")))</f>
        <v>Neutral</v>
      </c>
      <c r="R2054" s="11" t="str">
        <f aca="false">IF(AND(O2054="Low",P2054="Low",Q2054="Good"),"BUY / PRIORITIZE",IF(AND(O2054="High",P2054="High",OR(Q2054="Poor",M2054=TRUE())),"HOLD / REVIEW","MONITOR"))</f>
        <v>MONITOR</v>
      </c>
      <c r="S2054" s="11" t="n">
        <f aca="false">K2054+(ROW()/10000000)</f>
        <v>49.0002054</v>
      </c>
    </row>
    <row r="2055" customFormat="false" ht="15" hidden="false" customHeight="false" outlineLevel="0" collapsed="false">
      <c r="A2055" s="11" t="s">
        <v>2421</v>
      </c>
      <c r="B2055" s="11" t="s">
        <v>28</v>
      </c>
      <c r="C2055" s="11" t="s">
        <v>77</v>
      </c>
      <c r="D2055" s="11" t="s">
        <v>35</v>
      </c>
      <c r="E2055" s="11" t="s">
        <v>91</v>
      </c>
      <c r="F2055" s="11" t="s">
        <v>79</v>
      </c>
      <c r="G2055" s="21" t="n">
        <v>206.94</v>
      </c>
      <c r="H2055" s="19" t="n">
        <v>0</v>
      </c>
      <c r="I2055" s="21" t="n">
        <v>206.94</v>
      </c>
      <c r="J2055" s="22" t="s">
        <v>80</v>
      </c>
      <c r="K2055" s="11" t="n">
        <v>43</v>
      </c>
      <c r="L2055" s="23" t="n">
        <v>3.3</v>
      </c>
      <c r="M2055" s="24" t="b">
        <f aca="false">FALSE()</f>
        <v>0</v>
      </c>
      <c r="N2055" s="11"/>
      <c r="O2055" s="11" t="str">
        <f aca="false">IF(K2055&lt;=StockP33,"Low",IF(K2055&lt;=StockP67,"Moderate","High"))</f>
        <v>High</v>
      </c>
      <c r="P2055" s="11" t="str">
        <f aca="false">IF(H2055=0,"Low",IF(H2055&lt;=MarkdownP75,"Moderate","High"))</f>
        <v>Low</v>
      </c>
      <c r="Q2055" s="11" t="str">
        <f aca="false">IF(ISBLANK(L2055),"Unknown",IF(L2055&gt;=4,"Good",IF(L2055&lt;=2,"Poor","Neutral")))</f>
        <v>Neutral</v>
      </c>
      <c r="R2055" s="11" t="str">
        <f aca="false">IF(AND(O2055="Low",P2055="Low",Q2055="Good"),"BUY / PRIORITIZE",IF(AND(O2055="High",P2055="High",OR(Q2055="Poor",M2055=TRUE())),"HOLD / REVIEW","MONITOR"))</f>
        <v>MONITOR</v>
      </c>
      <c r="S2055" s="11" t="n">
        <f aca="false">K2055+(ROW()/10000000)</f>
        <v>43.0002055</v>
      </c>
    </row>
    <row r="2056" customFormat="false" ht="15" hidden="false" customHeight="false" outlineLevel="0" collapsed="false">
      <c r="A2056" s="11" t="s">
        <v>2422</v>
      </c>
      <c r="B2056" s="11" t="s">
        <v>8</v>
      </c>
      <c r="C2056" s="11" t="s">
        <v>86</v>
      </c>
      <c r="D2056" s="11" t="s">
        <v>35</v>
      </c>
      <c r="E2056" s="11"/>
      <c r="F2056" s="11" t="s">
        <v>82</v>
      </c>
      <c r="G2056" s="21" t="n">
        <v>36.93</v>
      </c>
      <c r="H2056" s="19" t="n">
        <v>0</v>
      </c>
      <c r="I2056" s="21" t="n">
        <v>36.93</v>
      </c>
      <c r="J2056" s="22" t="s">
        <v>80</v>
      </c>
      <c r="K2056" s="11" t="n">
        <v>18</v>
      </c>
      <c r="L2056" s="23"/>
      <c r="M2056" s="24" t="b">
        <f aca="false">FALSE()</f>
        <v>0</v>
      </c>
      <c r="N2056" s="11"/>
      <c r="O2056" s="11" t="str">
        <f aca="false">IF(K2056&lt;=StockP33,"Low",IF(K2056&lt;=StockP67,"Moderate","High"))</f>
        <v>Moderate</v>
      </c>
      <c r="P2056" s="11" t="str">
        <f aca="false">IF(H2056=0,"Low",IF(H2056&lt;=MarkdownP75,"Moderate","High"))</f>
        <v>Low</v>
      </c>
      <c r="Q2056" s="11" t="str">
        <f aca="false">IF(ISBLANK(L2056),"Unknown",IF(L2056&gt;=4,"Good",IF(L2056&lt;=2,"Poor","Neutral")))</f>
        <v>Unknown</v>
      </c>
      <c r="R2056" s="11" t="str">
        <f aca="false">IF(AND(O2056="Low",P2056="Low",Q2056="Good"),"BUY / PRIORITIZE",IF(AND(O2056="High",P2056="High",OR(Q2056="Poor",M2056=TRUE())),"HOLD / REVIEW","MONITOR"))</f>
        <v>MONITOR</v>
      </c>
      <c r="S2056" s="11" t="n">
        <f aca="false">K2056+(ROW()/10000000)</f>
        <v>18.0002056</v>
      </c>
    </row>
    <row r="2057" customFormat="false" ht="15" hidden="false" customHeight="false" outlineLevel="0" collapsed="false">
      <c r="A2057" s="11" t="s">
        <v>2423</v>
      </c>
      <c r="B2057" s="11" t="s">
        <v>8</v>
      </c>
      <c r="C2057" s="11" t="s">
        <v>77</v>
      </c>
      <c r="D2057" s="11" t="s">
        <v>35</v>
      </c>
      <c r="E2057" s="11"/>
      <c r="F2057" s="11" t="s">
        <v>98</v>
      </c>
      <c r="G2057" s="21" t="n">
        <v>21.85</v>
      </c>
      <c r="H2057" s="19" t="n">
        <v>12</v>
      </c>
      <c r="I2057" s="21" t="n">
        <v>19.23</v>
      </c>
      <c r="J2057" s="22" t="s">
        <v>80</v>
      </c>
      <c r="K2057" s="11" t="n">
        <v>18</v>
      </c>
      <c r="L2057" s="23" t="n">
        <v>4.8</v>
      </c>
      <c r="M2057" s="24" t="b">
        <f aca="false">FALSE()</f>
        <v>0</v>
      </c>
      <c r="N2057" s="11"/>
      <c r="O2057" s="11" t="str">
        <f aca="false">IF(K2057&lt;=StockP33,"Low",IF(K2057&lt;=StockP67,"Moderate","High"))</f>
        <v>Moderate</v>
      </c>
      <c r="P2057" s="11" t="str">
        <f aca="false">IF(H2057=0,"Low",IF(H2057&lt;=MarkdownP75,"Moderate","High"))</f>
        <v>Moderate</v>
      </c>
      <c r="Q2057" s="11" t="str">
        <f aca="false">IF(ISBLANK(L2057),"Unknown",IF(L2057&gt;=4,"Good",IF(L2057&lt;=2,"Poor","Neutral")))</f>
        <v>Good</v>
      </c>
      <c r="R2057" s="11" t="str">
        <f aca="false">IF(AND(O2057="Low",P2057="Low",Q2057="Good"),"BUY / PRIORITIZE",IF(AND(O2057="High",P2057="High",OR(Q2057="Poor",M2057=TRUE())),"HOLD / REVIEW","MONITOR"))</f>
        <v>MONITOR</v>
      </c>
      <c r="S2057" s="11" t="n">
        <f aca="false">K2057+(ROW()/10000000)</f>
        <v>18.0002057</v>
      </c>
    </row>
    <row r="2058" customFormat="false" ht="15" hidden="false" customHeight="false" outlineLevel="0" collapsed="false">
      <c r="A2058" s="11" t="s">
        <v>2424</v>
      </c>
      <c r="B2058" s="11" t="s">
        <v>29</v>
      </c>
      <c r="C2058" s="11" t="s">
        <v>86</v>
      </c>
      <c r="D2058" s="11" t="s">
        <v>37</v>
      </c>
      <c r="E2058" s="11" t="s">
        <v>91</v>
      </c>
      <c r="F2058" s="11" t="s">
        <v>124</v>
      </c>
      <c r="G2058" s="21" t="n">
        <v>174.65</v>
      </c>
      <c r="H2058" s="19" t="n">
        <v>43.8</v>
      </c>
      <c r="I2058" s="21" t="n">
        <v>98.15</v>
      </c>
      <c r="J2058" s="22" t="s">
        <v>80</v>
      </c>
      <c r="K2058" s="11" t="n">
        <v>28</v>
      </c>
      <c r="L2058" s="23" t="n">
        <v>3.3</v>
      </c>
      <c r="M2058" s="24" t="b">
        <f aca="false">FALSE()</f>
        <v>0</v>
      </c>
      <c r="N2058" s="11"/>
      <c r="O2058" s="11" t="str">
        <f aca="false">IF(K2058&lt;=StockP33,"Low",IF(K2058&lt;=StockP67,"Moderate","High"))</f>
        <v>Moderate</v>
      </c>
      <c r="P2058" s="11" t="str">
        <f aca="false">IF(H2058=0,"Low",IF(H2058&lt;=MarkdownP75,"Moderate","High"))</f>
        <v>High</v>
      </c>
      <c r="Q2058" s="11" t="str">
        <f aca="false">IF(ISBLANK(L2058),"Unknown",IF(L2058&gt;=4,"Good",IF(L2058&lt;=2,"Poor","Neutral")))</f>
        <v>Neutral</v>
      </c>
      <c r="R2058" s="11" t="str">
        <f aca="false">IF(AND(O2058="Low",P2058="Low",Q2058="Good"),"BUY / PRIORITIZE",IF(AND(O2058="High",P2058="High",OR(Q2058="Poor",M2058=TRUE())),"HOLD / REVIEW","MONITOR"))</f>
        <v>MONITOR</v>
      </c>
      <c r="S2058" s="11" t="n">
        <f aca="false">K2058+(ROW()/10000000)</f>
        <v>28.0002058</v>
      </c>
    </row>
    <row r="2059" customFormat="false" ht="15" hidden="false" customHeight="false" outlineLevel="0" collapsed="false">
      <c r="A2059" s="11" t="s">
        <v>2425</v>
      </c>
      <c r="B2059" s="11" t="s">
        <v>8</v>
      </c>
      <c r="C2059" s="11" t="s">
        <v>95</v>
      </c>
      <c r="D2059" s="11" t="s">
        <v>34</v>
      </c>
      <c r="E2059" s="11"/>
      <c r="F2059" s="11" t="s">
        <v>79</v>
      </c>
      <c r="G2059" s="21" t="n">
        <v>19.96</v>
      </c>
      <c r="H2059" s="19" t="n">
        <v>0</v>
      </c>
      <c r="I2059" s="21" t="n">
        <v>19.96</v>
      </c>
      <c r="J2059" s="22" t="s">
        <v>2426</v>
      </c>
      <c r="K2059" s="11" t="n">
        <v>16</v>
      </c>
      <c r="L2059" s="23" t="n">
        <v>1.4</v>
      </c>
      <c r="M2059" s="24" t="b">
        <f aca="false">FALSE()</f>
        <v>0</v>
      </c>
      <c r="N2059" s="11"/>
      <c r="O2059" s="11" t="str">
        <f aca="false">IF(K2059&lt;=StockP33,"Low",IF(K2059&lt;=StockP67,"Moderate","High"))</f>
        <v>Low</v>
      </c>
      <c r="P2059" s="11" t="str">
        <f aca="false">IF(H2059=0,"Low",IF(H2059&lt;=MarkdownP75,"Moderate","High"))</f>
        <v>Low</v>
      </c>
      <c r="Q2059" s="11" t="str">
        <f aca="false">IF(ISBLANK(L2059),"Unknown",IF(L2059&gt;=4,"Good",IF(L2059&lt;=2,"Poor","Neutral")))</f>
        <v>Poor</v>
      </c>
      <c r="R2059" s="11" t="str">
        <f aca="false">IF(AND(O2059="Low",P2059="Low",Q2059="Good"),"BUY / PRIORITIZE",IF(AND(O2059="High",P2059="High",OR(Q2059="Poor",M2059=TRUE())),"HOLD / REVIEW","MONITOR"))</f>
        <v>MONITOR</v>
      </c>
      <c r="S2059" s="11" t="n">
        <f aca="false">K2059+(ROW()/10000000)</f>
        <v>16.0002059</v>
      </c>
    </row>
    <row r="2060" customFormat="false" ht="15" hidden="false" customHeight="false" outlineLevel="0" collapsed="false">
      <c r="A2060" s="11" t="s">
        <v>2427</v>
      </c>
      <c r="B2060" s="11" t="s">
        <v>30</v>
      </c>
      <c r="C2060" s="11" t="s">
        <v>101</v>
      </c>
      <c r="D2060" s="11" t="s">
        <v>36</v>
      </c>
      <c r="E2060" s="11" t="s">
        <v>113</v>
      </c>
      <c r="F2060" s="11" t="s">
        <v>98</v>
      </c>
      <c r="G2060" s="21" t="n">
        <v>90.46</v>
      </c>
      <c r="H2060" s="19" t="n">
        <v>54.1</v>
      </c>
      <c r="I2060" s="21" t="n">
        <v>41.52</v>
      </c>
      <c r="J2060" s="22" t="s">
        <v>80</v>
      </c>
      <c r="K2060" s="11" t="n">
        <v>15</v>
      </c>
      <c r="L2060" s="23" t="n">
        <v>2.5</v>
      </c>
      <c r="M2060" s="24" t="b">
        <f aca="false">FALSE()</f>
        <v>0</v>
      </c>
      <c r="N2060" s="11"/>
      <c r="O2060" s="11" t="str">
        <f aca="false">IF(K2060&lt;=StockP33,"Low",IF(K2060&lt;=StockP67,"Moderate","High"))</f>
        <v>Low</v>
      </c>
      <c r="P2060" s="11" t="str">
        <f aca="false">IF(H2060=0,"Low",IF(H2060&lt;=MarkdownP75,"Moderate","High"))</f>
        <v>High</v>
      </c>
      <c r="Q2060" s="11" t="str">
        <f aca="false">IF(ISBLANK(L2060),"Unknown",IF(L2060&gt;=4,"Good",IF(L2060&lt;=2,"Poor","Neutral")))</f>
        <v>Neutral</v>
      </c>
      <c r="R2060" s="11" t="str">
        <f aca="false">IF(AND(O2060="Low",P2060="Low",Q2060="Good"),"BUY / PRIORITIZE",IF(AND(O2060="High",P2060="High",OR(Q2060="Poor",M2060=TRUE())),"HOLD / REVIEW","MONITOR"))</f>
        <v>MONITOR</v>
      </c>
      <c r="S2060" s="11" t="n">
        <f aca="false">K2060+(ROW()/10000000)</f>
        <v>15.000206</v>
      </c>
    </row>
    <row r="2061" customFormat="false" ht="15" hidden="false" customHeight="false" outlineLevel="0" collapsed="false">
      <c r="A2061" s="11" t="s">
        <v>2428</v>
      </c>
      <c r="B2061" s="11" t="s">
        <v>29</v>
      </c>
      <c r="C2061" s="11" t="s">
        <v>101</v>
      </c>
      <c r="D2061" s="11" t="s">
        <v>36</v>
      </c>
      <c r="E2061" s="11" t="s">
        <v>78</v>
      </c>
      <c r="F2061" s="11" t="s">
        <v>96</v>
      </c>
      <c r="G2061" s="21" t="n">
        <v>189.24</v>
      </c>
      <c r="H2061" s="19" t="n">
        <v>0</v>
      </c>
      <c r="I2061" s="21" t="n">
        <v>189.24</v>
      </c>
      <c r="J2061" s="22" t="s">
        <v>80</v>
      </c>
      <c r="K2061" s="11" t="n">
        <v>25</v>
      </c>
      <c r="L2061" s="23" t="n">
        <v>3.6</v>
      </c>
      <c r="M2061" s="24" t="b">
        <f aca="false">TRUE()</f>
        <v>1</v>
      </c>
      <c r="N2061" s="11" t="s">
        <v>89</v>
      </c>
      <c r="O2061" s="11" t="str">
        <f aca="false">IF(K2061&lt;=StockP33,"Low",IF(K2061&lt;=StockP67,"Moderate","High"))</f>
        <v>Moderate</v>
      </c>
      <c r="P2061" s="11" t="str">
        <f aca="false">IF(H2061=0,"Low",IF(H2061&lt;=MarkdownP75,"Moderate","High"))</f>
        <v>Low</v>
      </c>
      <c r="Q2061" s="11" t="str">
        <f aca="false">IF(ISBLANK(L2061),"Unknown",IF(L2061&gt;=4,"Good",IF(L2061&lt;=2,"Poor","Neutral")))</f>
        <v>Neutral</v>
      </c>
      <c r="R2061" s="11" t="str">
        <f aca="false">IF(AND(O2061="Low",P2061="Low",Q2061="Good"),"BUY / PRIORITIZE",IF(AND(O2061="High",P2061="High",OR(Q2061="Poor",M2061=TRUE())),"HOLD / REVIEW","MONITOR"))</f>
        <v>MONITOR</v>
      </c>
      <c r="S2061" s="11" t="n">
        <f aca="false">K2061+(ROW()/10000000)</f>
        <v>25.0002061</v>
      </c>
    </row>
    <row r="2062" customFormat="false" ht="15" hidden="false" customHeight="false" outlineLevel="0" collapsed="false">
      <c r="A2062" s="11" t="s">
        <v>2429</v>
      </c>
      <c r="B2062" s="11" t="s">
        <v>28</v>
      </c>
      <c r="C2062" s="11" t="s">
        <v>86</v>
      </c>
      <c r="D2062" s="11" t="s">
        <v>35</v>
      </c>
      <c r="E2062" s="11" t="s">
        <v>102</v>
      </c>
      <c r="F2062" s="11" t="s">
        <v>82</v>
      </c>
      <c r="G2062" s="21" t="n">
        <v>231.24</v>
      </c>
      <c r="H2062" s="19" t="n">
        <v>44.6</v>
      </c>
      <c r="I2062" s="21" t="n">
        <v>128.11</v>
      </c>
      <c r="J2062" s="22" t="s">
        <v>80</v>
      </c>
      <c r="K2062" s="11" t="n">
        <v>15</v>
      </c>
      <c r="L2062" s="23" t="n">
        <v>3.7</v>
      </c>
      <c r="M2062" s="24" t="b">
        <f aca="false">FALSE()</f>
        <v>0</v>
      </c>
      <c r="N2062" s="11"/>
      <c r="O2062" s="11" t="str">
        <f aca="false">IF(K2062&lt;=StockP33,"Low",IF(K2062&lt;=StockP67,"Moderate","High"))</f>
        <v>Low</v>
      </c>
      <c r="P2062" s="11" t="str">
        <f aca="false">IF(H2062=0,"Low",IF(H2062&lt;=MarkdownP75,"Moderate","High"))</f>
        <v>High</v>
      </c>
      <c r="Q2062" s="11" t="str">
        <f aca="false">IF(ISBLANK(L2062),"Unknown",IF(L2062&gt;=4,"Good",IF(L2062&lt;=2,"Poor","Neutral")))</f>
        <v>Neutral</v>
      </c>
      <c r="R2062" s="11" t="str">
        <f aca="false">IF(AND(O2062="Low",P2062="Low",Q2062="Good"),"BUY / PRIORITIZE",IF(AND(O2062="High",P2062="High",OR(Q2062="Poor",M2062=TRUE())),"HOLD / REVIEW","MONITOR"))</f>
        <v>MONITOR</v>
      </c>
      <c r="S2062" s="11" t="n">
        <f aca="false">K2062+(ROW()/10000000)</f>
        <v>15.0002062</v>
      </c>
    </row>
    <row r="2063" customFormat="false" ht="15" hidden="false" customHeight="false" outlineLevel="0" collapsed="false">
      <c r="A2063" s="11" t="s">
        <v>2430</v>
      </c>
      <c r="B2063" s="11" t="s">
        <v>8</v>
      </c>
      <c r="C2063" s="11" t="s">
        <v>95</v>
      </c>
      <c r="D2063" s="11" t="s">
        <v>36</v>
      </c>
      <c r="E2063" s="11"/>
      <c r="F2063" s="11" t="s">
        <v>111</v>
      </c>
      <c r="G2063" s="21" t="n">
        <v>66.48</v>
      </c>
      <c r="H2063" s="19" t="n">
        <v>0</v>
      </c>
      <c r="I2063" s="21" t="n">
        <v>66.48</v>
      </c>
      <c r="J2063" s="22" t="s">
        <v>80</v>
      </c>
      <c r="K2063" s="11" t="n">
        <v>38</v>
      </c>
      <c r="L2063" s="23" t="n">
        <v>1.4</v>
      </c>
      <c r="M2063" s="24" t="b">
        <f aca="false">FALSE()</f>
        <v>0</v>
      </c>
      <c r="N2063" s="11"/>
      <c r="O2063" s="11" t="str">
        <f aca="false">IF(K2063&lt;=StockP33,"Low",IF(K2063&lt;=StockP67,"Moderate","High"))</f>
        <v>High</v>
      </c>
      <c r="P2063" s="11" t="str">
        <f aca="false">IF(H2063=0,"Low",IF(H2063&lt;=MarkdownP75,"Moderate","High"))</f>
        <v>Low</v>
      </c>
      <c r="Q2063" s="11" t="str">
        <f aca="false">IF(ISBLANK(L2063),"Unknown",IF(L2063&gt;=4,"Good",IF(L2063&lt;=2,"Poor","Neutral")))</f>
        <v>Poor</v>
      </c>
      <c r="R2063" s="11" t="str">
        <f aca="false">IF(AND(O2063="Low",P2063="Low",Q2063="Good"),"BUY / PRIORITIZE",IF(AND(O2063="High",P2063="High",OR(Q2063="Poor",M2063=TRUE())),"HOLD / REVIEW","MONITOR"))</f>
        <v>MONITOR</v>
      </c>
      <c r="S2063" s="11" t="n">
        <f aca="false">K2063+(ROW()/10000000)</f>
        <v>38.0002063</v>
      </c>
    </row>
    <row r="2064" customFormat="false" ht="15" hidden="false" customHeight="false" outlineLevel="0" collapsed="false">
      <c r="A2064" s="11" t="s">
        <v>2431</v>
      </c>
      <c r="B2064" s="11" t="s">
        <v>8</v>
      </c>
      <c r="C2064" s="11" t="s">
        <v>101</v>
      </c>
      <c r="D2064" s="11" t="s">
        <v>36</v>
      </c>
      <c r="E2064" s="11"/>
      <c r="F2064" s="11" t="s">
        <v>111</v>
      </c>
      <c r="G2064" s="21" t="n">
        <v>37.27</v>
      </c>
      <c r="H2064" s="19" t="n">
        <v>0</v>
      </c>
      <c r="I2064" s="21" t="n">
        <v>37.27</v>
      </c>
      <c r="J2064" s="22" t="s">
        <v>80</v>
      </c>
      <c r="K2064" s="11" t="n">
        <v>15</v>
      </c>
      <c r="L2064" s="23" t="n">
        <v>3.8</v>
      </c>
      <c r="M2064" s="24" t="b">
        <f aca="false">FALSE()</f>
        <v>0</v>
      </c>
      <c r="N2064" s="11"/>
      <c r="O2064" s="11" t="str">
        <f aca="false">IF(K2064&lt;=StockP33,"Low",IF(K2064&lt;=StockP67,"Moderate","High"))</f>
        <v>Low</v>
      </c>
      <c r="P2064" s="11" t="str">
        <f aca="false">IF(H2064=0,"Low",IF(H2064&lt;=MarkdownP75,"Moderate","High"))</f>
        <v>Low</v>
      </c>
      <c r="Q2064" s="11" t="str">
        <f aca="false">IF(ISBLANK(L2064),"Unknown",IF(L2064&gt;=4,"Good",IF(L2064&lt;=2,"Poor","Neutral")))</f>
        <v>Neutral</v>
      </c>
      <c r="R2064" s="11" t="str">
        <f aca="false">IF(AND(O2064="Low",P2064="Low",Q2064="Good"),"BUY / PRIORITIZE",IF(AND(O2064="High",P2064="High",OR(Q2064="Poor",M2064=TRUE())),"HOLD / REVIEW","MONITOR"))</f>
        <v>MONITOR</v>
      </c>
      <c r="S2064" s="11" t="n">
        <f aca="false">K2064+(ROW()/10000000)</f>
        <v>15.0002064</v>
      </c>
    </row>
    <row r="2065" customFormat="false" ht="15" hidden="false" customHeight="false" outlineLevel="0" collapsed="false">
      <c r="A2065" s="11" t="s">
        <v>2432</v>
      </c>
      <c r="B2065" s="11" t="s">
        <v>29</v>
      </c>
      <c r="C2065" s="11" t="s">
        <v>77</v>
      </c>
      <c r="D2065" s="11" t="s">
        <v>34</v>
      </c>
      <c r="E2065" s="11" t="s">
        <v>78</v>
      </c>
      <c r="F2065" s="11" t="s">
        <v>124</v>
      </c>
      <c r="G2065" s="21" t="n">
        <v>178.05</v>
      </c>
      <c r="H2065" s="19" t="n">
        <v>0</v>
      </c>
      <c r="I2065" s="21" t="n">
        <v>178.05</v>
      </c>
      <c r="J2065" s="22" t="s">
        <v>2433</v>
      </c>
      <c r="K2065" s="11" t="n">
        <v>24</v>
      </c>
      <c r="L2065" s="23"/>
      <c r="M2065" s="24" t="b">
        <f aca="false">FALSE()</f>
        <v>0</v>
      </c>
      <c r="N2065" s="11"/>
      <c r="O2065" s="11" t="str">
        <f aca="false">IF(K2065&lt;=StockP33,"Low",IF(K2065&lt;=StockP67,"Moderate","High"))</f>
        <v>Moderate</v>
      </c>
      <c r="P2065" s="11" t="str">
        <f aca="false">IF(H2065=0,"Low",IF(H2065&lt;=MarkdownP75,"Moderate","High"))</f>
        <v>Low</v>
      </c>
      <c r="Q2065" s="11" t="str">
        <f aca="false">IF(ISBLANK(L2065),"Unknown",IF(L2065&gt;=4,"Good",IF(L2065&lt;=2,"Poor","Neutral")))</f>
        <v>Unknown</v>
      </c>
      <c r="R2065" s="11" t="str">
        <f aca="false">IF(AND(O2065="Low",P2065="Low",Q2065="Good"),"BUY / PRIORITIZE",IF(AND(O2065="High",P2065="High",OR(Q2065="Poor",M2065=TRUE())),"HOLD / REVIEW","MONITOR"))</f>
        <v>MONITOR</v>
      </c>
      <c r="S2065" s="11" t="n">
        <f aca="false">K2065+(ROW()/10000000)</f>
        <v>24.0002065</v>
      </c>
    </row>
    <row r="2066" customFormat="false" ht="15" hidden="false" customHeight="false" outlineLevel="0" collapsed="false">
      <c r="A2066" s="11" t="s">
        <v>2434</v>
      </c>
      <c r="B2066" s="11" t="s">
        <v>30</v>
      </c>
      <c r="C2066" s="11" t="s">
        <v>130</v>
      </c>
      <c r="D2066" s="11" t="s">
        <v>34</v>
      </c>
      <c r="E2066" s="11" t="s">
        <v>110</v>
      </c>
      <c r="F2066" s="11" t="s">
        <v>79</v>
      </c>
      <c r="G2066" s="21" t="n">
        <v>73.76</v>
      </c>
      <c r="H2066" s="19" t="n">
        <v>0</v>
      </c>
      <c r="I2066" s="21" t="n">
        <v>73.76</v>
      </c>
      <c r="J2066" s="22" t="s">
        <v>1749</v>
      </c>
      <c r="K2066" s="11" t="n">
        <v>25</v>
      </c>
      <c r="L2066" s="23" t="n">
        <v>1.3</v>
      </c>
      <c r="M2066" s="24" t="b">
        <f aca="false">FALSE()</f>
        <v>0</v>
      </c>
      <c r="N2066" s="11"/>
      <c r="O2066" s="11" t="str">
        <f aca="false">IF(K2066&lt;=StockP33,"Low",IF(K2066&lt;=StockP67,"Moderate","High"))</f>
        <v>Moderate</v>
      </c>
      <c r="P2066" s="11" t="str">
        <f aca="false">IF(H2066=0,"Low",IF(H2066&lt;=MarkdownP75,"Moderate","High"))</f>
        <v>Low</v>
      </c>
      <c r="Q2066" s="11" t="str">
        <f aca="false">IF(ISBLANK(L2066),"Unknown",IF(L2066&gt;=4,"Good",IF(L2066&lt;=2,"Poor","Neutral")))</f>
        <v>Poor</v>
      </c>
      <c r="R2066" s="11" t="str">
        <f aca="false">IF(AND(O2066="Low",P2066="Low",Q2066="Good"),"BUY / PRIORITIZE",IF(AND(O2066="High",P2066="High",OR(Q2066="Poor",M2066=TRUE())),"HOLD / REVIEW","MONITOR"))</f>
        <v>MONITOR</v>
      </c>
      <c r="S2066" s="11" t="n">
        <f aca="false">K2066+(ROW()/10000000)</f>
        <v>25.0002066</v>
      </c>
    </row>
    <row r="2067" customFormat="false" ht="15" hidden="false" customHeight="false" outlineLevel="0" collapsed="false">
      <c r="A2067" s="11" t="s">
        <v>2435</v>
      </c>
      <c r="B2067" s="11" t="s">
        <v>26</v>
      </c>
      <c r="C2067" s="11" t="s">
        <v>72</v>
      </c>
      <c r="D2067" s="11" t="s">
        <v>37</v>
      </c>
      <c r="E2067" s="11" t="s">
        <v>73</v>
      </c>
      <c r="F2067" s="11" t="s">
        <v>79</v>
      </c>
      <c r="G2067" s="21" t="n">
        <v>36.23</v>
      </c>
      <c r="H2067" s="19" t="n">
        <v>0</v>
      </c>
      <c r="I2067" s="21" t="n">
        <v>36.23</v>
      </c>
      <c r="J2067" s="22" t="s">
        <v>80</v>
      </c>
      <c r="K2067" s="11" t="n">
        <v>49</v>
      </c>
      <c r="L2067" s="23"/>
      <c r="M2067" s="24" t="b">
        <f aca="false">FALSE()</f>
        <v>0</v>
      </c>
      <c r="N2067" s="11"/>
      <c r="O2067" s="11" t="str">
        <f aca="false">IF(K2067&lt;=StockP33,"Low",IF(K2067&lt;=StockP67,"Moderate","High"))</f>
        <v>High</v>
      </c>
      <c r="P2067" s="11" t="str">
        <f aca="false">IF(H2067=0,"Low",IF(H2067&lt;=MarkdownP75,"Moderate","High"))</f>
        <v>Low</v>
      </c>
      <c r="Q2067" s="11" t="str">
        <f aca="false">IF(ISBLANK(L2067),"Unknown",IF(L2067&gt;=4,"Good",IF(L2067&lt;=2,"Poor","Neutral")))</f>
        <v>Unknown</v>
      </c>
      <c r="R2067" s="11" t="str">
        <f aca="false">IF(AND(O2067="Low",P2067="Low",Q2067="Good"),"BUY / PRIORITIZE",IF(AND(O2067="High",P2067="High",OR(Q2067="Poor",M2067=TRUE())),"HOLD / REVIEW","MONITOR"))</f>
        <v>MONITOR</v>
      </c>
      <c r="S2067" s="11" t="n">
        <f aca="false">K2067+(ROW()/10000000)</f>
        <v>49.0002067</v>
      </c>
    </row>
    <row r="2068" customFormat="false" ht="15" hidden="false" customHeight="false" outlineLevel="0" collapsed="false">
      <c r="A2068" s="11" t="s">
        <v>2436</v>
      </c>
      <c r="B2068" s="11" t="s">
        <v>26</v>
      </c>
      <c r="C2068" s="11" t="s">
        <v>101</v>
      </c>
      <c r="D2068" s="11" t="s">
        <v>34</v>
      </c>
      <c r="E2068" s="11" t="s">
        <v>91</v>
      </c>
      <c r="F2068" s="11" t="s">
        <v>120</v>
      </c>
      <c r="G2068" s="21" t="n">
        <v>48.89</v>
      </c>
      <c r="H2068" s="19" t="n">
        <v>0</v>
      </c>
      <c r="I2068" s="21" t="n">
        <v>48.89</v>
      </c>
      <c r="J2068" s="22" t="s">
        <v>1589</v>
      </c>
      <c r="K2068" s="11" t="n">
        <v>9</v>
      </c>
      <c r="L2068" s="23" t="n">
        <v>3.1</v>
      </c>
      <c r="M2068" s="24" t="b">
        <f aca="false">FALSE()</f>
        <v>0</v>
      </c>
      <c r="N2068" s="11"/>
      <c r="O2068" s="11" t="str">
        <f aca="false">IF(K2068&lt;=StockP33,"Low",IF(K2068&lt;=StockP67,"Moderate","High"))</f>
        <v>Low</v>
      </c>
      <c r="P2068" s="11" t="str">
        <f aca="false">IF(H2068=0,"Low",IF(H2068&lt;=MarkdownP75,"Moderate","High"))</f>
        <v>Low</v>
      </c>
      <c r="Q2068" s="11" t="str">
        <f aca="false">IF(ISBLANK(L2068),"Unknown",IF(L2068&gt;=4,"Good",IF(L2068&lt;=2,"Poor","Neutral")))</f>
        <v>Neutral</v>
      </c>
      <c r="R2068" s="11" t="str">
        <f aca="false">IF(AND(O2068="Low",P2068="Low",Q2068="Good"),"BUY / PRIORITIZE",IF(AND(O2068="High",P2068="High",OR(Q2068="Poor",M2068=TRUE())),"HOLD / REVIEW","MONITOR"))</f>
        <v>MONITOR</v>
      </c>
      <c r="S2068" s="11" t="n">
        <f aca="false">K2068+(ROW()/10000000)</f>
        <v>9.0002068</v>
      </c>
    </row>
    <row r="2069" customFormat="false" ht="15" hidden="false" customHeight="false" outlineLevel="0" collapsed="false">
      <c r="A2069" s="11" t="s">
        <v>2437</v>
      </c>
      <c r="B2069" s="11" t="s">
        <v>30</v>
      </c>
      <c r="C2069" s="11" t="s">
        <v>101</v>
      </c>
      <c r="D2069" s="11" t="s">
        <v>37</v>
      </c>
      <c r="E2069" s="11" t="s">
        <v>73</v>
      </c>
      <c r="F2069" s="11" t="s">
        <v>79</v>
      </c>
      <c r="G2069" s="21" t="n">
        <v>94.15</v>
      </c>
      <c r="H2069" s="19" t="n">
        <v>31</v>
      </c>
      <c r="I2069" s="21" t="n">
        <v>64.96</v>
      </c>
      <c r="J2069" s="22" t="s">
        <v>80</v>
      </c>
      <c r="K2069" s="11" t="n">
        <v>25</v>
      </c>
      <c r="L2069" s="23"/>
      <c r="M2069" s="24" t="b">
        <f aca="false">FALSE()</f>
        <v>0</v>
      </c>
      <c r="N2069" s="11"/>
      <c r="O2069" s="11" t="str">
        <f aca="false">IF(K2069&lt;=StockP33,"Low",IF(K2069&lt;=StockP67,"Moderate","High"))</f>
        <v>Moderate</v>
      </c>
      <c r="P2069" s="11" t="str">
        <f aca="false">IF(H2069=0,"Low",IF(H2069&lt;=MarkdownP75,"Moderate","High"))</f>
        <v>High</v>
      </c>
      <c r="Q2069" s="11" t="str">
        <f aca="false">IF(ISBLANK(L2069),"Unknown",IF(L2069&gt;=4,"Good",IF(L2069&lt;=2,"Poor","Neutral")))</f>
        <v>Unknown</v>
      </c>
      <c r="R2069" s="11" t="str">
        <f aca="false">IF(AND(O2069="Low",P2069="Low",Q2069="Good"),"BUY / PRIORITIZE",IF(AND(O2069="High",P2069="High",OR(Q2069="Poor",M2069=TRUE())),"HOLD / REVIEW","MONITOR"))</f>
        <v>MONITOR</v>
      </c>
      <c r="S2069" s="11" t="n">
        <f aca="false">K2069+(ROW()/10000000)</f>
        <v>25.0002069</v>
      </c>
    </row>
    <row r="2070" customFormat="false" ht="15" hidden="false" customHeight="false" outlineLevel="0" collapsed="false">
      <c r="A2070" s="11" t="s">
        <v>2438</v>
      </c>
      <c r="B2070" s="11" t="s">
        <v>8</v>
      </c>
      <c r="C2070" s="11" t="s">
        <v>130</v>
      </c>
      <c r="D2070" s="11" t="s">
        <v>35</v>
      </c>
      <c r="E2070" s="11"/>
      <c r="F2070" s="11" t="s">
        <v>124</v>
      </c>
      <c r="G2070" s="21" t="n">
        <v>27.7</v>
      </c>
      <c r="H2070" s="19" t="n">
        <v>0</v>
      </c>
      <c r="I2070" s="21" t="n">
        <v>27.7</v>
      </c>
      <c r="J2070" s="22" t="s">
        <v>80</v>
      </c>
      <c r="K2070" s="11" t="n">
        <v>27</v>
      </c>
      <c r="L2070" s="23" t="n">
        <v>4.8</v>
      </c>
      <c r="M2070" s="24" t="b">
        <f aca="false">FALSE()</f>
        <v>0</v>
      </c>
      <c r="N2070" s="11"/>
      <c r="O2070" s="11" t="str">
        <f aca="false">IF(K2070&lt;=StockP33,"Low",IF(K2070&lt;=StockP67,"Moderate","High"))</f>
        <v>Moderate</v>
      </c>
      <c r="P2070" s="11" t="str">
        <f aca="false">IF(H2070=0,"Low",IF(H2070&lt;=MarkdownP75,"Moderate","High"))</f>
        <v>Low</v>
      </c>
      <c r="Q2070" s="11" t="str">
        <f aca="false">IF(ISBLANK(L2070),"Unknown",IF(L2070&gt;=4,"Good",IF(L2070&lt;=2,"Poor","Neutral")))</f>
        <v>Good</v>
      </c>
      <c r="R2070" s="11" t="str">
        <f aca="false">IF(AND(O2070="Low",P2070="Low",Q2070="Good"),"BUY / PRIORITIZE",IF(AND(O2070="High",P2070="High",OR(Q2070="Poor",M2070=TRUE())),"HOLD / REVIEW","MONITOR"))</f>
        <v>MONITOR</v>
      </c>
      <c r="S2070" s="11" t="n">
        <f aca="false">K2070+(ROW()/10000000)</f>
        <v>27.000207</v>
      </c>
    </row>
    <row r="2071" customFormat="false" ht="15" hidden="false" customHeight="false" outlineLevel="0" collapsed="false">
      <c r="A2071" s="11" t="s">
        <v>2439</v>
      </c>
      <c r="B2071" s="11" t="s">
        <v>29</v>
      </c>
      <c r="C2071" s="11" t="s">
        <v>101</v>
      </c>
      <c r="D2071" s="11" t="s">
        <v>34</v>
      </c>
      <c r="E2071" s="11" t="s">
        <v>102</v>
      </c>
      <c r="F2071" s="11" t="s">
        <v>92</v>
      </c>
      <c r="G2071" s="21" t="n">
        <v>122.55</v>
      </c>
      <c r="H2071" s="19" t="n">
        <v>11.2</v>
      </c>
      <c r="I2071" s="21" t="n">
        <v>108.82</v>
      </c>
      <c r="J2071" s="22" t="s">
        <v>1193</v>
      </c>
      <c r="K2071" s="11" t="n">
        <v>23</v>
      </c>
      <c r="L2071" s="23"/>
      <c r="M2071" s="24" t="b">
        <f aca="false">FALSE()</f>
        <v>0</v>
      </c>
      <c r="N2071" s="11"/>
      <c r="O2071" s="11" t="str">
        <f aca="false">IF(K2071&lt;=StockP33,"Low",IF(K2071&lt;=StockP67,"Moderate","High"))</f>
        <v>Moderate</v>
      </c>
      <c r="P2071" s="11" t="str">
        <f aca="false">IF(H2071=0,"Low",IF(H2071&lt;=MarkdownP75,"Moderate","High"))</f>
        <v>Moderate</v>
      </c>
      <c r="Q2071" s="11" t="str">
        <f aca="false">IF(ISBLANK(L2071),"Unknown",IF(L2071&gt;=4,"Good",IF(L2071&lt;=2,"Poor","Neutral")))</f>
        <v>Unknown</v>
      </c>
      <c r="R2071" s="11" t="str">
        <f aca="false">IF(AND(O2071="Low",P2071="Low",Q2071="Good"),"BUY / PRIORITIZE",IF(AND(O2071="High",P2071="High",OR(Q2071="Poor",M2071=TRUE())),"HOLD / REVIEW","MONITOR"))</f>
        <v>MONITOR</v>
      </c>
      <c r="S2071" s="11" t="n">
        <f aca="false">K2071+(ROW()/10000000)</f>
        <v>23.0002071</v>
      </c>
    </row>
    <row r="2072" customFormat="false" ht="15" hidden="false" customHeight="false" outlineLevel="0" collapsed="false">
      <c r="A2072" s="11" t="s">
        <v>2440</v>
      </c>
      <c r="B2072" s="11" t="s">
        <v>27</v>
      </c>
      <c r="C2072" s="11" t="s">
        <v>95</v>
      </c>
      <c r="D2072" s="11" t="s">
        <v>34</v>
      </c>
      <c r="E2072" s="11" t="s">
        <v>73</v>
      </c>
      <c r="F2072" s="11" t="s">
        <v>79</v>
      </c>
      <c r="G2072" s="21" t="n">
        <v>173.77</v>
      </c>
      <c r="H2072" s="19" t="n">
        <v>17</v>
      </c>
      <c r="I2072" s="21" t="n">
        <v>144.23</v>
      </c>
      <c r="J2072" s="22" t="s">
        <v>1831</v>
      </c>
      <c r="K2072" s="11" t="n">
        <v>5</v>
      </c>
      <c r="L2072" s="23" t="n">
        <v>1.9</v>
      </c>
      <c r="M2072" s="24" t="b">
        <f aca="false">FALSE()</f>
        <v>0</v>
      </c>
      <c r="N2072" s="11"/>
      <c r="O2072" s="11" t="str">
        <f aca="false">IF(K2072&lt;=StockP33,"Low",IF(K2072&lt;=StockP67,"Moderate","High"))</f>
        <v>Low</v>
      </c>
      <c r="P2072" s="11" t="str">
        <f aca="false">IF(H2072=0,"Low",IF(H2072&lt;=MarkdownP75,"Moderate","High"))</f>
        <v>Moderate</v>
      </c>
      <c r="Q2072" s="11" t="str">
        <f aca="false">IF(ISBLANK(L2072),"Unknown",IF(L2072&gt;=4,"Good",IF(L2072&lt;=2,"Poor","Neutral")))</f>
        <v>Poor</v>
      </c>
      <c r="R2072" s="11" t="str">
        <f aca="false">IF(AND(O2072="Low",P2072="Low",Q2072="Good"),"BUY / PRIORITIZE",IF(AND(O2072="High",P2072="High",OR(Q2072="Poor",M2072=TRUE())),"HOLD / REVIEW","MONITOR"))</f>
        <v>MONITOR</v>
      </c>
      <c r="S2072" s="11" t="n">
        <f aca="false">K2072+(ROW()/10000000)</f>
        <v>5.0002072</v>
      </c>
    </row>
    <row r="2073" customFormat="false" ht="15" hidden="false" customHeight="false" outlineLevel="0" collapsed="false">
      <c r="A2073" s="11" t="s">
        <v>2441</v>
      </c>
      <c r="B2073" s="11" t="s">
        <v>8</v>
      </c>
      <c r="C2073" s="11" t="s">
        <v>77</v>
      </c>
      <c r="D2073" s="11" t="s">
        <v>35</v>
      </c>
      <c r="E2073" s="11"/>
      <c r="F2073" s="11" t="s">
        <v>79</v>
      </c>
      <c r="G2073" s="21" t="n">
        <v>77.45</v>
      </c>
      <c r="H2073" s="19" t="n">
        <v>0</v>
      </c>
      <c r="I2073" s="21" t="n">
        <v>77.45</v>
      </c>
      <c r="J2073" s="22" t="s">
        <v>80</v>
      </c>
      <c r="K2073" s="11" t="n">
        <v>0</v>
      </c>
      <c r="L2073" s="23" t="n">
        <v>3.1</v>
      </c>
      <c r="M2073" s="24" t="b">
        <f aca="false">FALSE()</f>
        <v>0</v>
      </c>
      <c r="N2073" s="11"/>
      <c r="O2073" s="11" t="str">
        <f aca="false">IF(K2073&lt;=StockP33,"Low",IF(K2073&lt;=StockP67,"Moderate","High"))</f>
        <v>Low</v>
      </c>
      <c r="P2073" s="11" t="str">
        <f aca="false">IF(H2073=0,"Low",IF(H2073&lt;=MarkdownP75,"Moderate","High"))</f>
        <v>Low</v>
      </c>
      <c r="Q2073" s="11" t="str">
        <f aca="false">IF(ISBLANK(L2073),"Unknown",IF(L2073&gt;=4,"Good",IF(L2073&lt;=2,"Poor","Neutral")))</f>
        <v>Neutral</v>
      </c>
      <c r="R2073" s="11" t="str">
        <f aca="false">IF(AND(O2073="Low",P2073="Low",Q2073="Good"),"BUY / PRIORITIZE",IF(AND(O2073="High",P2073="High",OR(Q2073="Poor",M2073=TRUE())),"HOLD / REVIEW","MONITOR"))</f>
        <v>MONITOR</v>
      </c>
      <c r="S2073" s="11" t="n">
        <f aca="false">K2073+(ROW()/10000000)</f>
        <v>0.0002073</v>
      </c>
    </row>
    <row r="2074" customFormat="false" ht="15" hidden="false" customHeight="false" outlineLevel="0" collapsed="false">
      <c r="A2074" s="11" t="s">
        <v>2442</v>
      </c>
      <c r="B2074" s="11" t="s">
        <v>26</v>
      </c>
      <c r="C2074" s="11" t="s">
        <v>77</v>
      </c>
      <c r="D2074" s="11" t="s">
        <v>37</v>
      </c>
      <c r="E2074" s="11" t="s">
        <v>113</v>
      </c>
      <c r="F2074" s="11" t="s">
        <v>82</v>
      </c>
      <c r="G2074" s="21" t="n">
        <v>34.16</v>
      </c>
      <c r="H2074" s="19" t="n">
        <v>0</v>
      </c>
      <c r="I2074" s="21" t="n">
        <v>34.16</v>
      </c>
      <c r="J2074" s="22" t="s">
        <v>80</v>
      </c>
      <c r="K2074" s="11" t="n">
        <v>37</v>
      </c>
      <c r="L2074" s="23" t="n">
        <v>1.3</v>
      </c>
      <c r="M2074" s="24" t="b">
        <f aca="false">FALSE()</f>
        <v>0</v>
      </c>
      <c r="N2074" s="11"/>
      <c r="O2074" s="11" t="str">
        <f aca="false">IF(K2074&lt;=StockP33,"Low",IF(K2074&lt;=StockP67,"Moderate","High"))</f>
        <v>High</v>
      </c>
      <c r="P2074" s="11" t="str">
        <f aca="false">IF(H2074=0,"Low",IF(H2074&lt;=MarkdownP75,"Moderate","High"))</f>
        <v>Low</v>
      </c>
      <c r="Q2074" s="11" t="str">
        <f aca="false">IF(ISBLANK(L2074),"Unknown",IF(L2074&gt;=4,"Good",IF(L2074&lt;=2,"Poor","Neutral")))</f>
        <v>Poor</v>
      </c>
      <c r="R2074" s="11" t="str">
        <f aca="false">IF(AND(O2074="Low",P2074="Low",Q2074="Good"),"BUY / PRIORITIZE",IF(AND(O2074="High",P2074="High",OR(Q2074="Poor",M2074=TRUE())),"HOLD / REVIEW","MONITOR"))</f>
        <v>MONITOR</v>
      </c>
      <c r="S2074" s="11" t="n">
        <f aca="false">K2074+(ROW()/10000000)</f>
        <v>37.0002074</v>
      </c>
    </row>
    <row r="2075" customFormat="false" ht="15" hidden="false" customHeight="false" outlineLevel="0" collapsed="false">
      <c r="A2075" s="11" t="s">
        <v>2443</v>
      </c>
      <c r="B2075" s="11" t="s">
        <v>8</v>
      </c>
      <c r="C2075" s="11" t="s">
        <v>130</v>
      </c>
      <c r="D2075" s="11" t="s">
        <v>35</v>
      </c>
      <c r="E2075" s="11"/>
      <c r="F2075" s="11" t="s">
        <v>88</v>
      </c>
      <c r="G2075" s="21" t="n">
        <v>71.3</v>
      </c>
      <c r="H2075" s="19" t="n">
        <v>0</v>
      </c>
      <c r="I2075" s="21" t="n">
        <v>71.3</v>
      </c>
      <c r="J2075" s="22" t="s">
        <v>80</v>
      </c>
      <c r="K2075" s="11" t="n">
        <v>21</v>
      </c>
      <c r="L2075" s="23" t="n">
        <v>1.6</v>
      </c>
      <c r="M2075" s="24" t="b">
        <f aca="false">FALSE()</f>
        <v>0</v>
      </c>
      <c r="N2075" s="11"/>
      <c r="O2075" s="11" t="str">
        <f aca="false">IF(K2075&lt;=StockP33,"Low",IF(K2075&lt;=StockP67,"Moderate","High"))</f>
        <v>Moderate</v>
      </c>
      <c r="P2075" s="11" t="str">
        <f aca="false">IF(H2075=0,"Low",IF(H2075&lt;=MarkdownP75,"Moderate","High"))</f>
        <v>Low</v>
      </c>
      <c r="Q2075" s="11" t="str">
        <f aca="false">IF(ISBLANK(L2075),"Unknown",IF(L2075&gt;=4,"Good",IF(L2075&lt;=2,"Poor","Neutral")))</f>
        <v>Poor</v>
      </c>
      <c r="R2075" s="11" t="str">
        <f aca="false">IF(AND(O2075="Low",P2075="Low",Q2075="Good"),"BUY / PRIORITIZE",IF(AND(O2075="High",P2075="High",OR(Q2075="Poor",M2075=TRUE())),"HOLD / REVIEW","MONITOR"))</f>
        <v>MONITOR</v>
      </c>
      <c r="S2075" s="11" t="n">
        <f aca="false">K2075+(ROW()/10000000)</f>
        <v>21.0002075</v>
      </c>
    </row>
    <row r="2076" customFormat="false" ht="15" hidden="false" customHeight="false" outlineLevel="0" collapsed="false">
      <c r="A2076" s="11" t="s">
        <v>2444</v>
      </c>
      <c r="B2076" s="11" t="s">
        <v>30</v>
      </c>
      <c r="C2076" s="11" t="s">
        <v>101</v>
      </c>
      <c r="D2076" s="11" t="s">
        <v>35</v>
      </c>
      <c r="E2076" s="11" t="s">
        <v>113</v>
      </c>
      <c r="F2076" s="11" t="s">
        <v>124</v>
      </c>
      <c r="G2076" s="21" t="n">
        <v>63.67</v>
      </c>
      <c r="H2076" s="19" t="n">
        <v>0</v>
      </c>
      <c r="I2076" s="21" t="n">
        <v>63.67</v>
      </c>
      <c r="J2076" s="22" t="s">
        <v>80</v>
      </c>
      <c r="K2076" s="11" t="n">
        <v>18</v>
      </c>
      <c r="L2076" s="23" t="n">
        <v>1.6</v>
      </c>
      <c r="M2076" s="24" t="b">
        <f aca="false">FALSE()</f>
        <v>0</v>
      </c>
      <c r="N2076" s="11"/>
      <c r="O2076" s="11" t="str">
        <f aca="false">IF(K2076&lt;=StockP33,"Low",IF(K2076&lt;=StockP67,"Moderate","High"))</f>
        <v>Moderate</v>
      </c>
      <c r="P2076" s="11" t="str">
        <f aca="false">IF(H2076=0,"Low",IF(H2076&lt;=MarkdownP75,"Moderate","High"))</f>
        <v>Low</v>
      </c>
      <c r="Q2076" s="11" t="str">
        <f aca="false">IF(ISBLANK(L2076),"Unknown",IF(L2076&gt;=4,"Good",IF(L2076&lt;=2,"Poor","Neutral")))</f>
        <v>Poor</v>
      </c>
      <c r="R2076" s="11" t="str">
        <f aca="false">IF(AND(O2076="Low",P2076="Low",Q2076="Good"),"BUY / PRIORITIZE",IF(AND(O2076="High",P2076="High",OR(Q2076="Poor",M2076=TRUE())),"HOLD / REVIEW","MONITOR"))</f>
        <v>MONITOR</v>
      </c>
      <c r="S2076" s="11" t="n">
        <f aca="false">K2076+(ROW()/10000000)</f>
        <v>18.0002076</v>
      </c>
    </row>
    <row r="2077" customFormat="false" ht="15" hidden="false" customHeight="false" outlineLevel="0" collapsed="false">
      <c r="A2077" s="11" t="s">
        <v>2445</v>
      </c>
      <c r="B2077" s="11" t="s">
        <v>28</v>
      </c>
      <c r="C2077" s="11" t="s">
        <v>130</v>
      </c>
      <c r="D2077" s="11" t="s">
        <v>36</v>
      </c>
      <c r="E2077" s="11" t="s">
        <v>91</v>
      </c>
      <c r="F2077" s="11" t="s">
        <v>92</v>
      </c>
      <c r="G2077" s="21" t="n">
        <v>249.98</v>
      </c>
      <c r="H2077" s="19" t="n">
        <v>0</v>
      </c>
      <c r="I2077" s="21" t="n">
        <v>249.98</v>
      </c>
      <c r="J2077" s="22" t="s">
        <v>80</v>
      </c>
      <c r="K2077" s="11" t="n">
        <v>46</v>
      </c>
      <c r="L2077" s="23" t="n">
        <v>3.6</v>
      </c>
      <c r="M2077" s="24" t="b">
        <f aca="false">FALSE()</f>
        <v>0</v>
      </c>
      <c r="N2077" s="11"/>
      <c r="O2077" s="11" t="str">
        <f aca="false">IF(K2077&lt;=StockP33,"Low",IF(K2077&lt;=StockP67,"Moderate","High"))</f>
        <v>High</v>
      </c>
      <c r="P2077" s="11" t="str">
        <f aca="false">IF(H2077=0,"Low",IF(H2077&lt;=MarkdownP75,"Moderate","High"))</f>
        <v>Low</v>
      </c>
      <c r="Q2077" s="11" t="str">
        <f aca="false">IF(ISBLANK(L2077),"Unknown",IF(L2077&gt;=4,"Good",IF(L2077&lt;=2,"Poor","Neutral")))</f>
        <v>Neutral</v>
      </c>
      <c r="R2077" s="11" t="str">
        <f aca="false">IF(AND(O2077="Low",P2077="Low",Q2077="Good"),"BUY / PRIORITIZE",IF(AND(O2077="High",P2077="High",OR(Q2077="Poor",M2077=TRUE())),"HOLD / REVIEW","MONITOR"))</f>
        <v>MONITOR</v>
      </c>
      <c r="S2077" s="11" t="n">
        <f aca="false">K2077+(ROW()/10000000)</f>
        <v>46.0002077</v>
      </c>
    </row>
    <row r="2078" customFormat="false" ht="15" hidden="false" customHeight="false" outlineLevel="0" collapsed="false">
      <c r="A2078" s="11" t="s">
        <v>2446</v>
      </c>
      <c r="B2078" s="11" t="s">
        <v>28</v>
      </c>
      <c r="C2078" s="11" t="s">
        <v>107</v>
      </c>
      <c r="D2078" s="11" t="s">
        <v>34</v>
      </c>
      <c r="E2078" s="11" t="s">
        <v>73</v>
      </c>
      <c r="F2078" s="11" t="s">
        <v>98</v>
      </c>
      <c r="G2078" s="21" t="n">
        <v>103.92</v>
      </c>
      <c r="H2078" s="19" t="n">
        <v>0</v>
      </c>
      <c r="I2078" s="21" t="n">
        <v>103.92</v>
      </c>
      <c r="J2078" s="22" t="s">
        <v>138</v>
      </c>
      <c r="K2078" s="11" t="n">
        <v>5</v>
      </c>
      <c r="L2078" s="23"/>
      <c r="M2078" s="24" t="b">
        <f aca="false">FALSE()</f>
        <v>0</v>
      </c>
      <c r="N2078" s="11"/>
      <c r="O2078" s="11" t="str">
        <f aca="false">IF(K2078&lt;=StockP33,"Low",IF(K2078&lt;=StockP67,"Moderate","High"))</f>
        <v>Low</v>
      </c>
      <c r="P2078" s="11" t="str">
        <f aca="false">IF(H2078=0,"Low",IF(H2078&lt;=MarkdownP75,"Moderate","High"))</f>
        <v>Low</v>
      </c>
      <c r="Q2078" s="11" t="str">
        <f aca="false">IF(ISBLANK(L2078),"Unknown",IF(L2078&gt;=4,"Good",IF(L2078&lt;=2,"Poor","Neutral")))</f>
        <v>Unknown</v>
      </c>
      <c r="R2078" s="11" t="str">
        <f aca="false">IF(AND(O2078="Low",P2078="Low",Q2078="Good"),"BUY / PRIORITIZE",IF(AND(O2078="High",P2078="High",OR(Q2078="Poor",M2078=TRUE())),"HOLD / REVIEW","MONITOR"))</f>
        <v>MONITOR</v>
      </c>
      <c r="S2078" s="11" t="n">
        <f aca="false">K2078+(ROW()/10000000)</f>
        <v>5.0002078</v>
      </c>
    </row>
    <row r="2079" customFormat="false" ht="15" hidden="false" customHeight="false" outlineLevel="0" collapsed="false">
      <c r="A2079" s="11" t="s">
        <v>2447</v>
      </c>
      <c r="B2079" s="11" t="s">
        <v>29</v>
      </c>
      <c r="C2079" s="11" t="s">
        <v>77</v>
      </c>
      <c r="D2079" s="11" t="s">
        <v>35</v>
      </c>
      <c r="E2079" s="11" t="s">
        <v>73</v>
      </c>
      <c r="F2079" s="11" t="s">
        <v>82</v>
      </c>
      <c r="G2079" s="21" t="n">
        <v>116.76</v>
      </c>
      <c r="H2079" s="19" t="n">
        <v>0</v>
      </c>
      <c r="I2079" s="21" t="n">
        <v>116.76</v>
      </c>
      <c r="J2079" s="22" t="s">
        <v>80</v>
      </c>
      <c r="K2079" s="11" t="n">
        <v>13</v>
      </c>
      <c r="L2079" s="23"/>
      <c r="M2079" s="24" t="b">
        <f aca="false">FALSE()</f>
        <v>0</v>
      </c>
      <c r="N2079" s="11"/>
      <c r="O2079" s="11" t="str">
        <f aca="false">IF(K2079&lt;=StockP33,"Low",IF(K2079&lt;=StockP67,"Moderate","High"))</f>
        <v>Low</v>
      </c>
      <c r="P2079" s="11" t="str">
        <f aca="false">IF(H2079=0,"Low",IF(H2079&lt;=MarkdownP75,"Moderate","High"))</f>
        <v>Low</v>
      </c>
      <c r="Q2079" s="11" t="str">
        <f aca="false">IF(ISBLANK(L2079),"Unknown",IF(L2079&gt;=4,"Good",IF(L2079&lt;=2,"Poor","Neutral")))</f>
        <v>Unknown</v>
      </c>
      <c r="R2079" s="11" t="str">
        <f aca="false">IF(AND(O2079="Low",P2079="Low",Q2079="Good"),"BUY / PRIORITIZE",IF(AND(O2079="High",P2079="High",OR(Q2079="Poor",M2079=TRUE())),"HOLD / REVIEW","MONITOR"))</f>
        <v>MONITOR</v>
      </c>
      <c r="S2079" s="11" t="n">
        <f aca="false">K2079+(ROW()/10000000)</f>
        <v>13.0002079</v>
      </c>
    </row>
    <row r="2080" customFormat="false" ht="15" hidden="false" customHeight="false" outlineLevel="0" collapsed="false">
      <c r="A2080" s="11" t="s">
        <v>2448</v>
      </c>
      <c r="B2080" s="11" t="s">
        <v>29</v>
      </c>
      <c r="C2080" s="11" t="s">
        <v>116</v>
      </c>
      <c r="D2080" s="11" t="s">
        <v>37</v>
      </c>
      <c r="E2080" s="11" t="s">
        <v>102</v>
      </c>
      <c r="F2080" s="11" t="s">
        <v>88</v>
      </c>
      <c r="G2080" s="21" t="n">
        <v>102.61</v>
      </c>
      <c r="H2080" s="19" t="n">
        <v>0</v>
      </c>
      <c r="I2080" s="21" t="n">
        <v>102.61</v>
      </c>
      <c r="J2080" s="22" t="s">
        <v>80</v>
      </c>
      <c r="K2080" s="11" t="n">
        <v>47</v>
      </c>
      <c r="L2080" s="23" t="n">
        <v>3.5</v>
      </c>
      <c r="M2080" s="24" t="b">
        <f aca="false">FALSE()</f>
        <v>0</v>
      </c>
      <c r="N2080" s="11"/>
      <c r="O2080" s="11" t="str">
        <f aca="false">IF(K2080&lt;=StockP33,"Low",IF(K2080&lt;=StockP67,"Moderate","High"))</f>
        <v>High</v>
      </c>
      <c r="P2080" s="11" t="str">
        <f aca="false">IF(H2080=0,"Low",IF(H2080&lt;=MarkdownP75,"Moderate","High"))</f>
        <v>Low</v>
      </c>
      <c r="Q2080" s="11" t="str">
        <f aca="false">IF(ISBLANK(L2080),"Unknown",IF(L2080&gt;=4,"Good",IF(L2080&lt;=2,"Poor","Neutral")))</f>
        <v>Neutral</v>
      </c>
      <c r="R2080" s="11" t="str">
        <f aca="false">IF(AND(O2080="Low",P2080="Low",Q2080="Good"),"BUY / PRIORITIZE",IF(AND(O2080="High",P2080="High",OR(Q2080="Poor",M2080=TRUE())),"HOLD / REVIEW","MONITOR"))</f>
        <v>MONITOR</v>
      </c>
      <c r="S2080" s="11" t="n">
        <f aca="false">K2080+(ROW()/10000000)</f>
        <v>47.000208</v>
      </c>
    </row>
    <row r="2081" customFormat="false" ht="15" hidden="false" customHeight="false" outlineLevel="0" collapsed="false">
      <c r="A2081" s="11" t="s">
        <v>2449</v>
      </c>
      <c r="B2081" s="11" t="s">
        <v>8</v>
      </c>
      <c r="C2081" s="11" t="s">
        <v>107</v>
      </c>
      <c r="D2081" s="11" t="s">
        <v>34</v>
      </c>
      <c r="E2081" s="11"/>
      <c r="F2081" s="11" t="s">
        <v>79</v>
      </c>
      <c r="G2081" s="21" t="n">
        <v>43.48</v>
      </c>
      <c r="H2081" s="19" t="n">
        <v>0</v>
      </c>
      <c r="I2081" s="21" t="n">
        <v>43.48</v>
      </c>
      <c r="J2081" s="22" t="s">
        <v>2450</v>
      </c>
      <c r="K2081" s="11" t="n">
        <v>11</v>
      </c>
      <c r="L2081" s="23" t="n">
        <v>4.7</v>
      </c>
      <c r="M2081" s="24" t="b">
        <f aca="false">FALSE()</f>
        <v>0</v>
      </c>
      <c r="N2081" s="11"/>
      <c r="O2081" s="11" t="str">
        <f aca="false">IF(K2081&lt;=StockP33,"Low",IF(K2081&lt;=StockP67,"Moderate","High"))</f>
        <v>Low</v>
      </c>
      <c r="P2081" s="11" t="str">
        <f aca="false">IF(H2081=0,"Low",IF(H2081&lt;=MarkdownP75,"Moderate","High"))</f>
        <v>Low</v>
      </c>
      <c r="Q2081" s="11" t="str">
        <f aca="false">IF(ISBLANK(L2081),"Unknown",IF(L2081&gt;=4,"Good",IF(L2081&lt;=2,"Poor","Neutral")))</f>
        <v>Good</v>
      </c>
      <c r="R2081" s="11" t="str">
        <f aca="false">IF(AND(O2081="Low",P2081="Low",Q2081="Good"),"BUY / PRIORITIZE",IF(AND(O2081="High",P2081="High",OR(Q2081="Poor",M2081=TRUE())),"HOLD / REVIEW","MONITOR"))</f>
        <v>BUY / PRIORITIZE</v>
      </c>
      <c r="S2081" s="11" t="n">
        <f aca="false">K2081+(ROW()/10000000)</f>
        <v>11.0002081</v>
      </c>
    </row>
    <row r="2082" customFormat="false" ht="15" hidden="false" customHeight="false" outlineLevel="0" collapsed="false">
      <c r="A2082" s="11" t="s">
        <v>2451</v>
      </c>
      <c r="B2082" s="11" t="s">
        <v>8</v>
      </c>
      <c r="C2082" s="11" t="s">
        <v>130</v>
      </c>
      <c r="D2082" s="11" t="s">
        <v>37</v>
      </c>
      <c r="E2082" s="11"/>
      <c r="F2082" s="11" t="s">
        <v>79</v>
      </c>
      <c r="G2082" s="21" t="n">
        <v>39.9</v>
      </c>
      <c r="H2082" s="19" t="n">
        <v>0</v>
      </c>
      <c r="I2082" s="21" t="n">
        <v>39.9</v>
      </c>
      <c r="J2082" s="22" t="s">
        <v>80</v>
      </c>
      <c r="K2082" s="11" t="n">
        <v>6</v>
      </c>
      <c r="L2082" s="23" t="n">
        <v>2.4</v>
      </c>
      <c r="M2082" s="24" t="b">
        <f aca="false">TRUE()</f>
        <v>1</v>
      </c>
      <c r="N2082" s="11" t="s">
        <v>134</v>
      </c>
      <c r="O2082" s="11" t="str">
        <f aca="false">IF(K2082&lt;=StockP33,"Low",IF(K2082&lt;=StockP67,"Moderate","High"))</f>
        <v>Low</v>
      </c>
      <c r="P2082" s="11" t="str">
        <f aca="false">IF(H2082=0,"Low",IF(H2082&lt;=MarkdownP75,"Moderate","High"))</f>
        <v>Low</v>
      </c>
      <c r="Q2082" s="11" t="str">
        <f aca="false">IF(ISBLANK(L2082),"Unknown",IF(L2082&gt;=4,"Good",IF(L2082&lt;=2,"Poor","Neutral")))</f>
        <v>Neutral</v>
      </c>
      <c r="R2082" s="11" t="str">
        <f aca="false">IF(AND(O2082="Low",P2082="Low",Q2082="Good"),"BUY / PRIORITIZE",IF(AND(O2082="High",P2082="High",OR(Q2082="Poor",M2082=TRUE())),"HOLD / REVIEW","MONITOR"))</f>
        <v>MONITOR</v>
      </c>
      <c r="S2082" s="11" t="n">
        <f aca="false">K2082+(ROW()/10000000)</f>
        <v>6.0002082</v>
      </c>
    </row>
    <row r="2083" customFormat="false" ht="15" hidden="false" customHeight="false" outlineLevel="0" collapsed="false">
      <c r="A2083" s="11" t="s">
        <v>2452</v>
      </c>
      <c r="B2083" s="11" t="s">
        <v>26</v>
      </c>
      <c r="C2083" s="11" t="s">
        <v>72</v>
      </c>
      <c r="D2083" s="11" t="s">
        <v>34</v>
      </c>
      <c r="E2083" s="11" t="s">
        <v>91</v>
      </c>
      <c r="F2083" s="11" t="s">
        <v>79</v>
      </c>
      <c r="G2083" s="21" t="n">
        <v>86</v>
      </c>
      <c r="H2083" s="19" t="n">
        <v>36.7</v>
      </c>
      <c r="I2083" s="21" t="n">
        <v>54.44</v>
      </c>
      <c r="J2083" s="22" t="s">
        <v>539</v>
      </c>
      <c r="K2083" s="11" t="n">
        <v>18</v>
      </c>
      <c r="L2083" s="23" t="n">
        <v>2.4</v>
      </c>
      <c r="M2083" s="24" t="b">
        <f aca="false">TRUE()</f>
        <v>1</v>
      </c>
      <c r="N2083" s="11" t="s">
        <v>128</v>
      </c>
      <c r="O2083" s="11" t="str">
        <f aca="false">IF(K2083&lt;=StockP33,"Low",IF(K2083&lt;=StockP67,"Moderate","High"))</f>
        <v>Moderate</v>
      </c>
      <c r="P2083" s="11" t="str">
        <f aca="false">IF(H2083=0,"Low",IF(H2083&lt;=MarkdownP75,"Moderate","High"))</f>
        <v>High</v>
      </c>
      <c r="Q2083" s="11" t="str">
        <f aca="false">IF(ISBLANK(L2083),"Unknown",IF(L2083&gt;=4,"Good",IF(L2083&lt;=2,"Poor","Neutral")))</f>
        <v>Neutral</v>
      </c>
      <c r="R2083" s="11" t="str">
        <f aca="false">IF(AND(O2083="Low",P2083="Low",Q2083="Good"),"BUY / PRIORITIZE",IF(AND(O2083="High",P2083="High",OR(Q2083="Poor",M2083=TRUE())),"HOLD / REVIEW","MONITOR"))</f>
        <v>MONITOR</v>
      </c>
      <c r="S2083" s="11" t="n">
        <f aca="false">K2083+(ROW()/10000000)</f>
        <v>18.0002083</v>
      </c>
    </row>
    <row r="2084" customFormat="false" ht="15" hidden="false" customHeight="false" outlineLevel="0" collapsed="false">
      <c r="A2084" s="11" t="s">
        <v>2453</v>
      </c>
      <c r="B2084" s="11" t="s">
        <v>29</v>
      </c>
      <c r="C2084" s="11" t="s">
        <v>116</v>
      </c>
      <c r="D2084" s="11" t="s">
        <v>35</v>
      </c>
      <c r="E2084" s="11" t="s">
        <v>102</v>
      </c>
      <c r="F2084" s="11" t="s">
        <v>96</v>
      </c>
      <c r="G2084" s="21" t="n">
        <v>154.48</v>
      </c>
      <c r="H2084" s="19" t="n">
        <v>58.5</v>
      </c>
      <c r="I2084" s="21" t="n">
        <v>64.11</v>
      </c>
      <c r="J2084" s="22" t="s">
        <v>80</v>
      </c>
      <c r="K2084" s="11" t="n">
        <v>19</v>
      </c>
      <c r="L2084" s="23" t="n">
        <v>3.2</v>
      </c>
      <c r="M2084" s="24" t="b">
        <f aca="false">FALSE()</f>
        <v>0</v>
      </c>
      <c r="N2084" s="11"/>
      <c r="O2084" s="11" t="str">
        <f aca="false">IF(K2084&lt;=StockP33,"Low",IF(K2084&lt;=StockP67,"Moderate","High"))</f>
        <v>Moderate</v>
      </c>
      <c r="P2084" s="11" t="str">
        <f aca="false">IF(H2084=0,"Low",IF(H2084&lt;=MarkdownP75,"Moderate","High"))</f>
        <v>High</v>
      </c>
      <c r="Q2084" s="11" t="str">
        <f aca="false">IF(ISBLANK(L2084),"Unknown",IF(L2084&gt;=4,"Good",IF(L2084&lt;=2,"Poor","Neutral")))</f>
        <v>Neutral</v>
      </c>
      <c r="R2084" s="11" t="str">
        <f aca="false">IF(AND(O2084="Low",P2084="Low",Q2084="Good"),"BUY / PRIORITIZE",IF(AND(O2084="High",P2084="High",OR(Q2084="Poor",M2084=TRUE())),"HOLD / REVIEW","MONITOR"))</f>
        <v>MONITOR</v>
      </c>
      <c r="S2084" s="11" t="n">
        <f aca="false">K2084+(ROW()/10000000)</f>
        <v>19.0002084</v>
      </c>
    </row>
    <row r="2085" customFormat="false" ht="15" hidden="false" customHeight="false" outlineLevel="0" collapsed="false">
      <c r="A2085" s="11" t="s">
        <v>2454</v>
      </c>
      <c r="B2085" s="11" t="s">
        <v>27</v>
      </c>
      <c r="C2085" s="11" t="s">
        <v>116</v>
      </c>
      <c r="D2085" s="11" t="s">
        <v>35</v>
      </c>
      <c r="E2085" s="11" t="s">
        <v>91</v>
      </c>
      <c r="F2085" s="11" t="s">
        <v>74</v>
      </c>
      <c r="G2085" s="21" t="n">
        <v>141.97</v>
      </c>
      <c r="H2085" s="19" t="n">
        <v>35.3</v>
      </c>
      <c r="I2085" s="21" t="n">
        <v>91.85</v>
      </c>
      <c r="J2085" s="22" t="s">
        <v>80</v>
      </c>
      <c r="K2085" s="11" t="n">
        <v>12</v>
      </c>
      <c r="L2085" s="23" t="n">
        <v>2.6</v>
      </c>
      <c r="M2085" s="24" t="b">
        <f aca="false">FALSE()</f>
        <v>0</v>
      </c>
      <c r="N2085" s="11"/>
      <c r="O2085" s="11" t="str">
        <f aca="false">IF(K2085&lt;=StockP33,"Low",IF(K2085&lt;=StockP67,"Moderate","High"))</f>
        <v>Low</v>
      </c>
      <c r="P2085" s="11" t="str">
        <f aca="false">IF(H2085=0,"Low",IF(H2085&lt;=MarkdownP75,"Moderate","High"))</f>
        <v>High</v>
      </c>
      <c r="Q2085" s="11" t="str">
        <f aca="false">IF(ISBLANK(L2085),"Unknown",IF(L2085&gt;=4,"Good",IF(L2085&lt;=2,"Poor","Neutral")))</f>
        <v>Neutral</v>
      </c>
      <c r="R2085" s="11" t="str">
        <f aca="false">IF(AND(O2085="Low",P2085="Low",Q2085="Good"),"BUY / PRIORITIZE",IF(AND(O2085="High",P2085="High",OR(Q2085="Poor",M2085=TRUE())),"HOLD / REVIEW","MONITOR"))</f>
        <v>MONITOR</v>
      </c>
      <c r="S2085" s="11" t="n">
        <f aca="false">K2085+(ROW()/10000000)</f>
        <v>12.0002085</v>
      </c>
    </row>
    <row r="2086" customFormat="false" ht="15" hidden="false" customHeight="false" outlineLevel="0" collapsed="false">
      <c r="A2086" s="11" t="s">
        <v>2455</v>
      </c>
      <c r="B2086" s="11" t="s">
        <v>28</v>
      </c>
      <c r="C2086" s="11" t="s">
        <v>116</v>
      </c>
      <c r="D2086" s="11" t="s">
        <v>34</v>
      </c>
      <c r="E2086" s="11" t="s">
        <v>110</v>
      </c>
      <c r="F2086" s="11" t="s">
        <v>74</v>
      </c>
      <c r="G2086" s="21" t="n">
        <v>119.36</v>
      </c>
      <c r="H2086" s="19" t="n">
        <v>0</v>
      </c>
      <c r="I2086" s="21" t="n">
        <v>119.36</v>
      </c>
      <c r="J2086" s="22" t="s">
        <v>879</v>
      </c>
      <c r="K2086" s="11" t="n">
        <v>30</v>
      </c>
      <c r="L2086" s="23" t="n">
        <v>2.7</v>
      </c>
      <c r="M2086" s="24" t="b">
        <f aca="false">TRUE()</f>
        <v>1</v>
      </c>
      <c r="N2086" s="11" t="s">
        <v>128</v>
      </c>
      <c r="O2086" s="11" t="str">
        <f aca="false">IF(K2086&lt;=StockP33,"Low",IF(K2086&lt;=StockP67,"Moderate","High"))</f>
        <v>Moderate</v>
      </c>
      <c r="P2086" s="11" t="str">
        <f aca="false">IF(H2086=0,"Low",IF(H2086&lt;=MarkdownP75,"Moderate","High"))</f>
        <v>Low</v>
      </c>
      <c r="Q2086" s="11" t="str">
        <f aca="false">IF(ISBLANK(L2086),"Unknown",IF(L2086&gt;=4,"Good",IF(L2086&lt;=2,"Poor","Neutral")))</f>
        <v>Neutral</v>
      </c>
      <c r="R2086" s="11" t="str">
        <f aca="false">IF(AND(O2086="Low",P2086="Low",Q2086="Good"),"BUY / PRIORITIZE",IF(AND(O2086="High",P2086="High",OR(Q2086="Poor",M2086=TRUE())),"HOLD / REVIEW","MONITOR"))</f>
        <v>MONITOR</v>
      </c>
      <c r="S2086" s="11" t="n">
        <f aca="false">K2086+(ROW()/10000000)</f>
        <v>30.0002086</v>
      </c>
    </row>
    <row r="2087" customFormat="false" ht="15" hidden="false" customHeight="false" outlineLevel="0" collapsed="false">
      <c r="A2087" s="11" t="s">
        <v>2456</v>
      </c>
      <c r="B2087" s="11" t="s">
        <v>8</v>
      </c>
      <c r="C2087" s="11" t="s">
        <v>130</v>
      </c>
      <c r="D2087" s="11" t="s">
        <v>35</v>
      </c>
      <c r="E2087" s="11"/>
      <c r="F2087" s="11" t="s">
        <v>118</v>
      </c>
      <c r="G2087" s="21" t="n">
        <v>15.71</v>
      </c>
      <c r="H2087" s="19" t="n">
        <v>47.6</v>
      </c>
      <c r="I2087" s="21" t="n">
        <v>8.23</v>
      </c>
      <c r="J2087" s="22" t="s">
        <v>80</v>
      </c>
      <c r="K2087" s="11" t="n">
        <v>42</v>
      </c>
      <c r="L2087" s="23" t="n">
        <v>2</v>
      </c>
      <c r="M2087" s="24" t="b">
        <f aca="false">FALSE()</f>
        <v>0</v>
      </c>
      <c r="N2087" s="11"/>
      <c r="O2087" s="11" t="str">
        <f aca="false">IF(K2087&lt;=StockP33,"Low",IF(K2087&lt;=StockP67,"Moderate","High"))</f>
        <v>High</v>
      </c>
      <c r="P2087" s="11" t="str">
        <f aca="false">IF(H2087=0,"Low",IF(H2087&lt;=MarkdownP75,"Moderate","High"))</f>
        <v>High</v>
      </c>
      <c r="Q2087" s="11" t="str">
        <f aca="false">IF(ISBLANK(L2087),"Unknown",IF(L2087&gt;=4,"Good",IF(L2087&lt;=2,"Poor","Neutral")))</f>
        <v>Poor</v>
      </c>
      <c r="R2087" s="11" t="str">
        <f aca="false">IF(AND(O2087="Low",P2087="Low",Q2087="Good"),"BUY / PRIORITIZE",IF(AND(O2087="High",P2087="High",OR(Q2087="Poor",M2087=TRUE())),"HOLD / REVIEW","MONITOR"))</f>
        <v>HOLD / REVIEW</v>
      </c>
      <c r="S2087" s="11" t="n">
        <f aca="false">K2087+(ROW()/10000000)</f>
        <v>42.0002087</v>
      </c>
    </row>
    <row r="2088" customFormat="false" ht="15" hidden="false" customHeight="false" outlineLevel="0" collapsed="false">
      <c r="A2088" s="11" t="s">
        <v>2457</v>
      </c>
      <c r="B2088" s="11" t="s">
        <v>29</v>
      </c>
      <c r="C2088" s="11" t="s">
        <v>95</v>
      </c>
      <c r="D2088" s="11" t="s">
        <v>37</v>
      </c>
      <c r="E2088" s="11" t="s">
        <v>113</v>
      </c>
      <c r="F2088" s="11" t="s">
        <v>82</v>
      </c>
      <c r="G2088" s="21" t="n">
        <v>89.12</v>
      </c>
      <c r="H2088" s="19" t="n">
        <v>0</v>
      </c>
      <c r="I2088" s="21" t="n">
        <v>89.12</v>
      </c>
      <c r="J2088" s="22" t="s">
        <v>80</v>
      </c>
      <c r="K2088" s="11" t="n">
        <v>27</v>
      </c>
      <c r="L2088" s="23"/>
      <c r="M2088" s="24" t="b">
        <f aca="false">TRUE()</f>
        <v>1</v>
      </c>
      <c r="N2088" s="11" t="s">
        <v>134</v>
      </c>
      <c r="O2088" s="11" t="str">
        <f aca="false">IF(K2088&lt;=StockP33,"Low",IF(K2088&lt;=StockP67,"Moderate","High"))</f>
        <v>Moderate</v>
      </c>
      <c r="P2088" s="11" t="str">
        <f aca="false">IF(H2088=0,"Low",IF(H2088&lt;=MarkdownP75,"Moderate","High"))</f>
        <v>Low</v>
      </c>
      <c r="Q2088" s="11" t="str">
        <f aca="false">IF(ISBLANK(L2088),"Unknown",IF(L2088&gt;=4,"Good",IF(L2088&lt;=2,"Poor","Neutral")))</f>
        <v>Unknown</v>
      </c>
      <c r="R2088" s="11" t="str">
        <f aca="false">IF(AND(O2088="Low",P2088="Low",Q2088="Good"),"BUY / PRIORITIZE",IF(AND(O2088="High",P2088="High",OR(Q2088="Poor",M2088=TRUE())),"HOLD / REVIEW","MONITOR"))</f>
        <v>MONITOR</v>
      </c>
      <c r="S2088" s="11" t="n">
        <f aca="false">K2088+(ROW()/10000000)</f>
        <v>27.0002088</v>
      </c>
    </row>
    <row r="2089" customFormat="false" ht="15" hidden="false" customHeight="false" outlineLevel="0" collapsed="false">
      <c r="A2089" s="11" t="s">
        <v>2458</v>
      </c>
      <c r="B2089" s="11" t="s">
        <v>26</v>
      </c>
      <c r="C2089" s="11" t="s">
        <v>101</v>
      </c>
      <c r="D2089" s="11" t="s">
        <v>36</v>
      </c>
      <c r="E2089" s="11" t="s">
        <v>91</v>
      </c>
      <c r="F2089" s="11" t="s">
        <v>96</v>
      </c>
      <c r="G2089" s="21" t="n">
        <v>30.43</v>
      </c>
      <c r="H2089" s="19" t="n">
        <v>0</v>
      </c>
      <c r="I2089" s="21" t="n">
        <v>30.43</v>
      </c>
      <c r="J2089" s="22" t="s">
        <v>80</v>
      </c>
      <c r="K2089" s="11" t="n">
        <v>32</v>
      </c>
      <c r="L2089" s="23" t="n">
        <v>3.1</v>
      </c>
      <c r="M2089" s="24" t="b">
        <f aca="false">FALSE()</f>
        <v>0</v>
      </c>
      <c r="N2089" s="11"/>
      <c r="O2089" s="11" t="str">
        <f aca="false">IF(K2089&lt;=StockP33,"Low",IF(K2089&lt;=StockP67,"Moderate","High"))</f>
        <v>Moderate</v>
      </c>
      <c r="P2089" s="11" t="str">
        <f aca="false">IF(H2089=0,"Low",IF(H2089&lt;=MarkdownP75,"Moderate","High"))</f>
        <v>Low</v>
      </c>
      <c r="Q2089" s="11" t="str">
        <f aca="false">IF(ISBLANK(L2089),"Unknown",IF(L2089&gt;=4,"Good",IF(L2089&lt;=2,"Poor","Neutral")))</f>
        <v>Neutral</v>
      </c>
      <c r="R2089" s="11" t="str">
        <f aca="false">IF(AND(O2089="Low",P2089="Low",Q2089="Good"),"BUY / PRIORITIZE",IF(AND(O2089="High",P2089="High",OR(Q2089="Poor",M2089=TRUE())),"HOLD / REVIEW","MONITOR"))</f>
        <v>MONITOR</v>
      </c>
      <c r="S2089" s="11" t="n">
        <f aca="false">K2089+(ROW()/10000000)</f>
        <v>32.0002089</v>
      </c>
    </row>
    <row r="2090" customFormat="false" ht="15" hidden="false" customHeight="false" outlineLevel="0" collapsed="false">
      <c r="A2090" s="11" t="s">
        <v>2459</v>
      </c>
      <c r="B2090" s="11" t="s">
        <v>27</v>
      </c>
      <c r="C2090" s="11" t="s">
        <v>130</v>
      </c>
      <c r="D2090" s="11" t="s">
        <v>37</v>
      </c>
      <c r="E2090" s="11" t="s">
        <v>110</v>
      </c>
      <c r="F2090" s="11" t="s">
        <v>79</v>
      </c>
      <c r="G2090" s="21" t="n">
        <v>115.4</v>
      </c>
      <c r="H2090" s="19" t="n">
        <v>0</v>
      </c>
      <c r="I2090" s="21" t="n">
        <v>115.4</v>
      </c>
      <c r="J2090" s="22" t="s">
        <v>80</v>
      </c>
      <c r="K2090" s="11" t="n">
        <v>7</v>
      </c>
      <c r="L2090" s="23" t="n">
        <v>4.5</v>
      </c>
      <c r="M2090" s="24" t="b">
        <f aca="false">FALSE()</f>
        <v>0</v>
      </c>
      <c r="N2090" s="11"/>
      <c r="O2090" s="11" t="str">
        <f aca="false">IF(K2090&lt;=StockP33,"Low",IF(K2090&lt;=StockP67,"Moderate","High"))</f>
        <v>Low</v>
      </c>
      <c r="P2090" s="11" t="str">
        <f aca="false">IF(H2090=0,"Low",IF(H2090&lt;=MarkdownP75,"Moderate","High"))</f>
        <v>Low</v>
      </c>
      <c r="Q2090" s="11" t="str">
        <f aca="false">IF(ISBLANK(L2090),"Unknown",IF(L2090&gt;=4,"Good",IF(L2090&lt;=2,"Poor","Neutral")))</f>
        <v>Good</v>
      </c>
      <c r="R2090" s="11" t="str">
        <f aca="false">IF(AND(O2090="Low",P2090="Low",Q2090="Good"),"BUY / PRIORITIZE",IF(AND(O2090="High",P2090="High",OR(Q2090="Poor",M2090=TRUE())),"HOLD / REVIEW","MONITOR"))</f>
        <v>BUY / PRIORITIZE</v>
      </c>
      <c r="S2090" s="11" t="n">
        <f aca="false">K2090+(ROW()/10000000)</f>
        <v>7.000209</v>
      </c>
    </row>
    <row r="2091" customFormat="false" ht="15" hidden="false" customHeight="false" outlineLevel="0" collapsed="false">
      <c r="A2091" s="11" t="s">
        <v>2460</v>
      </c>
      <c r="B2091" s="11" t="s">
        <v>28</v>
      </c>
      <c r="C2091" s="11" t="s">
        <v>116</v>
      </c>
      <c r="D2091" s="11" t="s">
        <v>37</v>
      </c>
      <c r="E2091" s="11" t="s">
        <v>91</v>
      </c>
      <c r="F2091" s="11" t="s">
        <v>74</v>
      </c>
      <c r="G2091" s="21" t="n">
        <v>155.2</v>
      </c>
      <c r="H2091" s="19" t="n">
        <v>0</v>
      </c>
      <c r="I2091" s="21" t="n">
        <v>155.2</v>
      </c>
      <c r="J2091" s="22" t="s">
        <v>80</v>
      </c>
      <c r="K2091" s="11" t="n">
        <v>5</v>
      </c>
      <c r="L2091" s="23" t="n">
        <v>4.8</v>
      </c>
      <c r="M2091" s="24" t="b">
        <f aca="false">FALSE()</f>
        <v>0</v>
      </c>
      <c r="N2091" s="11"/>
      <c r="O2091" s="11" t="str">
        <f aca="false">IF(K2091&lt;=StockP33,"Low",IF(K2091&lt;=StockP67,"Moderate","High"))</f>
        <v>Low</v>
      </c>
      <c r="P2091" s="11" t="str">
        <f aca="false">IF(H2091=0,"Low",IF(H2091&lt;=MarkdownP75,"Moderate","High"))</f>
        <v>Low</v>
      </c>
      <c r="Q2091" s="11" t="str">
        <f aca="false">IF(ISBLANK(L2091),"Unknown",IF(L2091&gt;=4,"Good",IF(L2091&lt;=2,"Poor","Neutral")))</f>
        <v>Good</v>
      </c>
      <c r="R2091" s="11" t="str">
        <f aca="false">IF(AND(O2091="Low",P2091="Low",Q2091="Good"),"BUY / PRIORITIZE",IF(AND(O2091="High",P2091="High",OR(Q2091="Poor",M2091=TRUE())),"HOLD / REVIEW","MONITOR"))</f>
        <v>BUY / PRIORITIZE</v>
      </c>
      <c r="S2091" s="11" t="n">
        <f aca="false">K2091+(ROW()/10000000)</f>
        <v>5.0002091</v>
      </c>
    </row>
    <row r="2092" customFormat="false" ht="15" hidden="false" customHeight="false" outlineLevel="0" collapsed="false">
      <c r="A2092" s="11" t="s">
        <v>2461</v>
      </c>
      <c r="B2092" s="11" t="s">
        <v>26</v>
      </c>
      <c r="C2092" s="11" t="s">
        <v>130</v>
      </c>
      <c r="D2092" s="11" t="s">
        <v>36</v>
      </c>
      <c r="E2092" s="11" t="s">
        <v>78</v>
      </c>
      <c r="F2092" s="11" t="s">
        <v>92</v>
      </c>
      <c r="G2092" s="21" t="n">
        <v>104.83</v>
      </c>
      <c r="H2092" s="19" t="n">
        <v>0</v>
      </c>
      <c r="I2092" s="21" t="n">
        <v>104.83</v>
      </c>
      <c r="J2092" s="22" t="s">
        <v>80</v>
      </c>
      <c r="K2092" s="11" t="n">
        <v>26</v>
      </c>
      <c r="L2092" s="23" t="n">
        <v>4</v>
      </c>
      <c r="M2092" s="24" t="b">
        <f aca="false">FALSE()</f>
        <v>0</v>
      </c>
      <c r="N2092" s="11"/>
      <c r="O2092" s="11" t="str">
        <f aca="false">IF(K2092&lt;=StockP33,"Low",IF(K2092&lt;=StockP67,"Moderate","High"))</f>
        <v>Moderate</v>
      </c>
      <c r="P2092" s="11" t="str">
        <f aca="false">IF(H2092=0,"Low",IF(H2092&lt;=MarkdownP75,"Moderate","High"))</f>
        <v>Low</v>
      </c>
      <c r="Q2092" s="11" t="str">
        <f aca="false">IF(ISBLANK(L2092),"Unknown",IF(L2092&gt;=4,"Good",IF(L2092&lt;=2,"Poor","Neutral")))</f>
        <v>Good</v>
      </c>
      <c r="R2092" s="11" t="str">
        <f aca="false">IF(AND(O2092="Low",P2092="Low",Q2092="Good"),"BUY / PRIORITIZE",IF(AND(O2092="High",P2092="High",OR(Q2092="Poor",M2092=TRUE())),"HOLD / REVIEW","MONITOR"))</f>
        <v>MONITOR</v>
      </c>
      <c r="S2092" s="11" t="n">
        <f aca="false">K2092+(ROW()/10000000)</f>
        <v>26.0002092</v>
      </c>
    </row>
    <row r="2093" customFormat="false" ht="15" hidden="false" customHeight="false" outlineLevel="0" collapsed="false">
      <c r="A2093" s="11" t="s">
        <v>2462</v>
      </c>
      <c r="B2093" s="11" t="s">
        <v>8</v>
      </c>
      <c r="C2093" s="11" t="s">
        <v>116</v>
      </c>
      <c r="D2093" s="11" t="s">
        <v>35</v>
      </c>
      <c r="E2093" s="11"/>
      <c r="F2093" s="11" t="s">
        <v>92</v>
      </c>
      <c r="G2093" s="21" t="n">
        <v>41.62</v>
      </c>
      <c r="H2093" s="19" t="n">
        <v>0</v>
      </c>
      <c r="I2093" s="21" t="n">
        <v>41.62</v>
      </c>
      <c r="J2093" s="22" t="s">
        <v>80</v>
      </c>
      <c r="K2093" s="11" t="n">
        <v>33</v>
      </c>
      <c r="L2093" s="23"/>
      <c r="M2093" s="24" t="b">
        <f aca="false">FALSE()</f>
        <v>0</v>
      </c>
      <c r="N2093" s="11"/>
      <c r="O2093" s="11" t="str">
        <f aca="false">IF(K2093&lt;=StockP33,"Low",IF(K2093&lt;=StockP67,"Moderate","High"))</f>
        <v>Moderate</v>
      </c>
      <c r="P2093" s="11" t="str">
        <f aca="false">IF(H2093=0,"Low",IF(H2093&lt;=MarkdownP75,"Moderate","High"))</f>
        <v>Low</v>
      </c>
      <c r="Q2093" s="11" t="str">
        <f aca="false">IF(ISBLANK(L2093),"Unknown",IF(L2093&gt;=4,"Good",IF(L2093&lt;=2,"Poor","Neutral")))</f>
        <v>Unknown</v>
      </c>
      <c r="R2093" s="11" t="str">
        <f aca="false">IF(AND(O2093="Low",P2093="Low",Q2093="Good"),"BUY / PRIORITIZE",IF(AND(O2093="High",P2093="High",OR(Q2093="Poor",M2093=TRUE())),"HOLD / REVIEW","MONITOR"))</f>
        <v>MONITOR</v>
      </c>
      <c r="S2093" s="11" t="n">
        <f aca="false">K2093+(ROW()/10000000)</f>
        <v>33.0002093</v>
      </c>
    </row>
    <row r="2094" customFormat="false" ht="15" hidden="false" customHeight="false" outlineLevel="0" collapsed="false">
      <c r="A2094" s="11" t="s">
        <v>2463</v>
      </c>
      <c r="B2094" s="11" t="s">
        <v>26</v>
      </c>
      <c r="C2094" s="11" t="s">
        <v>107</v>
      </c>
      <c r="D2094" s="11" t="s">
        <v>34</v>
      </c>
      <c r="E2094" s="11" t="s">
        <v>113</v>
      </c>
      <c r="F2094" s="11" t="s">
        <v>111</v>
      </c>
      <c r="G2094" s="21" t="n">
        <v>94.92</v>
      </c>
      <c r="H2094" s="19" t="n">
        <v>0</v>
      </c>
      <c r="I2094" s="21" t="n">
        <v>94.92</v>
      </c>
      <c r="J2094" s="22" t="s">
        <v>2464</v>
      </c>
      <c r="K2094" s="11" t="n">
        <v>20</v>
      </c>
      <c r="L2094" s="23" t="n">
        <v>2.3</v>
      </c>
      <c r="M2094" s="24" t="b">
        <f aca="false">FALSE()</f>
        <v>0</v>
      </c>
      <c r="N2094" s="11"/>
      <c r="O2094" s="11" t="str">
        <f aca="false">IF(K2094&lt;=StockP33,"Low",IF(K2094&lt;=StockP67,"Moderate","High"))</f>
        <v>Moderate</v>
      </c>
      <c r="P2094" s="11" t="str">
        <f aca="false">IF(H2094=0,"Low",IF(H2094&lt;=MarkdownP75,"Moderate","High"))</f>
        <v>Low</v>
      </c>
      <c r="Q2094" s="11" t="str">
        <f aca="false">IF(ISBLANK(L2094),"Unknown",IF(L2094&gt;=4,"Good",IF(L2094&lt;=2,"Poor","Neutral")))</f>
        <v>Neutral</v>
      </c>
      <c r="R2094" s="11" t="str">
        <f aca="false">IF(AND(O2094="Low",P2094="Low",Q2094="Good"),"BUY / PRIORITIZE",IF(AND(O2094="High",P2094="High",OR(Q2094="Poor",M2094=TRUE())),"HOLD / REVIEW","MONITOR"))</f>
        <v>MONITOR</v>
      </c>
      <c r="S2094" s="11" t="n">
        <f aca="false">K2094+(ROW()/10000000)</f>
        <v>20.0002094</v>
      </c>
    </row>
    <row r="2095" customFormat="false" ht="15" hidden="false" customHeight="false" outlineLevel="0" collapsed="false">
      <c r="A2095" s="11" t="s">
        <v>2465</v>
      </c>
      <c r="B2095" s="11" t="s">
        <v>26</v>
      </c>
      <c r="C2095" s="11" t="s">
        <v>95</v>
      </c>
      <c r="D2095" s="11" t="s">
        <v>36</v>
      </c>
      <c r="E2095" s="11" t="s">
        <v>102</v>
      </c>
      <c r="F2095" s="11" t="s">
        <v>74</v>
      </c>
      <c r="G2095" s="21" t="n">
        <v>107.92</v>
      </c>
      <c r="H2095" s="19" t="n">
        <v>22.2</v>
      </c>
      <c r="I2095" s="21" t="n">
        <v>83.96</v>
      </c>
      <c r="J2095" s="22" t="s">
        <v>80</v>
      </c>
      <c r="K2095" s="11" t="n">
        <v>35</v>
      </c>
      <c r="L2095" s="23" t="n">
        <v>3.7</v>
      </c>
      <c r="M2095" s="24" t="b">
        <f aca="false">FALSE()</f>
        <v>0</v>
      </c>
      <c r="N2095" s="11"/>
      <c r="O2095" s="11" t="str">
        <f aca="false">IF(K2095&lt;=StockP33,"Low",IF(K2095&lt;=StockP67,"Moderate","High"))</f>
        <v>High</v>
      </c>
      <c r="P2095" s="11" t="str">
        <f aca="false">IF(H2095=0,"Low",IF(H2095&lt;=MarkdownP75,"Moderate","High"))</f>
        <v>Moderate</v>
      </c>
      <c r="Q2095" s="11" t="str">
        <f aca="false">IF(ISBLANK(L2095),"Unknown",IF(L2095&gt;=4,"Good",IF(L2095&lt;=2,"Poor","Neutral")))</f>
        <v>Neutral</v>
      </c>
      <c r="R2095" s="11" t="str">
        <f aca="false">IF(AND(O2095="Low",P2095="Low",Q2095="Good"),"BUY / PRIORITIZE",IF(AND(O2095="High",P2095="High",OR(Q2095="Poor",M2095=TRUE())),"HOLD / REVIEW","MONITOR"))</f>
        <v>MONITOR</v>
      </c>
      <c r="S2095" s="11" t="n">
        <f aca="false">K2095+(ROW()/10000000)</f>
        <v>35.0002095</v>
      </c>
    </row>
    <row r="2096" customFormat="false" ht="15" hidden="false" customHeight="false" outlineLevel="0" collapsed="false">
      <c r="A2096" s="11" t="s">
        <v>2466</v>
      </c>
      <c r="B2096" s="11" t="s">
        <v>8</v>
      </c>
      <c r="C2096" s="11" t="s">
        <v>130</v>
      </c>
      <c r="D2096" s="11" t="s">
        <v>35</v>
      </c>
      <c r="E2096" s="11"/>
      <c r="F2096" s="11" t="s">
        <v>98</v>
      </c>
      <c r="G2096" s="21" t="n">
        <v>45.52</v>
      </c>
      <c r="H2096" s="19" t="n">
        <v>0</v>
      </c>
      <c r="I2096" s="21" t="n">
        <v>45.52</v>
      </c>
      <c r="J2096" s="22" t="s">
        <v>80</v>
      </c>
      <c r="K2096" s="11" t="n">
        <v>41</v>
      </c>
      <c r="L2096" s="23" t="n">
        <v>1.6</v>
      </c>
      <c r="M2096" s="24" t="b">
        <f aca="false">FALSE()</f>
        <v>0</v>
      </c>
      <c r="N2096" s="11"/>
      <c r="O2096" s="11" t="str">
        <f aca="false">IF(K2096&lt;=StockP33,"Low",IF(K2096&lt;=StockP67,"Moderate","High"))</f>
        <v>High</v>
      </c>
      <c r="P2096" s="11" t="str">
        <f aca="false">IF(H2096=0,"Low",IF(H2096&lt;=MarkdownP75,"Moderate","High"))</f>
        <v>Low</v>
      </c>
      <c r="Q2096" s="11" t="str">
        <f aca="false">IF(ISBLANK(L2096),"Unknown",IF(L2096&gt;=4,"Good",IF(L2096&lt;=2,"Poor","Neutral")))</f>
        <v>Poor</v>
      </c>
      <c r="R2096" s="11" t="str">
        <f aca="false">IF(AND(O2096="Low",P2096="Low",Q2096="Good"),"BUY / PRIORITIZE",IF(AND(O2096="High",P2096="High",OR(Q2096="Poor",M2096=TRUE())),"HOLD / REVIEW","MONITOR"))</f>
        <v>MONITOR</v>
      </c>
      <c r="S2096" s="11" t="n">
        <f aca="false">K2096+(ROW()/10000000)</f>
        <v>41.0002096</v>
      </c>
    </row>
    <row r="2097" customFormat="false" ht="15" hidden="false" customHeight="false" outlineLevel="0" collapsed="false">
      <c r="A2097" s="11" t="s">
        <v>2467</v>
      </c>
      <c r="B2097" s="11" t="s">
        <v>26</v>
      </c>
      <c r="C2097" s="11" t="s">
        <v>116</v>
      </c>
      <c r="D2097" s="11" t="s">
        <v>37</v>
      </c>
      <c r="E2097" s="11" t="s">
        <v>113</v>
      </c>
      <c r="F2097" s="11" t="s">
        <v>98</v>
      </c>
      <c r="G2097" s="21" t="n">
        <v>112.1</v>
      </c>
      <c r="H2097" s="19" t="n">
        <v>30.7</v>
      </c>
      <c r="I2097" s="21" t="n">
        <v>77.69</v>
      </c>
      <c r="J2097" s="22" t="s">
        <v>80</v>
      </c>
      <c r="K2097" s="11" t="n">
        <v>10</v>
      </c>
      <c r="L2097" s="23" t="n">
        <v>1</v>
      </c>
      <c r="M2097" s="24" t="b">
        <f aca="false">FALSE()</f>
        <v>0</v>
      </c>
      <c r="N2097" s="11"/>
      <c r="O2097" s="11" t="str">
        <f aca="false">IF(K2097&lt;=StockP33,"Low",IF(K2097&lt;=StockP67,"Moderate","High"))</f>
        <v>Low</v>
      </c>
      <c r="P2097" s="11" t="str">
        <f aca="false">IF(H2097=0,"Low",IF(H2097&lt;=MarkdownP75,"Moderate","High"))</f>
        <v>High</v>
      </c>
      <c r="Q2097" s="11" t="str">
        <f aca="false">IF(ISBLANK(L2097),"Unknown",IF(L2097&gt;=4,"Good",IF(L2097&lt;=2,"Poor","Neutral")))</f>
        <v>Poor</v>
      </c>
      <c r="R2097" s="11" t="str">
        <f aca="false">IF(AND(O2097="Low",P2097="Low",Q2097="Good"),"BUY / PRIORITIZE",IF(AND(O2097="High",P2097="High",OR(Q2097="Poor",M2097=TRUE())),"HOLD / REVIEW","MONITOR"))</f>
        <v>MONITOR</v>
      </c>
      <c r="S2097" s="11" t="n">
        <f aca="false">K2097+(ROW()/10000000)</f>
        <v>10.0002097</v>
      </c>
    </row>
    <row r="2098" customFormat="false" ht="15" hidden="false" customHeight="false" outlineLevel="0" collapsed="false">
      <c r="A2098" s="11" t="s">
        <v>2468</v>
      </c>
      <c r="B2098" s="11" t="s">
        <v>29</v>
      </c>
      <c r="C2098" s="11" t="s">
        <v>77</v>
      </c>
      <c r="D2098" s="11" t="s">
        <v>34</v>
      </c>
      <c r="E2098" s="11" t="s">
        <v>78</v>
      </c>
      <c r="F2098" s="11" t="s">
        <v>120</v>
      </c>
      <c r="G2098" s="21" t="n">
        <v>103.9</v>
      </c>
      <c r="H2098" s="19" t="n">
        <v>0</v>
      </c>
      <c r="I2098" s="21" t="n">
        <v>103.9</v>
      </c>
      <c r="J2098" s="22" t="s">
        <v>742</v>
      </c>
      <c r="K2098" s="11" t="n">
        <v>27</v>
      </c>
      <c r="L2098" s="23" t="n">
        <v>2.1</v>
      </c>
      <c r="M2098" s="24" t="b">
        <f aca="false">FALSE()</f>
        <v>0</v>
      </c>
      <c r="N2098" s="11"/>
      <c r="O2098" s="11" t="str">
        <f aca="false">IF(K2098&lt;=StockP33,"Low",IF(K2098&lt;=StockP67,"Moderate","High"))</f>
        <v>Moderate</v>
      </c>
      <c r="P2098" s="11" t="str">
        <f aca="false">IF(H2098=0,"Low",IF(H2098&lt;=MarkdownP75,"Moderate","High"))</f>
        <v>Low</v>
      </c>
      <c r="Q2098" s="11" t="str">
        <f aca="false">IF(ISBLANK(L2098),"Unknown",IF(L2098&gt;=4,"Good",IF(L2098&lt;=2,"Poor","Neutral")))</f>
        <v>Neutral</v>
      </c>
      <c r="R2098" s="11" t="str">
        <f aca="false">IF(AND(O2098="Low",P2098="Low",Q2098="Good"),"BUY / PRIORITIZE",IF(AND(O2098="High",P2098="High",OR(Q2098="Poor",M2098=TRUE())),"HOLD / REVIEW","MONITOR"))</f>
        <v>MONITOR</v>
      </c>
      <c r="S2098" s="11" t="n">
        <f aca="false">K2098+(ROW()/10000000)</f>
        <v>27.0002098</v>
      </c>
    </row>
    <row r="2099" customFormat="false" ht="15" hidden="false" customHeight="false" outlineLevel="0" collapsed="false">
      <c r="A2099" s="11" t="s">
        <v>2469</v>
      </c>
      <c r="B2099" s="11" t="s">
        <v>28</v>
      </c>
      <c r="C2099" s="11" t="s">
        <v>86</v>
      </c>
      <c r="D2099" s="11" t="s">
        <v>37</v>
      </c>
      <c r="E2099" s="11" t="s">
        <v>78</v>
      </c>
      <c r="F2099" s="11" t="s">
        <v>79</v>
      </c>
      <c r="G2099" s="21" t="n">
        <v>168.02</v>
      </c>
      <c r="H2099" s="19" t="n">
        <v>0</v>
      </c>
      <c r="I2099" s="21" t="n">
        <v>168.02</v>
      </c>
      <c r="J2099" s="22" t="s">
        <v>80</v>
      </c>
      <c r="K2099" s="11" t="n">
        <v>30</v>
      </c>
      <c r="L2099" s="23" t="n">
        <v>1.6</v>
      </c>
      <c r="M2099" s="24" t="b">
        <f aca="false">TRUE()</f>
        <v>1</v>
      </c>
      <c r="N2099" s="11" t="s">
        <v>128</v>
      </c>
      <c r="O2099" s="11" t="str">
        <f aca="false">IF(K2099&lt;=StockP33,"Low",IF(K2099&lt;=StockP67,"Moderate","High"))</f>
        <v>Moderate</v>
      </c>
      <c r="P2099" s="11" t="str">
        <f aca="false">IF(H2099=0,"Low",IF(H2099&lt;=MarkdownP75,"Moderate","High"))</f>
        <v>Low</v>
      </c>
      <c r="Q2099" s="11" t="str">
        <f aca="false">IF(ISBLANK(L2099),"Unknown",IF(L2099&gt;=4,"Good",IF(L2099&lt;=2,"Poor","Neutral")))</f>
        <v>Poor</v>
      </c>
      <c r="R2099" s="11" t="str">
        <f aca="false">IF(AND(O2099="Low",P2099="Low",Q2099="Good"),"BUY / PRIORITIZE",IF(AND(O2099="High",P2099="High",OR(Q2099="Poor",M2099=TRUE())),"HOLD / REVIEW","MONITOR"))</f>
        <v>MONITOR</v>
      </c>
      <c r="S2099" s="11" t="n">
        <f aca="false">K2099+(ROW()/10000000)</f>
        <v>30.0002099</v>
      </c>
    </row>
    <row r="2100" customFormat="false" ht="15" hidden="false" customHeight="false" outlineLevel="0" collapsed="false">
      <c r="A2100" s="11" t="s">
        <v>2470</v>
      </c>
      <c r="B2100" s="11" t="s">
        <v>29</v>
      </c>
      <c r="C2100" s="11" t="s">
        <v>95</v>
      </c>
      <c r="D2100" s="11" t="s">
        <v>36</v>
      </c>
      <c r="E2100" s="11" t="s">
        <v>113</v>
      </c>
      <c r="F2100" s="11" t="s">
        <v>124</v>
      </c>
      <c r="G2100" s="21" t="n">
        <v>80.41</v>
      </c>
      <c r="H2100" s="19" t="n">
        <v>0</v>
      </c>
      <c r="I2100" s="21" t="n">
        <v>80.41</v>
      </c>
      <c r="J2100" s="22" t="s">
        <v>80</v>
      </c>
      <c r="K2100" s="11" t="n">
        <v>46</v>
      </c>
      <c r="L2100" s="23" t="n">
        <v>2.8</v>
      </c>
      <c r="M2100" s="24" t="b">
        <f aca="false">FALSE()</f>
        <v>0</v>
      </c>
      <c r="N2100" s="11"/>
      <c r="O2100" s="11" t="str">
        <f aca="false">IF(K2100&lt;=StockP33,"Low",IF(K2100&lt;=StockP67,"Moderate","High"))</f>
        <v>High</v>
      </c>
      <c r="P2100" s="11" t="str">
        <f aca="false">IF(H2100=0,"Low",IF(H2100&lt;=MarkdownP75,"Moderate","High"))</f>
        <v>Low</v>
      </c>
      <c r="Q2100" s="11" t="str">
        <f aca="false">IF(ISBLANK(L2100),"Unknown",IF(L2100&gt;=4,"Good",IF(L2100&lt;=2,"Poor","Neutral")))</f>
        <v>Neutral</v>
      </c>
      <c r="R2100" s="11" t="str">
        <f aca="false">IF(AND(O2100="Low",P2100="Low",Q2100="Good"),"BUY / PRIORITIZE",IF(AND(O2100="High",P2100="High",OR(Q2100="Poor",M2100=TRUE())),"HOLD / REVIEW","MONITOR"))</f>
        <v>MONITOR</v>
      </c>
      <c r="S2100" s="11" t="n">
        <f aca="false">K2100+(ROW()/10000000)</f>
        <v>46.00021</v>
      </c>
    </row>
    <row r="2101" customFormat="false" ht="15" hidden="false" customHeight="false" outlineLevel="0" collapsed="false">
      <c r="A2101" s="11" t="s">
        <v>2471</v>
      </c>
      <c r="B2101" s="11" t="s">
        <v>26</v>
      </c>
      <c r="C2101" s="11" t="s">
        <v>130</v>
      </c>
      <c r="D2101" s="11" t="s">
        <v>34</v>
      </c>
      <c r="E2101" s="11" t="s">
        <v>73</v>
      </c>
      <c r="F2101" s="11" t="s">
        <v>98</v>
      </c>
      <c r="G2101" s="21" t="n">
        <v>102.76</v>
      </c>
      <c r="H2101" s="19" t="n">
        <v>0</v>
      </c>
      <c r="I2101" s="21" t="n">
        <v>102.76</v>
      </c>
      <c r="J2101" s="22" t="s">
        <v>268</v>
      </c>
      <c r="K2101" s="11" t="n">
        <v>35</v>
      </c>
      <c r="L2101" s="23" t="n">
        <v>2.2</v>
      </c>
      <c r="M2101" s="24" t="b">
        <f aca="false">FALSE()</f>
        <v>0</v>
      </c>
      <c r="N2101" s="11"/>
      <c r="O2101" s="11" t="str">
        <f aca="false">IF(K2101&lt;=StockP33,"Low",IF(K2101&lt;=StockP67,"Moderate","High"))</f>
        <v>High</v>
      </c>
      <c r="P2101" s="11" t="str">
        <f aca="false">IF(H2101=0,"Low",IF(H2101&lt;=MarkdownP75,"Moderate","High"))</f>
        <v>Low</v>
      </c>
      <c r="Q2101" s="11" t="str">
        <f aca="false">IF(ISBLANK(L2101),"Unknown",IF(L2101&gt;=4,"Good",IF(L2101&lt;=2,"Poor","Neutral")))</f>
        <v>Neutral</v>
      </c>
      <c r="R2101" s="11" t="str">
        <f aca="false">IF(AND(O2101="Low",P2101="Low",Q2101="Good"),"BUY / PRIORITIZE",IF(AND(O2101="High",P2101="High",OR(Q2101="Poor",M2101=TRUE())),"HOLD / REVIEW","MONITOR"))</f>
        <v>MONITOR</v>
      </c>
      <c r="S2101" s="11" t="n">
        <f aca="false">K2101+(ROW()/10000000)</f>
        <v>35.0002101</v>
      </c>
    </row>
    <row r="2102" customFormat="false" ht="15" hidden="false" customHeight="false" outlineLevel="0" collapsed="false">
      <c r="A2102" s="11" t="s">
        <v>2472</v>
      </c>
      <c r="B2102" s="11" t="s">
        <v>30</v>
      </c>
      <c r="C2102" s="11" t="s">
        <v>130</v>
      </c>
      <c r="D2102" s="11" t="s">
        <v>36</v>
      </c>
      <c r="E2102" s="11" t="s">
        <v>102</v>
      </c>
      <c r="F2102" s="11" t="s">
        <v>82</v>
      </c>
      <c r="G2102" s="21" t="n">
        <v>81.2</v>
      </c>
      <c r="H2102" s="19" t="n">
        <v>0</v>
      </c>
      <c r="I2102" s="21" t="n">
        <v>81.2</v>
      </c>
      <c r="J2102" s="22" t="s">
        <v>80</v>
      </c>
      <c r="K2102" s="11" t="n">
        <v>27</v>
      </c>
      <c r="L2102" s="23" t="n">
        <v>1.7</v>
      </c>
      <c r="M2102" s="24" t="b">
        <f aca="false">FALSE()</f>
        <v>0</v>
      </c>
      <c r="N2102" s="11"/>
      <c r="O2102" s="11" t="str">
        <f aca="false">IF(K2102&lt;=StockP33,"Low",IF(K2102&lt;=StockP67,"Moderate","High"))</f>
        <v>Moderate</v>
      </c>
      <c r="P2102" s="11" t="str">
        <f aca="false">IF(H2102=0,"Low",IF(H2102&lt;=MarkdownP75,"Moderate","High"))</f>
        <v>Low</v>
      </c>
      <c r="Q2102" s="11" t="str">
        <f aca="false">IF(ISBLANK(L2102),"Unknown",IF(L2102&gt;=4,"Good",IF(L2102&lt;=2,"Poor","Neutral")))</f>
        <v>Poor</v>
      </c>
      <c r="R2102" s="11" t="str">
        <f aca="false">IF(AND(O2102="Low",P2102="Low",Q2102="Good"),"BUY / PRIORITIZE",IF(AND(O2102="High",P2102="High",OR(Q2102="Poor",M2102=TRUE())),"HOLD / REVIEW","MONITOR"))</f>
        <v>MONITOR</v>
      </c>
      <c r="S2102" s="11" t="n">
        <f aca="false">K2102+(ROW()/10000000)</f>
        <v>27.0002102</v>
      </c>
    </row>
    <row r="2103" customFormat="false" ht="15" hidden="false" customHeight="false" outlineLevel="0" collapsed="false">
      <c r="A2103" s="11" t="s">
        <v>2473</v>
      </c>
      <c r="B2103" s="11" t="s">
        <v>8</v>
      </c>
      <c r="C2103" s="11" t="s">
        <v>77</v>
      </c>
      <c r="D2103" s="11" t="s">
        <v>36</v>
      </c>
      <c r="E2103" s="11"/>
      <c r="F2103" s="11" t="s">
        <v>92</v>
      </c>
      <c r="G2103" s="21" t="n">
        <v>68.95</v>
      </c>
      <c r="H2103" s="19" t="n">
        <v>0</v>
      </c>
      <c r="I2103" s="21" t="n">
        <v>68.95</v>
      </c>
      <c r="J2103" s="22" t="s">
        <v>80</v>
      </c>
      <c r="K2103" s="11" t="n">
        <v>47</v>
      </c>
      <c r="L2103" s="23" t="n">
        <v>3.6</v>
      </c>
      <c r="M2103" s="24" t="b">
        <f aca="false">FALSE()</f>
        <v>0</v>
      </c>
      <c r="N2103" s="11"/>
      <c r="O2103" s="11" t="str">
        <f aca="false">IF(K2103&lt;=StockP33,"Low",IF(K2103&lt;=StockP67,"Moderate","High"))</f>
        <v>High</v>
      </c>
      <c r="P2103" s="11" t="str">
        <f aca="false">IF(H2103=0,"Low",IF(H2103&lt;=MarkdownP75,"Moderate","High"))</f>
        <v>Low</v>
      </c>
      <c r="Q2103" s="11" t="str">
        <f aca="false">IF(ISBLANK(L2103),"Unknown",IF(L2103&gt;=4,"Good",IF(L2103&lt;=2,"Poor","Neutral")))</f>
        <v>Neutral</v>
      </c>
      <c r="R2103" s="11" t="str">
        <f aca="false">IF(AND(O2103="Low",P2103="Low",Q2103="Good"),"BUY / PRIORITIZE",IF(AND(O2103="High",P2103="High",OR(Q2103="Poor",M2103=TRUE())),"HOLD / REVIEW","MONITOR"))</f>
        <v>MONITOR</v>
      </c>
      <c r="S2103" s="11" t="n">
        <f aca="false">K2103+(ROW()/10000000)</f>
        <v>47.0002103</v>
      </c>
    </row>
    <row r="2104" customFormat="false" ht="15" hidden="false" customHeight="false" outlineLevel="0" collapsed="false">
      <c r="A2104" s="11" t="s">
        <v>2474</v>
      </c>
      <c r="B2104" s="11" t="s">
        <v>26</v>
      </c>
      <c r="C2104" s="11" t="s">
        <v>72</v>
      </c>
      <c r="D2104" s="11" t="s">
        <v>35</v>
      </c>
      <c r="E2104" s="11" t="s">
        <v>110</v>
      </c>
      <c r="F2104" s="11" t="s">
        <v>120</v>
      </c>
      <c r="G2104" s="21" t="n">
        <v>43.04</v>
      </c>
      <c r="H2104" s="19" t="n">
        <v>0</v>
      </c>
      <c r="I2104" s="21" t="n">
        <v>43.04</v>
      </c>
      <c r="J2104" s="22" t="s">
        <v>80</v>
      </c>
      <c r="K2104" s="11" t="n">
        <v>26</v>
      </c>
      <c r="L2104" s="23" t="n">
        <v>4.8</v>
      </c>
      <c r="M2104" s="24" t="b">
        <f aca="false">TRUE()</f>
        <v>1</v>
      </c>
      <c r="N2104" s="11" t="s">
        <v>191</v>
      </c>
      <c r="O2104" s="11" t="str">
        <f aca="false">IF(K2104&lt;=StockP33,"Low",IF(K2104&lt;=StockP67,"Moderate","High"))</f>
        <v>Moderate</v>
      </c>
      <c r="P2104" s="11" t="str">
        <f aca="false">IF(H2104=0,"Low",IF(H2104&lt;=MarkdownP75,"Moderate","High"))</f>
        <v>Low</v>
      </c>
      <c r="Q2104" s="11" t="str">
        <f aca="false">IF(ISBLANK(L2104),"Unknown",IF(L2104&gt;=4,"Good",IF(L2104&lt;=2,"Poor","Neutral")))</f>
        <v>Good</v>
      </c>
      <c r="R2104" s="11" t="str">
        <f aca="false">IF(AND(O2104="Low",P2104="Low",Q2104="Good"),"BUY / PRIORITIZE",IF(AND(O2104="High",P2104="High",OR(Q2104="Poor",M2104=TRUE())),"HOLD / REVIEW","MONITOR"))</f>
        <v>MONITOR</v>
      </c>
      <c r="S2104" s="11" t="n">
        <f aca="false">K2104+(ROW()/10000000)</f>
        <v>26.0002104</v>
      </c>
    </row>
    <row r="2105" customFormat="false" ht="15" hidden="false" customHeight="false" outlineLevel="0" collapsed="false">
      <c r="A2105" s="11" t="s">
        <v>2475</v>
      </c>
      <c r="B2105" s="11" t="s">
        <v>30</v>
      </c>
      <c r="C2105" s="11" t="s">
        <v>72</v>
      </c>
      <c r="D2105" s="11" t="s">
        <v>34</v>
      </c>
      <c r="E2105" s="11" t="s">
        <v>110</v>
      </c>
      <c r="F2105" s="11" t="s">
        <v>111</v>
      </c>
      <c r="G2105" s="21" t="n">
        <v>81.82</v>
      </c>
      <c r="H2105" s="19" t="n">
        <v>0</v>
      </c>
      <c r="I2105" s="21" t="n">
        <v>81.82</v>
      </c>
      <c r="J2105" s="22" t="s">
        <v>517</v>
      </c>
      <c r="K2105" s="11" t="n">
        <v>1</v>
      </c>
      <c r="L2105" s="23" t="n">
        <v>3.5</v>
      </c>
      <c r="M2105" s="24" t="b">
        <f aca="false">FALSE()</f>
        <v>0</v>
      </c>
      <c r="N2105" s="11"/>
      <c r="O2105" s="11" t="str">
        <f aca="false">IF(K2105&lt;=StockP33,"Low",IF(K2105&lt;=StockP67,"Moderate","High"))</f>
        <v>Low</v>
      </c>
      <c r="P2105" s="11" t="str">
        <f aca="false">IF(H2105=0,"Low",IF(H2105&lt;=MarkdownP75,"Moderate","High"))</f>
        <v>Low</v>
      </c>
      <c r="Q2105" s="11" t="str">
        <f aca="false">IF(ISBLANK(L2105),"Unknown",IF(L2105&gt;=4,"Good",IF(L2105&lt;=2,"Poor","Neutral")))</f>
        <v>Neutral</v>
      </c>
      <c r="R2105" s="11" t="str">
        <f aca="false">IF(AND(O2105="Low",P2105="Low",Q2105="Good"),"BUY / PRIORITIZE",IF(AND(O2105="High",P2105="High",OR(Q2105="Poor",M2105=TRUE())),"HOLD / REVIEW","MONITOR"))</f>
        <v>MONITOR</v>
      </c>
      <c r="S2105" s="11" t="n">
        <f aca="false">K2105+(ROW()/10000000)</f>
        <v>1.0002105</v>
      </c>
    </row>
    <row r="2106" customFormat="false" ht="15" hidden="false" customHeight="false" outlineLevel="0" collapsed="false">
      <c r="A2106" s="11" t="s">
        <v>2476</v>
      </c>
      <c r="B2106" s="11" t="s">
        <v>8</v>
      </c>
      <c r="C2106" s="11" t="s">
        <v>95</v>
      </c>
      <c r="D2106" s="11" t="s">
        <v>35</v>
      </c>
      <c r="E2106" s="11"/>
      <c r="F2106" s="11" t="s">
        <v>96</v>
      </c>
      <c r="G2106" s="21" t="n">
        <v>53.7</v>
      </c>
      <c r="H2106" s="19" t="n">
        <v>0</v>
      </c>
      <c r="I2106" s="21" t="n">
        <v>53.7</v>
      </c>
      <c r="J2106" s="22" t="s">
        <v>80</v>
      </c>
      <c r="K2106" s="11" t="n">
        <v>16</v>
      </c>
      <c r="L2106" s="23" t="n">
        <v>1.4</v>
      </c>
      <c r="M2106" s="24" t="b">
        <f aca="false">TRUE()</f>
        <v>1</v>
      </c>
      <c r="N2106" s="11" t="s">
        <v>134</v>
      </c>
      <c r="O2106" s="11" t="str">
        <f aca="false">IF(K2106&lt;=StockP33,"Low",IF(K2106&lt;=StockP67,"Moderate","High"))</f>
        <v>Low</v>
      </c>
      <c r="P2106" s="11" t="str">
        <f aca="false">IF(H2106=0,"Low",IF(H2106&lt;=MarkdownP75,"Moderate","High"))</f>
        <v>Low</v>
      </c>
      <c r="Q2106" s="11" t="str">
        <f aca="false">IF(ISBLANK(L2106),"Unknown",IF(L2106&gt;=4,"Good",IF(L2106&lt;=2,"Poor","Neutral")))</f>
        <v>Poor</v>
      </c>
      <c r="R2106" s="11" t="str">
        <f aca="false">IF(AND(O2106="Low",P2106="Low",Q2106="Good"),"BUY / PRIORITIZE",IF(AND(O2106="High",P2106="High",OR(Q2106="Poor",M2106=TRUE())),"HOLD / REVIEW","MONITOR"))</f>
        <v>MONITOR</v>
      </c>
      <c r="S2106" s="11" t="n">
        <f aca="false">K2106+(ROW()/10000000)</f>
        <v>16.0002106</v>
      </c>
    </row>
    <row r="2107" customFormat="false" ht="15" hidden="false" customHeight="false" outlineLevel="0" collapsed="false">
      <c r="A2107" s="11" t="s">
        <v>2477</v>
      </c>
      <c r="B2107" s="11" t="s">
        <v>30</v>
      </c>
      <c r="C2107" s="11" t="s">
        <v>95</v>
      </c>
      <c r="D2107" s="11" t="s">
        <v>35</v>
      </c>
      <c r="E2107" s="11" t="s">
        <v>78</v>
      </c>
      <c r="F2107" s="11" t="s">
        <v>74</v>
      </c>
      <c r="G2107" s="21" t="n">
        <v>100.11</v>
      </c>
      <c r="H2107" s="19" t="n">
        <v>0</v>
      </c>
      <c r="I2107" s="21" t="n">
        <v>100.11</v>
      </c>
      <c r="J2107" s="22" t="s">
        <v>80</v>
      </c>
      <c r="K2107" s="11" t="n">
        <v>41</v>
      </c>
      <c r="L2107" s="23" t="n">
        <v>4.7</v>
      </c>
      <c r="M2107" s="24" t="b">
        <f aca="false">FALSE()</f>
        <v>0</v>
      </c>
      <c r="N2107" s="11"/>
      <c r="O2107" s="11" t="str">
        <f aca="false">IF(K2107&lt;=StockP33,"Low",IF(K2107&lt;=StockP67,"Moderate","High"))</f>
        <v>High</v>
      </c>
      <c r="P2107" s="11" t="str">
        <f aca="false">IF(H2107=0,"Low",IF(H2107&lt;=MarkdownP75,"Moderate","High"))</f>
        <v>Low</v>
      </c>
      <c r="Q2107" s="11" t="str">
        <f aca="false">IF(ISBLANK(L2107),"Unknown",IF(L2107&gt;=4,"Good",IF(L2107&lt;=2,"Poor","Neutral")))</f>
        <v>Good</v>
      </c>
      <c r="R2107" s="11" t="str">
        <f aca="false">IF(AND(O2107="Low",P2107="Low",Q2107="Good"),"BUY / PRIORITIZE",IF(AND(O2107="High",P2107="High",OR(Q2107="Poor",M2107=TRUE())),"HOLD / REVIEW","MONITOR"))</f>
        <v>MONITOR</v>
      </c>
      <c r="S2107" s="11" t="n">
        <f aca="false">K2107+(ROW()/10000000)</f>
        <v>41.0002107</v>
      </c>
    </row>
    <row r="2108" customFormat="false" ht="15" hidden="false" customHeight="false" outlineLevel="0" collapsed="false">
      <c r="A2108" s="11" t="s">
        <v>2478</v>
      </c>
      <c r="B2108" s="11" t="s">
        <v>8</v>
      </c>
      <c r="C2108" s="11" t="s">
        <v>107</v>
      </c>
      <c r="D2108" s="11" t="s">
        <v>37</v>
      </c>
      <c r="E2108" s="11"/>
      <c r="F2108" s="11" t="s">
        <v>92</v>
      </c>
      <c r="G2108" s="21" t="n">
        <v>24.08</v>
      </c>
      <c r="H2108" s="19" t="n">
        <v>38.5</v>
      </c>
      <c r="I2108" s="21" t="n">
        <v>14.81</v>
      </c>
      <c r="J2108" s="22" t="s">
        <v>80</v>
      </c>
      <c r="K2108" s="11" t="n">
        <v>43</v>
      </c>
      <c r="L2108" s="23" t="n">
        <v>4.1</v>
      </c>
      <c r="M2108" s="24" t="b">
        <f aca="false">FALSE()</f>
        <v>0</v>
      </c>
      <c r="N2108" s="11"/>
      <c r="O2108" s="11" t="str">
        <f aca="false">IF(K2108&lt;=StockP33,"Low",IF(K2108&lt;=StockP67,"Moderate","High"))</f>
        <v>High</v>
      </c>
      <c r="P2108" s="11" t="str">
        <f aca="false">IF(H2108=0,"Low",IF(H2108&lt;=MarkdownP75,"Moderate","High"))</f>
        <v>High</v>
      </c>
      <c r="Q2108" s="11" t="str">
        <f aca="false">IF(ISBLANK(L2108),"Unknown",IF(L2108&gt;=4,"Good",IF(L2108&lt;=2,"Poor","Neutral")))</f>
        <v>Good</v>
      </c>
      <c r="R2108" s="11" t="str">
        <f aca="false">IF(AND(O2108="Low",P2108="Low",Q2108="Good"),"BUY / PRIORITIZE",IF(AND(O2108="High",P2108="High",OR(Q2108="Poor",M2108=TRUE())),"HOLD / REVIEW","MONITOR"))</f>
        <v>MONITOR</v>
      </c>
      <c r="S2108" s="11" t="n">
        <f aca="false">K2108+(ROW()/10000000)</f>
        <v>43.0002108</v>
      </c>
    </row>
    <row r="2109" customFormat="false" ht="15" hidden="false" customHeight="false" outlineLevel="0" collapsed="false">
      <c r="A2109" s="11" t="s">
        <v>2479</v>
      </c>
      <c r="B2109" s="11" t="s">
        <v>8</v>
      </c>
      <c r="C2109" s="11" t="s">
        <v>107</v>
      </c>
      <c r="D2109" s="11" t="s">
        <v>34</v>
      </c>
      <c r="E2109" s="11"/>
      <c r="F2109" s="11" t="s">
        <v>74</v>
      </c>
      <c r="G2109" s="21" t="n">
        <v>74.77</v>
      </c>
      <c r="H2109" s="19" t="n">
        <v>0</v>
      </c>
      <c r="I2109" s="21" t="n">
        <v>74.77</v>
      </c>
      <c r="J2109" s="22" t="s">
        <v>766</v>
      </c>
      <c r="K2109" s="11" t="n">
        <v>26</v>
      </c>
      <c r="L2109" s="23" t="n">
        <v>2.9</v>
      </c>
      <c r="M2109" s="24" t="b">
        <f aca="false">FALSE()</f>
        <v>0</v>
      </c>
      <c r="N2109" s="11"/>
      <c r="O2109" s="11" t="str">
        <f aca="false">IF(K2109&lt;=StockP33,"Low",IF(K2109&lt;=StockP67,"Moderate","High"))</f>
        <v>Moderate</v>
      </c>
      <c r="P2109" s="11" t="str">
        <f aca="false">IF(H2109=0,"Low",IF(H2109&lt;=MarkdownP75,"Moderate","High"))</f>
        <v>Low</v>
      </c>
      <c r="Q2109" s="11" t="str">
        <f aca="false">IF(ISBLANK(L2109),"Unknown",IF(L2109&gt;=4,"Good",IF(L2109&lt;=2,"Poor","Neutral")))</f>
        <v>Neutral</v>
      </c>
      <c r="R2109" s="11" t="str">
        <f aca="false">IF(AND(O2109="Low",P2109="Low",Q2109="Good"),"BUY / PRIORITIZE",IF(AND(O2109="High",P2109="High",OR(Q2109="Poor",M2109=TRUE())),"HOLD / REVIEW","MONITOR"))</f>
        <v>MONITOR</v>
      </c>
      <c r="S2109" s="11" t="n">
        <f aca="false">K2109+(ROW()/10000000)</f>
        <v>26.0002109</v>
      </c>
    </row>
    <row r="2110" customFormat="false" ht="15" hidden="false" customHeight="false" outlineLevel="0" collapsed="false">
      <c r="A2110" s="11" t="s">
        <v>2480</v>
      </c>
      <c r="B2110" s="11" t="s">
        <v>27</v>
      </c>
      <c r="C2110" s="11" t="s">
        <v>101</v>
      </c>
      <c r="D2110" s="11" t="s">
        <v>34</v>
      </c>
      <c r="E2110" s="11" t="s">
        <v>73</v>
      </c>
      <c r="F2110" s="11" t="s">
        <v>118</v>
      </c>
      <c r="G2110" s="21" t="n">
        <v>105.98</v>
      </c>
      <c r="H2110" s="19" t="n">
        <v>0</v>
      </c>
      <c r="I2110" s="21" t="n">
        <v>105.98</v>
      </c>
      <c r="J2110" s="22" t="s">
        <v>1193</v>
      </c>
      <c r="K2110" s="11" t="n">
        <v>32</v>
      </c>
      <c r="L2110" s="23" t="n">
        <v>2.5</v>
      </c>
      <c r="M2110" s="24" t="b">
        <f aca="false">TRUE()</f>
        <v>1</v>
      </c>
      <c r="N2110" s="11" t="s">
        <v>128</v>
      </c>
      <c r="O2110" s="11" t="str">
        <f aca="false">IF(K2110&lt;=StockP33,"Low",IF(K2110&lt;=StockP67,"Moderate","High"))</f>
        <v>Moderate</v>
      </c>
      <c r="P2110" s="11" t="str">
        <f aca="false">IF(H2110=0,"Low",IF(H2110&lt;=MarkdownP75,"Moderate","High"))</f>
        <v>Low</v>
      </c>
      <c r="Q2110" s="11" t="str">
        <f aca="false">IF(ISBLANK(L2110),"Unknown",IF(L2110&gt;=4,"Good",IF(L2110&lt;=2,"Poor","Neutral")))</f>
        <v>Neutral</v>
      </c>
      <c r="R2110" s="11" t="str">
        <f aca="false">IF(AND(O2110="Low",P2110="Low",Q2110="Good"),"BUY / PRIORITIZE",IF(AND(O2110="High",P2110="High",OR(Q2110="Poor",M2110=TRUE())),"HOLD / REVIEW","MONITOR"))</f>
        <v>MONITOR</v>
      </c>
      <c r="S2110" s="11" t="n">
        <f aca="false">K2110+(ROW()/10000000)</f>
        <v>32.000211</v>
      </c>
    </row>
    <row r="2111" customFormat="false" ht="15" hidden="false" customHeight="false" outlineLevel="0" collapsed="false">
      <c r="A2111" s="11" t="s">
        <v>2481</v>
      </c>
      <c r="B2111" s="11" t="s">
        <v>29</v>
      </c>
      <c r="C2111" s="11" t="s">
        <v>72</v>
      </c>
      <c r="D2111" s="11" t="s">
        <v>35</v>
      </c>
      <c r="E2111" s="11" t="s">
        <v>78</v>
      </c>
      <c r="F2111" s="11" t="s">
        <v>88</v>
      </c>
      <c r="G2111" s="21" t="n">
        <v>81.65</v>
      </c>
      <c r="H2111" s="19" t="n">
        <v>7.7</v>
      </c>
      <c r="I2111" s="21" t="n">
        <v>75.36</v>
      </c>
      <c r="J2111" s="22" t="s">
        <v>80</v>
      </c>
      <c r="K2111" s="11" t="n">
        <v>23</v>
      </c>
      <c r="L2111" s="23" t="n">
        <v>2.6</v>
      </c>
      <c r="M2111" s="24" t="b">
        <f aca="false">FALSE()</f>
        <v>0</v>
      </c>
      <c r="N2111" s="11"/>
      <c r="O2111" s="11" t="str">
        <f aca="false">IF(K2111&lt;=StockP33,"Low",IF(K2111&lt;=StockP67,"Moderate","High"))</f>
        <v>Moderate</v>
      </c>
      <c r="P2111" s="11" t="str">
        <f aca="false">IF(H2111=0,"Low",IF(H2111&lt;=MarkdownP75,"Moderate","High"))</f>
        <v>Moderate</v>
      </c>
      <c r="Q2111" s="11" t="str">
        <f aca="false">IF(ISBLANK(L2111),"Unknown",IF(L2111&gt;=4,"Good",IF(L2111&lt;=2,"Poor","Neutral")))</f>
        <v>Neutral</v>
      </c>
      <c r="R2111" s="11" t="str">
        <f aca="false">IF(AND(O2111="Low",P2111="Low",Q2111="Good"),"BUY / PRIORITIZE",IF(AND(O2111="High",P2111="High",OR(Q2111="Poor",M2111=TRUE())),"HOLD / REVIEW","MONITOR"))</f>
        <v>MONITOR</v>
      </c>
      <c r="S2111" s="11" t="n">
        <f aca="false">K2111+(ROW()/10000000)</f>
        <v>23.0002111</v>
      </c>
    </row>
    <row r="2112" customFormat="false" ht="15" hidden="false" customHeight="false" outlineLevel="0" collapsed="false">
      <c r="A2112" s="11" t="s">
        <v>2482</v>
      </c>
      <c r="B2112" s="11" t="s">
        <v>29</v>
      </c>
      <c r="C2112" s="11" t="s">
        <v>130</v>
      </c>
      <c r="D2112" s="11" t="s">
        <v>36</v>
      </c>
      <c r="E2112" s="11" t="s">
        <v>91</v>
      </c>
      <c r="F2112" s="11" t="s">
        <v>82</v>
      </c>
      <c r="G2112" s="21" t="n">
        <v>92.66</v>
      </c>
      <c r="H2112" s="19" t="n">
        <v>8.3</v>
      </c>
      <c r="I2112" s="21" t="n">
        <v>84.97</v>
      </c>
      <c r="J2112" s="22" t="s">
        <v>80</v>
      </c>
      <c r="K2112" s="11" t="n">
        <v>5</v>
      </c>
      <c r="L2112" s="23" t="n">
        <v>3.3</v>
      </c>
      <c r="M2112" s="24" t="b">
        <f aca="false">FALSE()</f>
        <v>0</v>
      </c>
      <c r="N2112" s="11"/>
      <c r="O2112" s="11" t="str">
        <f aca="false">IF(K2112&lt;=StockP33,"Low",IF(K2112&lt;=StockP67,"Moderate","High"))</f>
        <v>Low</v>
      </c>
      <c r="P2112" s="11" t="str">
        <f aca="false">IF(H2112=0,"Low",IF(H2112&lt;=MarkdownP75,"Moderate","High"))</f>
        <v>Moderate</v>
      </c>
      <c r="Q2112" s="11" t="str">
        <f aca="false">IF(ISBLANK(L2112),"Unknown",IF(L2112&gt;=4,"Good",IF(L2112&lt;=2,"Poor","Neutral")))</f>
        <v>Neutral</v>
      </c>
      <c r="R2112" s="11" t="str">
        <f aca="false">IF(AND(O2112="Low",P2112="Low",Q2112="Good"),"BUY / PRIORITIZE",IF(AND(O2112="High",P2112="High",OR(Q2112="Poor",M2112=TRUE())),"HOLD / REVIEW","MONITOR"))</f>
        <v>MONITOR</v>
      </c>
      <c r="S2112" s="11" t="n">
        <f aca="false">K2112+(ROW()/10000000)</f>
        <v>5.0002112</v>
      </c>
    </row>
    <row r="2113" customFormat="false" ht="15" hidden="false" customHeight="false" outlineLevel="0" collapsed="false">
      <c r="A2113" s="11" t="s">
        <v>2483</v>
      </c>
      <c r="B2113" s="11" t="s">
        <v>8</v>
      </c>
      <c r="C2113" s="11" t="s">
        <v>95</v>
      </c>
      <c r="D2113" s="11" t="s">
        <v>35</v>
      </c>
      <c r="E2113" s="11"/>
      <c r="F2113" s="11" t="s">
        <v>124</v>
      </c>
      <c r="G2113" s="21" t="n">
        <v>41.04</v>
      </c>
      <c r="H2113" s="19" t="n">
        <v>0</v>
      </c>
      <c r="I2113" s="21" t="n">
        <v>41.04</v>
      </c>
      <c r="J2113" s="22" t="s">
        <v>80</v>
      </c>
      <c r="K2113" s="11" t="n">
        <v>43</v>
      </c>
      <c r="L2113" s="23"/>
      <c r="M2113" s="24" t="b">
        <f aca="false">FALSE()</f>
        <v>0</v>
      </c>
      <c r="N2113" s="11"/>
      <c r="O2113" s="11" t="str">
        <f aca="false">IF(K2113&lt;=StockP33,"Low",IF(K2113&lt;=StockP67,"Moderate","High"))</f>
        <v>High</v>
      </c>
      <c r="P2113" s="11" t="str">
        <f aca="false">IF(H2113=0,"Low",IF(H2113&lt;=MarkdownP75,"Moderate","High"))</f>
        <v>Low</v>
      </c>
      <c r="Q2113" s="11" t="str">
        <f aca="false">IF(ISBLANK(L2113),"Unknown",IF(L2113&gt;=4,"Good",IF(L2113&lt;=2,"Poor","Neutral")))</f>
        <v>Unknown</v>
      </c>
      <c r="R2113" s="11" t="str">
        <f aca="false">IF(AND(O2113="Low",P2113="Low",Q2113="Good"),"BUY / PRIORITIZE",IF(AND(O2113="High",P2113="High",OR(Q2113="Poor",M2113=TRUE())),"HOLD / REVIEW","MONITOR"))</f>
        <v>MONITOR</v>
      </c>
      <c r="S2113" s="11" t="n">
        <f aca="false">K2113+(ROW()/10000000)</f>
        <v>43.0002113</v>
      </c>
    </row>
    <row r="2114" customFormat="false" ht="15" hidden="false" customHeight="false" outlineLevel="0" collapsed="false">
      <c r="A2114" s="11" t="s">
        <v>2484</v>
      </c>
      <c r="B2114" s="11" t="s">
        <v>28</v>
      </c>
      <c r="C2114" s="11" t="s">
        <v>130</v>
      </c>
      <c r="D2114" s="11" t="s">
        <v>36</v>
      </c>
      <c r="E2114" s="11" t="s">
        <v>113</v>
      </c>
      <c r="F2114" s="11" t="s">
        <v>79</v>
      </c>
      <c r="G2114" s="21" t="n">
        <v>169.98</v>
      </c>
      <c r="H2114" s="19" t="n">
        <v>5.8</v>
      </c>
      <c r="I2114" s="21" t="n">
        <v>160.12</v>
      </c>
      <c r="J2114" s="22" t="s">
        <v>80</v>
      </c>
      <c r="K2114" s="11" t="n">
        <v>12</v>
      </c>
      <c r="L2114" s="23" t="n">
        <v>2.1</v>
      </c>
      <c r="M2114" s="24" t="b">
        <f aca="false">FALSE()</f>
        <v>0</v>
      </c>
      <c r="N2114" s="11"/>
      <c r="O2114" s="11" t="str">
        <f aca="false">IF(K2114&lt;=StockP33,"Low",IF(K2114&lt;=StockP67,"Moderate","High"))</f>
        <v>Low</v>
      </c>
      <c r="P2114" s="11" t="str">
        <f aca="false">IF(H2114=0,"Low",IF(H2114&lt;=MarkdownP75,"Moderate","High"))</f>
        <v>Moderate</v>
      </c>
      <c r="Q2114" s="11" t="str">
        <f aca="false">IF(ISBLANK(L2114),"Unknown",IF(L2114&gt;=4,"Good",IF(L2114&lt;=2,"Poor","Neutral")))</f>
        <v>Neutral</v>
      </c>
      <c r="R2114" s="11" t="str">
        <f aca="false">IF(AND(O2114="Low",P2114="Low",Q2114="Good"),"BUY / PRIORITIZE",IF(AND(O2114="High",P2114="High",OR(Q2114="Poor",M2114=TRUE())),"HOLD / REVIEW","MONITOR"))</f>
        <v>MONITOR</v>
      </c>
      <c r="S2114" s="11" t="n">
        <f aca="false">K2114+(ROW()/10000000)</f>
        <v>12.0002114</v>
      </c>
    </row>
    <row r="2115" customFormat="false" ht="15" hidden="false" customHeight="false" outlineLevel="0" collapsed="false">
      <c r="A2115" s="11" t="s">
        <v>2485</v>
      </c>
      <c r="B2115" s="11" t="s">
        <v>8</v>
      </c>
      <c r="C2115" s="11" t="s">
        <v>95</v>
      </c>
      <c r="D2115" s="11" t="s">
        <v>37</v>
      </c>
      <c r="E2115" s="11"/>
      <c r="F2115" s="11" t="s">
        <v>74</v>
      </c>
      <c r="G2115" s="21" t="n">
        <v>66.12</v>
      </c>
      <c r="H2115" s="19" t="n">
        <v>51</v>
      </c>
      <c r="I2115" s="21" t="n">
        <v>32.4</v>
      </c>
      <c r="J2115" s="22" t="s">
        <v>80</v>
      </c>
      <c r="K2115" s="11" t="n">
        <v>17</v>
      </c>
      <c r="L2115" s="23" t="n">
        <v>2.2</v>
      </c>
      <c r="M2115" s="24" t="b">
        <f aca="false">FALSE()</f>
        <v>0</v>
      </c>
      <c r="N2115" s="11"/>
      <c r="O2115" s="11" t="str">
        <f aca="false">IF(K2115&lt;=StockP33,"Low",IF(K2115&lt;=StockP67,"Moderate","High"))</f>
        <v>Low</v>
      </c>
      <c r="P2115" s="11" t="str">
        <f aca="false">IF(H2115=0,"Low",IF(H2115&lt;=MarkdownP75,"Moderate","High"))</f>
        <v>High</v>
      </c>
      <c r="Q2115" s="11" t="str">
        <f aca="false">IF(ISBLANK(L2115),"Unknown",IF(L2115&gt;=4,"Good",IF(L2115&lt;=2,"Poor","Neutral")))</f>
        <v>Neutral</v>
      </c>
      <c r="R2115" s="11" t="str">
        <f aca="false">IF(AND(O2115="Low",P2115="Low",Q2115="Good"),"BUY / PRIORITIZE",IF(AND(O2115="High",P2115="High",OR(Q2115="Poor",M2115=TRUE())),"HOLD / REVIEW","MONITOR"))</f>
        <v>MONITOR</v>
      </c>
      <c r="S2115" s="11" t="n">
        <f aca="false">K2115+(ROW()/10000000)</f>
        <v>17.0002115</v>
      </c>
    </row>
    <row r="2116" customFormat="false" ht="15" hidden="false" customHeight="false" outlineLevel="0" collapsed="false">
      <c r="A2116" s="11" t="s">
        <v>2486</v>
      </c>
      <c r="B2116" s="11" t="s">
        <v>27</v>
      </c>
      <c r="C2116" s="11" t="s">
        <v>86</v>
      </c>
      <c r="D2116" s="11" t="s">
        <v>34</v>
      </c>
      <c r="E2116" s="11" t="s">
        <v>91</v>
      </c>
      <c r="F2116" s="11" t="s">
        <v>120</v>
      </c>
      <c r="G2116" s="21" t="n">
        <v>139.87</v>
      </c>
      <c r="H2116" s="19" t="n">
        <v>14.5</v>
      </c>
      <c r="I2116" s="21" t="n">
        <v>119.59</v>
      </c>
      <c r="J2116" s="22" t="s">
        <v>200</v>
      </c>
      <c r="K2116" s="11" t="n">
        <v>13</v>
      </c>
      <c r="L2116" s="23" t="n">
        <v>1.3</v>
      </c>
      <c r="M2116" s="24" t="b">
        <f aca="false">FALSE()</f>
        <v>0</v>
      </c>
      <c r="N2116" s="11"/>
      <c r="O2116" s="11" t="str">
        <f aca="false">IF(K2116&lt;=StockP33,"Low",IF(K2116&lt;=StockP67,"Moderate","High"))</f>
        <v>Low</v>
      </c>
      <c r="P2116" s="11" t="str">
        <f aca="false">IF(H2116=0,"Low",IF(H2116&lt;=MarkdownP75,"Moderate","High"))</f>
        <v>Moderate</v>
      </c>
      <c r="Q2116" s="11" t="str">
        <f aca="false">IF(ISBLANK(L2116),"Unknown",IF(L2116&gt;=4,"Good",IF(L2116&lt;=2,"Poor","Neutral")))</f>
        <v>Poor</v>
      </c>
      <c r="R2116" s="11" t="str">
        <f aca="false">IF(AND(O2116="Low",P2116="Low",Q2116="Good"),"BUY / PRIORITIZE",IF(AND(O2116="High",P2116="High",OR(Q2116="Poor",M2116=TRUE())),"HOLD / REVIEW","MONITOR"))</f>
        <v>MONITOR</v>
      </c>
      <c r="S2116" s="11" t="n">
        <f aca="false">K2116+(ROW()/10000000)</f>
        <v>13.0002116</v>
      </c>
    </row>
    <row r="2117" customFormat="false" ht="15" hidden="false" customHeight="false" outlineLevel="0" collapsed="false">
      <c r="A2117" s="11" t="s">
        <v>2487</v>
      </c>
      <c r="B2117" s="11" t="s">
        <v>8</v>
      </c>
      <c r="C2117" s="11" t="s">
        <v>72</v>
      </c>
      <c r="D2117" s="11" t="s">
        <v>37</v>
      </c>
      <c r="E2117" s="11"/>
      <c r="F2117" s="11" t="s">
        <v>79</v>
      </c>
      <c r="G2117" s="21" t="n">
        <v>70.23</v>
      </c>
      <c r="H2117" s="19" t="n">
        <v>49.9</v>
      </c>
      <c r="I2117" s="21" t="n">
        <v>35.19</v>
      </c>
      <c r="J2117" s="22" t="s">
        <v>80</v>
      </c>
      <c r="K2117" s="11" t="n">
        <v>0</v>
      </c>
      <c r="L2117" s="23" t="n">
        <v>4.6</v>
      </c>
      <c r="M2117" s="24" t="b">
        <f aca="false">TRUE()</f>
        <v>1</v>
      </c>
      <c r="N2117" s="11" t="s">
        <v>134</v>
      </c>
      <c r="O2117" s="11" t="str">
        <f aca="false">IF(K2117&lt;=StockP33,"Low",IF(K2117&lt;=StockP67,"Moderate","High"))</f>
        <v>Low</v>
      </c>
      <c r="P2117" s="11" t="str">
        <f aca="false">IF(H2117=0,"Low",IF(H2117&lt;=MarkdownP75,"Moderate","High"))</f>
        <v>High</v>
      </c>
      <c r="Q2117" s="11" t="str">
        <f aca="false">IF(ISBLANK(L2117),"Unknown",IF(L2117&gt;=4,"Good",IF(L2117&lt;=2,"Poor","Neutral")))</f>
        <v>Good</v>
      </c>
      <c r="R2117" s="11" t="str">
        <f aca="false">IF(AND(O2117="Low",P2117="Low",Q2117="Good"),"BUY / PRIORITIZE",IF(AND(O2117="High",P2117="High",OR(Q2117="Poor",M2117=TRUE())),"HOLD / REVIEW","MONITOR"))</f>
        <v>MONITOR</v>
      </c>
      <c r="S2117" s="11" t="n">
        <f aca="false">K2117+(ROW()/10000000)</f>
        <v>0.0002117</v>
      </c>
    </row>
    <row r="2118" customFormat="false" ht="15" hidden="false" customHeight="false" outlineLevel="0" collapsed="false">
      <c r="A2118" s="11" t="s">
        <v>2488</v>
      </c>
      <c r="B2118" s="11" t="s">
        <v>29</v>
      </c>
      <c r="C2118" s="11" t="s">
        <v>72</v>
      </c>
      <c r="D2118" s="11" t="s">
        <v>37</v>
      </c>
      <c r="E2118" s="11" t="s">
        <v>73</v>
      </c>
      <c r="F2118" s="11" t="s">
        <v>96</v>
      </c>
      <c r="G2118" s="21" t="n">
        <v>129.9</v>
      </c>
      <c r="H2118" s="19" t="n">
        <v>39.9</v>
      </c>
      <c r="I2118" s="21" t="n">
        <v>78.07</v>
      </c>
      <c r="J2118" s="22" t="s">
        <v>80</v>
      </c>
      <c r="K2118" s="11" t="n">
        <v>28</v>
      </c>
      <c r="L2118" s="23" t="n">
        <v>1.3</v>
      </c>
      <c r="M2118" s="24" t="b">
        <f aca="false">FALSE()</f>
        <v>0</v>
      </c>
      <c r="N2118" s="11"/>
      <c r="O2118" s="11" t="str">
        <f aca="false">IF(K2118&lt;=StockP33,"Low",IF(K2118&lt;=StockP67,"Moderate","High"))</f>
        <v>Moderate</v>
      </c>
      <c r="P2118" s="11" t="str">
        <f aca="false">IF(H2118=0,"Low",IF(H2118&lt;=MarkdownP75,"Moderate","High"))</f>
        <v>High</v>
      </c>
      <c r="Q2118" s="11" t="str">
        <f aca="false">IF(ISBLANK(L2118),"Unknown",IF(L2118&gt;=4,"Good",IF(L2118&lt;=2,"Poor","Neutral")))</f>
        <v>Poor</v>
      </c>
      <c r="R2118" s="11" t="str">
        <f aca="false">IF(AND(O2118="Low",P2118="Low",Q2118="Good"),"BUY / PRIORITIZE",IF(AND(O2118="High",P2118="High",OR(Q2118="Poor",M2118=TRUE())),"HOLD / REVIEW","MONITOR"))</f>
        <v>MONITOR</v>
      </c>
      <c r="S2118" s="11" t="n">
        <f aca="false">K2118+(ROW()/10000000)</f>
        <v>28.0002118</v>
      </c>
    </row>
    <row r="2119" customFormat="false" ht="15" hidden="false" customHeight="false" outlineLevel="0" collapsed="false">
      <c r="A2119" s="11" t="s">
        <v>2489</v>
      </c>
      <c r="B2119" s="11" t="s">
        <v>26</v>
      </c>
      <c r="C2119" s="11" t="s">
        <v>72</v>
      </c>
      <c r="D2119" s="11" t="s">
        <v>34</v>
      </c>
      <c r="E2119" s="11" t="s">
        <v>78</v>
      </c>
      <c r="F2119" s="11" t="s">
        <v>111</v>
      </c>
      <c r="G2119" s="21" t="n">
        <v>75.78</v>
      </c>
      <c r="H2119" s="19" t="n">
        <v>0</v>
      </c>
      <c r="I2119" s="21" t="n">
        <v>75.78</v>
      </c>
      <c r="J2119" s="22" t="s">
        <v>2490</v>
      </c>
      <c r="K2119" s="11" t="n">
        <v>12</v>
      </c>
      <c r="L2119" s="23" t="n">
        <v>3.6</v>
      </c>
      <c r="M2119" s="24" t="b">
        <f aca="false">FALSE()</f>
        <v>0</v>
      </c>
      <c r="N2119" s="11"/>
      <c r="O2119" s="11" t="str">
        <f aca="false">IF(K2119&lt;=StockP33,"Low",IF(K2119&lt;=StockP67,"Moderate","High"))</f>
        <v>Low</v>
      </c>
      <c r="P2119" s="11" t="str">
        <f aca="false">IF(H2119=0,"Low",IF(H2119&lt;=MarkdownP75,"Moderate","High"))</f>
        <v>Low</v>
      </c>
      <c r="Q2119" s="11" t="str">
        <f aca="false">IF(ISBLANK(L2119),"Unknown",IF(L2119&gt;=4,"Good",IF(L2119&lt;=2,"Poor","Neutral")))</f>
        <v>Neutral</v>
      </c>
      <c r="R2119" s="11" t="str">
        <f aca="false">IF(AND(O2119="Low",P2119="Low",Q2119="Good"),"BUY / PRIORITIZE",IF(AND(O2119="High",P2119="High",OR(Q2119="Poor",M2119=TRUE())),"HOLD / REVIEW","MONITOR"))</f>
        <v>MONITOR</v>
      </c>
      <c r="S2119" s="11" t="n">
        <f aca="false">K2119+(ROW()/10000000)</f>
        <v>12.0002119</v>
      </c>
    </row>
    <row r="2120" customFormat="false" ht="15" hidden="false" customHeight="false" outlineLevel="0" collapsed="false">
      <c r="A2120" s="11" t="s">
        <v>2491</v>
      </c>
      <c r="B2120" s="11" t="s">
        <v>26</v>
      </c>
      <c r="C2120" s="11" t="s">
        <v>101</v>
      </c>
      <c r="D2120" s="11" t="s">
        <v>37</v>
      </c>
      <c r="E2120" s="11" t="s">
        <v>113</v>
      </c>
      <c r="F2120" s="11" t="s">
        <v>111</v>
      </c>
      <c r="G2120" s="21" t="n">
        <v>93.41</v>
      </c>
      <c r="H2120" s="19" t="n">
        <v>0</v>
      </c>
      <c r="I2120" s="21" t="n">
        <v>93.41</v>
      </c>
      <c r="J2120" s="22" t="s">
        <v>80</v>
      </c>
      <c r="K2120" s="11" t="n">
        <v>4</v>
      </c>
      <c r="L2120" s="23" t="n">
        <v>3.2</v>
      </c>
      <c r="M2120" s="24" t="b">
        <f aca="false">TRUE()</f>
        <v>1</v>
      </c>
      <c r="N2120" s="11" t="s">
        <v>128</v>
      </c>
      <c r="O2120" s="11" t="str">
        <f aca="false">IF(K2120&lt;=StockP33,"Low",IF(K2120&lt;=StockP67,"Moderate","High"))</f>
        <v>Low</v>
      </c>
      <c r="P2120" s="11" t="str">
        <f aca="false">IF(H2120=0,"Low",IF(H2120&lt;=MarkdownP75,"Moderate","High"))</f>
        <v>Low</v>
      </c>
      <c r="Q2120" s="11" t="str">
        <f aca="false">IF(ISBLANK(L2120),"Unknown",IF(L2120&gt;=4,"Good",IF(L2120&lt;=2,"Poor","Neutral")))</f>
        <v>Neutral</v>
      </c>
      <c r="R2120" s="11" t="str">
        <f aca="false">IF(AND(O2120="Low",P2120="Low",Q2120="Good"),"BUY / PRIORITIZE",IF(AND(O2120="High",P2120="High",OR(Q2120="Poor",M2120=TRUE())),"HOLD / REVIEW","MONITOR"))</f>
        <v>MONITOR</v>
      </c>
      <c r="S2120" s="11" t="n">
        <f aca="false">K2120+(ROW()/10000000)</f>
        <v>4.000212</v>
      </c>
    </row>
    <row r="2121" customFormat="false" ht="15" hidden="false" customHeight="false" outlineLevel="0" collapsed="false">
      <c r="A2121" s="11" t="s">
        <v>2492</v>
      </c>
      <c r="B2121" s="11" t="s">
        <v>30</v>
      </c>
      <c r="C2121" s="11" t="s">
        <v>86</v>
      </c>
      <c r="D2121" s="11" t="s">
        <v>34</v>
      </c>
      <c r="E2121" s="11" t="s">
        <v>78</v>
      </c>
      <c r="F2121" s="11" t="s">
        <v>74</v>
      </c>
      <c r="G2121" s="21" t="n">
        <v>66.9</v>
      </c>
      <c r="H2121" s="19" t="n">
        <v>0</v>
      </c>
      <c r="I2121" s="21" t="n">
        <v>66.9</v>
      </c>
      <c r="J2121" s="22" t="s">
        <v>2493</v>
      </c>
      <c r="K2121" s="11" t="n">
        <v>1</v>
      </c>
      <c r="L2121" s="23" t="n">
        <v>2.8</v>
      </c>
      <c r="M2121" s="24" t="b">
        <f aca="false">FALSE()</f>
        <v>0</v>
      </c>
      <c r="N2121" s="11"/>
      <c r="O2121" s="11" t="str">
        <f aca="false">IF(K2121&lt;=StockP33,"Low",IF(K2121&lt;=StockP67,"Moderate","High"))</f>
        <v>Low</v>
      </c>
      <c r="P2121" s="11" t="str">
        <f aca="false">IF(H2121=0,"Low",IF(H2121&lt;=MarkdownP75,"Moderate","High"))</f>
        <v>Low</v>
      </c>
      <c r="Q2121" s="11" t="str">
        <f aca="false">IF(ISBLANK(L2121),"Unknown",IF(L2121&gt;=4,"Good",IF(L2121&lt;=2,"Poor","Neutral")))</f>
        <v>Neutral</v>
      </c>
      <c r="R2121" s="11" t="str">
        <f aca="false">IF(AND(O2121="Low",P2121="Low",Q2121="Good"),"BUY / PRIORITIZE",IF(AND(O2121="High",P2121="High",OR(Q2121="Poor",M2121=TRUE())),"HOLD / REVIEW","MONITOR"))</f>
        <v>MONITOR</v>
      </c>
      <c r="S2121" s="11" t="n">
        <f aca="false">K2121+(ROW()/10000000)</f>
        <v>1.0002121</v>
      </c>
    </row>
    <row r="2122" customFormat="false" ht="15" hidden="false" customHeight="false" outlineLevel="0" collapsed="false">
      <c r="A2122" s="11" t="s">
        <v>2494</v>
      </c>
      <c r="B2122" s="11" t="s">
        <v>30</v>
      </c>
      <c r="C2122" s="11" t="s">
        <v>95</v>
      </c>
      <c r="D2122" s="11" t="s">
        <v>36</v>
      </c>
      <c r="E2122" s="11" t="s">
        <v>78</v>
      </c>
      <c r="F2122" s="11" t="s">
        <v>98</v>
      </c>
      <c r="G2122" s="21" t="n">
        <v>110.45</v>
      </c>
      <c r="H2122" s="19" t="n">
        <v>6.6</v>
      </c>
      <c r="I2122" s="21" t="n">
        <v>103.16</v>
      </c>
      <c r="J2122" s="22" t="s">
        <v>80</v>
      </c>
      <c r="K2122" s="11" t="n">
        <v>6</v>
      </c>
      <c r="L2122" s="23"/>
      <c r="M2122" s="24" t="b">
        <f aca="false">FALSE()</f>
        <v>0</v>
      </c>
      <c r="N2122" s="11"/>
      <c r="O2122" s="11" t="str">
        <f aca="false">IF(K2122&lt;=StockP33,"Low",IF(K2122&lt;=StockP67,"Moderate","High"))</f>
        <v>Low</v>
      </c>
      <c r="P2122" s="11" t="str">
        <f aca="false">IF(H2122=0,"Low",IF(H2122&lt;=MarkdownP75,"Moderate","High"))</f>
        <v>Moderate</v>
      </c>
      <c r="Q2122" s="11" t="str">
        <f aca="false">IF(ISBLANK(L2122),"Unknown",IF(L2122&gt;=4,"Good",IF(L2122&lt;=2,"Poor","Neutral")))</f>
        <v>Unknown</v>
      </c>
      <c r="R2122" s="11" t="str">
        <f aca="false">IF(AND(O2122="Low",P2122="Low",Q2122="Good"),"BUY / PRIORITIZE",IF(AND(O2122="High",P2122="High",OR(Q2122="Poor",M2122=TRUE())),"HOLD / REVIEW","MONITOR"))</f>
        <v>MONITOR</v>
      </c>
      <c r="S2122" s="11" t="n">
        <f aca="false">K2122+(ROW()/10000000)</f>
        <v>6.0002122</v>
      </c>
    </row>
    <row r="2123" customFormat="false" ht="15" hidden="false" customHeight="false" outlineLevel="0" collapsed="false">
      <c r="A2123" s="11" t="s">
        <v>2495</v>
      </c>
      <c r="B2123" s="11" t="s">
        <v>26</v>
      </c>
      <c r="C2123" s="11" t="s">
        <v>72</v>
      </c>
      <c r="D2123" s="11" t="s">
        <v>36</v>
      </c>
      <c r="E2123" s="11" t="s">
        <v>78</v>
      </c>
      <c r="F2123" s="11" t="s">
        <v>92</v>
      </c>
      <c r="G2123" s="21" t="n">
        <v>52.73</v>
      </c>
      <c r="H2123" s="19" t="n">
        <v>0</v>
      </c>
      <c r="I2123" s="21" t="n">
        <v>52.73</v>
      </c>
      <c r="J2123" s="22" t="s">
        <v>80</v>
      </c>
      <c r="K2123" s="11" t="n">
        <v>10</v>
      </c>
      <c r="L2123" s="23" t="n">
        <v>4.5</v>
      </c>
      <c r="M2123" s="24" t="b">
        <f aca="false">FALSE()</f>
        <v>0</v>
      </c>
      <c r="N2123" s="11"/>
      <c r="O2123" s="11" t="str">
        <f aca="false">IF(K2123&lt;=StockP33,"Low",IF(K2123&lt;=StockP67,"Moderate","High"))</f>
        <v>Low</v>
      </c>
      <c r="P2123" s="11" t="str">
        <f aca="false">IF(H2123=0,"Low",IF(H2123&lt;=MarkdownP75,"Moderate","High"))</f>
        <v>Low</v>
      </c>
      <c r="Q2123" s="11" t="str">
        <f aca="false">IF(ISBLANK(L2123),"Unknown",IF(L2123&gt;=4,"Good",IF(L2123&lt;=2,"Poor","Neutral")))</f>
        <v>Good</v>
      </c>
      <c r="R2123" s="11" t="str">
        <f aca="false">IF(AND(O2123="Low",P2123="Low",Q2123="Good"),"BUY / PRIORITIZE",IF(AND(O2123="High",P2123="High",OR(Q2123="Poor",M2123=TRUE())),"HOLD / REVIEW","MONITOR"))</f>
        <v>BUY / PRIORITIZE</v>
      </c>
      <c r="S2123" s="11" t="n">
        <f aca="false">K2123+(ROW()/10000000)</f>
        <v>10.0002123</v>
      </c>
    </row>
    <row r="2124" customFormat="false" ht="15" hidden="false" customHeight="false" outlineLevel="0" collapsed="false">
      <c r="A2124" s="11" t="s">
        <v>2496</v>
      </c>
      <c r="B2124" s="11" t="s">
        <v>28</v>
      </c>
      <c r="C2124" s="11" t="s">
        <v>107</v>
      </c>
      <c r="D2124" s="11" t="s">
        <v>36</v>
      </c>
      <c r="E2124" s="11" t="s">
        <v>78</v>
      </c>
      <c r="F2124" s="11" t="s">
        <v>96</v>
      </c>
      <c r="G2124" s="21" t="n">
        <v>89.13</v>
      </c>
      <c r="H2124" s="19" t="n">
        <v>0</v>
      </c>
      <c r="I2124" s="21" t="n">
        <v>89.13</v>
      </c>
      <c r="J2124" s="22" t="s">
        <v>80</v>
      </c>
      <c r="K2124" s="11" t="n">
        <v>17</v>
      </c>
      <c r="L2124" s="23" t="n">
        <v>4.1</v>
      </c>
      <c r="M2124" s="24" t="b">
        <f aca="false">FALSE()</f>
        <v>0</v>
      </c>
      <c r="N2124" s="11"/>
      <c r="O2124" s="11" t="str">
        <f aca="false">IF(K2124&lt;=StockP33,"Low",IF(K2124&lt;=StockP67,"Moderate","High"))</f>
        <v>Low</v>
      </c>
      <c r="P2124" s="11" t="str">
        <f aca="false">IF(H2124=0,"Low",IF(H2124&lt;=MarkdownP75,"Moderate","High"))</f>
        <v>Low</v>
      </c>
      <c r="Q2124" s="11" t="str">
        <f aca="false">IF(ISBLANK(L2124),"Unknown",IF(L2124&gt;=4,"Good",IF(L2124&lt;=2,"Poor","Neutral")))</f>
        <v>Good</v>
      </c>
      <c r="R2124" s="11" t="str">
        <f aca="false">IF(AND(O2124="Low",P2124="Low",Q2124="Good"),"BUY / PRIORITIZE",IF(AND(O2124="High",P2124="High",OR(Q2124="Poor",M2124=TRUE())),"HOLD / REVIEW","MONITOR"))</f>
        <v>BUY / PRIORITIZE</v>
      </c>
      <c r="S2124" s="11" t="n">
        <f aca="false">K2124+(ROW()/10000000)</f>
        <v>17.0002124</v>
      </c>
    </row>
    <row r="2125" customFormat="false" ht="15" hidden="false" customHeight="false" outlineLevel="0" collapsed="false">
      <c r="A2125" s="11" t="s">
        <v>2497</v>
      </c>
      <c r="B2125" s="11" t="s">
        <v>28</v>
      </c>
      <c r="C2125" s="11" t="s">
        <v>86</v>
      </c>
      <c r="D2125" s="11" t="s">
        <v>35</v>
      </c>
      <c r="E2125" s="11" t="s">
        <v>78</v>
      </c>
      <c r="F2125" s="11" t="s">
        <v>98</v>
      </c>
      <c r="G2125" s="21" t="n">
        <v>171.78</v>
      </c>
      <c r="H2125" s="19" t="n">
        <v>44.1</v>
      </c>
      <c r="I2125" s="21" t="n">
        <v>96.03</v>
      </c>
      <c r="J2125" s="22" t="s">
        <v>80</v>
      </c>
      <c r="K2125" s="11" t="n">
        <v>25</v>
      </c>
      <c r="L2125" s="23"/>
      <c r="M2125" s="24" t="b">
        <f aca="false">TRUE()</f>
        <v>1</v>
      </c>
      <c r="N2125" s="11" t="s">
        <v>89</v>
      </c>
      <c r="O2125" s="11" t="str">
        <f aca="false">IF(K2125&lt;=StockP33,"Low",IF(K2125&lt;=StockP67,"Moderate","High"))</f>
        <v>Moderate</v>
      </c>
      <c r="P2125" s="11" t="str">
        <f aca="false">IF(H2125=0,"Low",IF(H2125&lt;=MarkdownP75,"Moderate","High"))</f>
        <v>High</v>
      </c>
      <c r="Q2125" s="11" t="str">
        <f aca="false">IF(ISBLANK(L2125),"Unknown",IF(L2125&gt;=4,"Good",IF(L2125&lt;=2,"Poor","Neutral")))</f>
        <v>Unknown</v>
      </c>
      <c r="R2125" s="11" t="str">
        <f aca="false">IF(AND(O2125="Low",P2125="Low",Q2125="Good"),"BUY / PRIORITIZE",IF(AND(O2125="High",P2125="High",OR(Q2125="Poor",M2125=TRUE())),"HOLD / REVIEW","MONITOR"))</f>
        <v>MONITOR</v>
      </c>
      <c r="S2125" s="11" t="n">
        <f aca="false">K2125+(ROW()/10000000)</f>
        <v>25.0002125</v>
      </c>
    </row>
    <row r="2126" customFormat="false" ht="15" hidden="false" customHeight="false" outlineLevel="0" collapsed="false">
      <c r="A2126" s="11" t="s">
        <v>2498</v>
      </c>
      <c r="B2126" s="11" t="s">
        <v>29</v>
      </c>
      <c r="C2126" s="11" t="s">
        <v>116</v>
      </c>
      <c r="D2126" s="11" t="s">
        <v>37</v>
      </c>
      <c r="E2126" s="11" t="s">
        <v>113</v>
      </c>
      <c r="F2126" s="11" t="s">
        <v>79</v>
      </c>
      <c r="G2126" s="21" t="n">
        <v>129</v>
      </c>
      <c r="H2126" s="19" t="n">
        <v>0</v>
      </c>
      <c r="I2126" s="21" t="n">
        <v>129</v>
      </c>
      <c r="J2126" s="22" t="s">
        <v>80</v>
      </c>
      <c r="K2126" s="11" t="n">
        <v>13</v>
      </c>
      <c r="L2126" s="23" t="n">
        <v>3.8</v>
      </c>
      <c r="M2126" s="24" t="b">
        <f aca="false">TRUE()</f>
        <v>1</v>
      </c>
      <c r="N2126" s="11" t="s">
        <v>178</v>
      </c>
      <c r="O2126" s="11" t="str">
        <f aca="false">IF(K2126&lt;=StockP33,"Low",IF(K2126&lt;=StockP67,"Moderate","High"))</f>
        <v>Low</v>
      </c>
      <c r="P2126" s="11" t="str">
        <f aca="false">IF(H2126=0,"Low",IF(H2126&lt;=MarkdownP75,"Moderate","High"))</f>
        <v>Low</v>
      </c>
      <c r="Q2126" s="11" t="str">
        <f aca="false">IF(ISBLANK(L2126),"Unknown",IF(L2126&gt;=4,"Good",IF(L2126&lt;=2,"Poor","Neutral")))</f>
        <v>Neutral</v>
      </c>
      <c r="R2126" s="11" t="str">
        <f aca="false">IF(AND(O2126="Low",P2126="Low",Q2126="Good"),"BUY / PRIORITIZE",IF(AND(O2126="High",P2126="High",OR(Q2126="Poor",M2126=TRUE())),"HOLD / REVIEW","MONITOR"))</f>
        <v>MONITOR</v>
      </c>
      <c r="S2126" s="11" t="n">
        <f aca="false">K2126+(ROW()/10000000)</f>
        <v>13.0002126</v>
      </c>
    </row>
    <row r="2127" customFormat="false" ht="15" hidden="false" customHeight="false" outlineLevel="0" collapsed="false">
      <c r="A2127" s="11" t="s">
        <v>2499</v>
      </c>
      <c r="B2127" s="11" t="s">
        <v>29</v>
      </c>
      <c r="C2127" s="11" t="s">
        <v>72</v>
      </c>
      <c r="D2127" s="11" t="s">
        <v>35</v>
      </c>
      <c r="E2127" s="11" t="s">
        <v>110</v>
      </c>
      <c r="F2127" s="11" t="s">
        <v>124</v>
      </c>
      <c r="G2127" s="21" t="n">
        <v>160.59</v>
      </c>
      <c r="H2127" s="19" t="n">
        <v>0</v>
      </c>
      <c r="I2127" s="21" t="n">
        <v>160.59</v>
      </c>
      <c r="J2127" s="22" t="s">
        <v>80</v>
      </c>
      <c r="K2127" s="11" t="n">
        <v>8</v>
      </c>
      <c r="L2127" s="23" t="n">
        <v>2.9</v>
      </c>
      <c r="M2127" s="24" t="b">
        <f aca="false">FALSE()</f>
        <v>0</v>
      </c>
      <c r="N2127" s="11"/>
      <c r="O2127" s="11" t="str">
        <f aca="false">IF(K2127&lt;=StockP33,"Low",IF(K2127&lt;=StockP67,"Moderate","High"))</f>
        <v>Low</v>
      </c>
      <c r="P2127" s="11" t="str">
        <f aca="false">IF(H2127=0,"Low",IF(H2127&lt;=MarkdownP75,"Moderate","High"))</f>
        <v>Low</v>
      </c>
      <c r="Q2127" s="11" t="str">
        <f aca="false">IF(ISBLANK(L2127),"Unknown",IF(L2127&gt;=4,"Good",IF(L2127&lt;=2,"Poor","Neutral")))</f>
        <v>Neutral</v>
      </c>
      <c r="R2127" s="11" t="str">
        <f aca="false">IF(AND(O2127="Low",P2127="Low",Q2127="Good"),"BUY / PRIORITIZE",IF(AND(O2127="High",P2127="High",OR(Q2127="Poor",M2127=TRUE())),"HOLD / REVIEW","MONITOR"))</f>
        <v>MONITOR</v>
      </c>
      <c r="S2127" s="11" t="n">
        <f aca="false">K2127+(ROW()/10000000)</f>
        <v>8.0002127</v>
      </c>
    </row>
    <row r="2128" customFormat="false" ht="15" hidden="false" customHeight="false" outlineLevel="0" collapsed="false">
      <c r="A2128" s="11" t="s">
        <v>2500</v>
      </c>
      <c r="B2128" s="11" t="s">
        <v>30</v>
      </c>
      <c r="C2128" s="11" t="s">
        <v>86</v>
      </c>
      <c r="D2128" s="11" t="s">
        <v>35</v>
      </c>
      <c r="E2128" s="11" t="s">
        <v>78</v>
      </c>
      <c r="F2128" s="11" t="s">
        <v>74</v>
      </c>
      <c r="G2128" s="21" t="n">
        <v>56.38</v>
      </c>
      <c r="H2128" s="19" t="n">
        <v>0</v>
      </c>
      <c r="I2128" s="21" t="n">
        <v>56.38</v>
      </c>
      <c r="J2128" s="22" t="s">
        <v>80</v>
      </c>
      <c r="K2128" s="11" t="n">
        <v>9</v>
      </c>
      <c r="L2128" s="23"/>
      <c r="M2128" s="24" t="b">
        <f aca="false">FALSE()</f>
        <v>0</v>
      </c>
      <c r="N2128" s="11"/>
      <c r="O2128" s="11" t="str">
        <f aca="false">IF(K2128&lt;=StockP33,"Low",IF(K2128&lt;=StockP67,"Moderate","High"))</f>
        <v>Low</v>
      </c>
      <c r="P2128" s="11" t="str">
        <f aca="false">IF(H2128=0,"Low",IF(H2128&lt;=MarkdownP75,"Moderate","High"))</f>
        <v>Low</v>
      </c>
      <c r="Q2128" s="11" t="str">
        <f aca="false">IF(ISBLANK(L2128),"Unknown",IF(L2128&gt;=4,"Good",IF(L2128&lt;=2,"Poor","Neutral")))</f>
        <v>Unknown</v>
      </c>
      <c r="R2128" s="11" t="str">
        <f aca="false">IF(AND(O2128="Low",P2128="Low",Q2128="Good"),"BUY / PRIORITIZE",IF(AND(O2128="High",P2128="High",OR(Q2128="Poor",M2128=TRUE())),"HOLD / REVIEW","MONITOR"))</f>
        <v>MONITOR</v>
      </c>
      <c r="S2128" s="11" t="n">
        <f aca="false">K2128+(ROW()/10000000)</f>
        <v>9.0002128</v>
      </c>
    </row>
    <row r="2129" customFormat="false" ht="15" hidden="false" customHeight="false" outlineLevel="0" collapsed="false">
      <c r="A2129" s="11" t="s">
        <v>2501</v>
      </c>
      <c r="B2129" s="11" t="s">
        <v>28</v>
      </c>
      <c r="C2129" s="11" t="s">
        <v>116</v>
      </c>
      <c r="D2129" s="11" t="s">
        <v>37</v>
      </c>
      <c r="E2129" s="11" t="s">
        <v>78</v>
      </c>
      <c r="F2129" s="11" t="s">
        <v>98</v>
      </c>
      <c r="G2129" s="21" t="n">
        <v>109.2</v>
      </c>
      <c r="H2129" s="19" t="n">
        <v>26.6</v>
      </c>
      <c r="I2129" s="21" t="n">
        <v>80.15</v>
      </c>
      <c r="J2129" s="22" t="s">
        <v>80</v>
      </c>
      <c r="K2129" s="11" t="n">
        <v>21</v>
      </c>
      <c r="L2129" s="23" t="n">
        <v>3.9</v>
      </c>
      <c r="M2129" s="24" t="b">
        <f aca="false">TRUE()</f>
        <v>1</v>
      </c>
      <c r="N2129" s="11" t="s">
        <v>140</v>
      </c>
      <c r="O2129" s="11" t="str">
        <f aca="false">IF(K2129&lt;=StockP33,"Low",IF(K2129&lt;=StockP67,"Moderate","High"))</f>
        <v>Moderate</v>
      </c>
      <c r="P2129" s="11" t="str">
        <f aca="false">IF(H2129=0,"Low",IF(H2129&lt;=MarkdownP75,"Moderate","High"))</f>
        <v>High</v>
      </c>
      <c r="Q2129" s="11" t="str">
        <f aca="false">IF(ISBLANK(L2129),"Unknown",IF(L2129&gt;=4,"Good",IF(L2129&lt;=2,"Poor","Neutral")))</f>
        <v>Neutral</v>
      </c>
      <c r="R2129" s="11" t="str">
        <f aca="false">IF(AND(O2129="Low",P2129="Low",Q2129="Good"),"BUY / PRIORITIZE",IF(AND(O2129="High",P2129="High",OR(Q2129="Poor",M2129=TRUE())),"HOLD / REVIEW","MONITOR"))</f>
        <v>MONITOR</v>
      </c>
      <c r="S2129" s="11" t="n">
        <f aca="false">K2129+(ROW()/10000000)</f>
        <v>21.0002129</v>
      </c>
    </row>
    <row r="2130" customFormat="false" ht="15" hidden="false" customHeight="false" outlineLevel="0" collapsed="false">
      <c r="A2130" s="11" t="s">
        <v>2502</v>
      </c>
      <c r="B2130" s="11" t="s">
        <v>8</v>
      </c>
      <c r="C2130" s="11" t="s">
        <v>77</v>
      </c>
      <c r="D2130" s="11" t="s">
        <v>34</v>
      </c>
      <c r="E2130" s="11"/>
      <c r="F2130" s="11" t="s">
        <v>79</v>
      </c>
      <c r="G2130" s="21" t="n">
        <v>21.43</v>
      </c>
      <c r="H2130" s="19" t="n">
        <v>0</v>
      </c>
      <c r="I2130" s="21" t="n">
        <v>21.43</v>
      </c>
      <c r="J2130" s="22" t="s">
        <v>948</v>
      </c>
      <c r="K2130" s="11" t="n">
        <v>38</v>
      </c>
      <c r="L2130" s="23" t="n">
        <v>1.9</v>
      </c>
      <c r="M2130" s="24" t="b">
        <f aca="false">FALSE()</f>
        <v>0</v>
      </c>
      <c r="N2130" s="11"/>
      <c r="O2130" s="11" t="str">
        <f aca="false">IF(K2130&lt;=StockP33,"Low",IF(K2130&lt;=StockP67,"Moderate","High"))</f>
        <v>High</v>
      </c>
      <c r="P2130" s="11" t="str">
        <f aca="false">IF(H2130=0,"Low",IF(H2130&lt;=MarkdownP75,"Moderate","High"))</f>
        <v>Low</v>
      </c>
      <c r="Q2130" s="11" t="str">
        <f aca="false">IF(ISBLANK(L2130),"Unknown",IF(L2130&gt;=4,"Good",IF(L2130&lt;=2,"Poor","Neutral")))</f>
        <v>Poor</v>
      </c>
      <c r="R2130" s="11" t="str">
        <f aca="false">IF(AND(O2130="Low",P2130="Low",Q2130="Good"),"BUY / PRIORITIZE",IF(AND(O2130="High",P2130="High",OR(Q2130="Poor",M2130=TRUE())),"HOLD / REVIEW","MONITOR"))</f>
        <v>MONITOR</v>
      </c>
      <c r="S2130" s="11" t="n">
        <f aca="false">K2130+(ROW()/10000000)</f>
        <v>38.000213</v>
      </c>
    </row>
    <row r="2131" customFormat="false" ht="15" hidden="false" customHeight="false" outlineLevel="0" collapsed="false">
      <c r="A2131" s="11" t="s">
        <v>2503</v>
      </c>
      <c r="B2131" s="11" t="s">
        <v>29</v>
      </c>
      <c r="C2131" s="11" t="s">
        <v>101</v>
      </c>
      <c r="D2131" s="11" t="s">
        <v>37</v>
      </c>
      <c r="E2131" s="11" t="s">
        <v>113</v>
      </c>
      <c r="F2131" s="11" t="s">
        <v>120</v>
      </c>
      <c r="G2131" s="21" t="n">
        <v>87.11</v>
      </c>
      <c r="H2131" s="19" t="n">
        <v>0</v>
      </c>
      <c r="I2131" s="21" t="n">
        <v>87.11</v>
      </c>
      <c r="J2131" s="22" t="s">
        <v>80</v>
      </c>
      <c r="K2131" s="11" t="n">
        <v>36</v>
      </c>
      <c r="L2131" s="23" t="n">
        <v>2.3</v>
      </c>
      <c r="M2131" s="24" t="b">
        <f aca="false">FALSE()</f>
        <v>0</v>
      </c>
      <c r="N2131" s="11"/>
      <c r="O2131" s="11" t="str">
        <f aca="false">IF(K2131&lt;=StockP33,"Low",IF(K2131&lt;=StockP67,"Moderate","High"))</f>
        <v>High</v>
      </c>
      <c r="P2131" s="11" t="str">
        <f aca="false">IF(H2131=0,"Low",IF(H2131&lt;=MarkdownP75,"Moderate","High"))</f>
        <v>Low</v>
      </c>
      <c r="Q2131" s="11" t="str">
        <f aca="false">IF(ISBLANK(L2131),"Unknown",IF(L2131&gt;=4,"Good",IF(L2131&lt;=2,"Poor","Neutral")))</f>
        <v>Neutral</v>
      </c>
      <c r="R2131" s="11" t="str">
        <f aca="false">IF(AND(O2131="Low",P2131="Low",Q2131="Good"),"BUY / PRIORITIZE",IF(AND(O2131="High",P2131="High",OR(Q2131="Poor",M2131=TRUE())),"HOLD / REVIEW","MONITOR"))</f>
        <v>MONITOR</v>
      </c>
      <c r="S2131" s="11" t="n">
        <f aca="false">K2131+(ROW()/10000000)</f>
        <v>36.0002131</v>
      </c>
    </row>
    <row r="2132" customFormat="false" ht="15" hidden="false" customHeight="false" outlineLevel="0" collapsed="false">
      <c r="A2132" s="11" t="s">
        <v>2504</v>
      </c>
      <c r="B2132" s="11" t="s">
        <v>8</v>
      </c>
      <c r="C2132" s="11" t="s">
        <v>130</v>
      </c>
      <c r="D2132" s="11" t="s">
        <v>36</v>
      </c>
      <c r="E2132" s="11"/>
      <c r="F2132" s="11" t="s">
        <v>118</v>
      </c>
      <c r="G2132" s="21" t="n">
        <v>36.29</v>
      </c>
      <c r="H2132" s="19" t="n">
        <v>0</v>
      </c>
      <c r="I2132" s="21" t="n">
        <v>36.29</v>
      </c>
      <c r="J2132" s="22" t="s">
        <v>80</v>
      </c>
      <c r="K2132" s="11" t="n">
        <v>47</v>
      </c>
      <c r="L2132" s="23" t="n">
        <v>2.8</v>
      </c>
      <c r="M2132" s="24" t="b">
        <f aca="false">FALSE()</f>
        <v>0</v>
      </c>
      <c r="N2132" s="11"/>
      <c r="O2132" s="11" t="str">
        <f aca="false">IF(K2132&lt;=StockP33,"Low",IF(K2132&lt;=StockP67,"Moderate","High"))</f>
        <v>High</v>
      </c>
      <c r="P2132" s="11" t="str">
        <f aca="false">IF(H2132=0,"Low",IF(H2132&lt;=MarkdownP75,"Moderate","High"))</f>
        <v>Low</v>
      </c>
      <c r="Q2132" s="11" t="str">
        <f aca="false">IF(ISBLANK(L2132),"Unknown",IF(L2132&gt;=4,"Good",IF(L2132&lt;=2,"Poor","Neutral")))</f>
        <v>Neutral</v>
      </c>
      <c r="R2132" s="11" t="str">
        <f aca="false">IF(AND(O2132="Low",P2132="Low",Q2132="Good"),"BUY / PRIORITIZE",IF(AND(O2132="High",P2132="High",OR(Q2132="Poor",M2132=TRUE())),"HOLD / REVIEW","MONITOR"))</f>
        <v>MONITOR</v>
      </c>
      <c r="S2132" s="11" t="n">
        <f aca="false">K2132+(ROW()/10000000)</f>
        <v>47.0002132</v>
      </c>
    </row>
    <row r="2133" customFormat="false" ht="15" hidden="false" customHeight="false" outlineLevel="0" collapsed="false">
      <c r="A2133" s="11" t="s">
        <v>2505</v>
      </c>
      <c r="B2133" s="11" t="s">
        <v>27</v>
      </c>
      <c r="C2133" s="11" t="s">
        <v>101</v>
      </c>
      <c r="D2133" s="11" t="s">
        <v>34</v>
      </c>
      <c r="E2133" s="11" t="s">
        <v>113</v>
      </c>
      <c r="F2133" s="11" t="s">
        <v>98</v>
      </c>
      <c r="G2133" s="21" t="n">
        <v>105.59</v>
      </c>
      <c r="H2133" s="19" t="n">
        <v>0</v>
      </c>
      <c r="I2133" s="21" t="n">
        <v>105.59</v>
      </c>
      <c r="J2133" s="22" t="s">
        <v>436</v>
      </c>
      <c r="K2133" s="11" t="n">
        <v>37</v>
      </c>
      <c r="L2133" s="23" t="n">
        <v>4.7</v>
      </c>
      <c r="M2133" s="24" t="b">
        <f aca="false">FALSE()</f>
        <v>0</v>
      </c>
      <c r="N2133" s="11"/>
      <c r="O2133" s="11" t="str">
        <f aca="false">IF(K2133&lt;=StockP33,"Low",IF(K2133&lt;=StockP67,"Moderate","High"))</f>
        <v>High</v>
      </c>
      <c r="P2133" s="11" t="str">
        <f aca="false">IF(H2133=0,"Low",IF(H2133&lt;=MarkdownP75,"Moderate","High"))</f>
        <v>Low</v>
      </c>
      <c r="Q2133" s="11" t="str">
        <f aca="false">IF(ISBLANK(L2133),"Unknown",IF(L2133&gt;=4,"Good",IF(L2133&lt;=2,"Poor","Neutral")))</f>
        <v>Good</v>
      </c>
      <c r="R2133" s="11" t="str">
        <f aca="false">IF(AND(O2133="Low",P2133="Low",Q2133="Good"),"BUY / PRIORITIZE",IF(AND(O2133="High",P2133="High",OR(Q2133="Poor",M2133=TRUE())),"HOLD / REVIEW","MONITOR"))</f>
        <v>MONITOR</v>
      </c>
      <c r="S2133" s="11" t="n">
        <f aca="false">K2133+(ROW()/10000000)</f>
        <v>37.0002133</v>
      </c>
    </row>
    <row r="2134" customFormat="false" ht="15" hidden="false" customHeight="false" outlineLevel="0" collapsed="false">
      <c r="A2134" s="11" t="s">
        <v>2506</v>
      </c>
      <c r="B2134" s="11" t="s">
        <v>27</v>
      </c>
      <c r="C2134" s="11" t="s">
        <v>72</v>
      </c>
      <c r="D2134" s="11" t="s">
        <v>36</v>
      </c>
      <c r="E2134" s="11" t="s">
        <v>91</v>
      </c>
      <c r="F2134" s="11" t="s">
        <v>82</v>
      </c>
      <c r="G2134" s="21" t="n">
        <v>93.5</v>
      </c>
      <c r="H2134" s="19" t="n">
        <v>0</v>
      </c>
      <c r="I2134" s="21" t="n">
        <v>93.5</v>
      </c>
      <c r="J2134" s="22" t="s">
        <v>80</v>
      </c>
      <c r="K2134" s="11" t="n">
        <v>4</v>
      </c>
      <c r="L2134" s="23" t="n">
        <v>3.7</v>
      </c>
      <c r="M2134" s="24" t="b">
        <f aca="false">FALSE()</f>
        <v>0</v>
      </c>
      <c r="N2134" s="11"/>
      <c r="O2134" s="11" t="str">
        <f aca="false">IF(K2134&lt;=StockP33,"Low",IF(K2134&lt;=StockP67,"Moderate","High"))</f>
        <v>Low</v>
      </c>
      <c r="P2134" s="11" t="str">
        <f aca="false">IF(H2134=0,"Low",IF(H2134&lt;=MarkdownP75,"Moderate","High"))</f>
        <v>Low</v>
      </c>
      <c r="Q2134" s="11" t="str">
        <f aca="false">IF(ISBLANK(L2134),"Unknown",IF(L2134&gt;=4,"Good",IF(L2134&lt;=2,"Poor","Neutral")))</f>
        <v>Neutral</v>
      </c>
      <c r="R2134" s="11" t="str">
        <f aca="false">IF(AND(O2134="Low",P2134="Low",Q2134="Good"),"BUY / PRIORITIZE",IF(AND(O2134="High",P2134="High",OR(Q2134="Poor",M2134=TRUE())),"HOLD / REVIEW","MONITOR"))</f>
        <v>MONITOR</v>
      </c>
      <c r="S2134" s="11" t="n">
        <f aca="false">K2134+(ROW()/10000000)</f>
        <v>4.0002134</v>
      </c>
    </row>
    <row r="2135" customFormat="false" ht="15" hidden="false" customHeight="false" outlineLevel="0" collapsed="false">
      <c r="A2135" s="11" t="s">
        <v>2507</v>
      </c>
      <c r="B2135" s="11" t="s">
        <v>8</v>
      </c>
      <c r="C2135" s="11" t="s">
        <v>107</v>
      </c>
      <c r="D2135" s="11" t="s">
        <v>37</v>
      </c>
      <c r="E2135" s="11"/>
      <c r="F2135" s="11" t="s">
        <v>82</v>
      </c>
      <c r="G2135" s="21" t="n">
        <v>41.72</v>
      </c>
      <c r="H2135" s="19" t="n">
        <v>9.5</v>
      </c>
      <c r="I2135" s="21" t="n">
        <v>37.76</v>
      </c>
      <c r="J2135" s="22" t="s">
        <v>80</v>
      </c>
      <c r="K2135" s="11" t="n">
        <v>9</v>
      </c>
      <c r="L2135" s="23" t="n">
        <v>3.9</v>
      </c>
      <c r="M2135" s="24" t="b">
        <f aca="false">FALSE()</f>
        <v>0</v>
      </c>
      <c r="N2135" s="11"/>
      <c r="O2135" s="11" t="str">
        <f aca="false">IF(K2135&lt;=StockP33,"Low",IF(K2135&lt;=StockP67,"Moderate","High"))</f>
        <v>Low</v>
      </c>
      <c r="P2135" s="11" t="str">
        <f aca="false">IF(H2135=0,"Low",IF(H2135&lt;=MarkdownP75,"Moderate","High"))</f>
        <v>Moderate</v>
      </c>
      <c r="Q2135" s="11" t="str">
        <f aca="false">IF(ISBLANK(L2135),"Unknown",IF(L2135&gt;=4,"Good",IF(L2135&lt;=2,"Poor","Neutral")))</f>
        <v>Neutral</v>
      </c>
      <c r="R2135" s="11" t="str">
        <f aca="false">IF(AND(O2135="Low",P2135="Low",Q2135="Good"),"BUY / PRIORITIZE",IF(AND(O2135="High",P2135="High",OR(Q2135="Poor",M2135=TRUE())),"HOLD / REVIEW","MONITOR"))</f>
        <v>MONITOR</v>
      </c>
      <c r="S2135" s="11" t="n">
        <f aca="false">K2135+(ROW()/10000000)</f>
        <v>9.0002135</v>
      </c>
    </row>
    <row r="2136" customFormat="false" ht="15" hidden="false" customHeight="false" outlineLevel="0" collapsed="false">
      <c r="A2136" s="11" t="s">
        <v>2508</v>
      </c>
      <c r="B2136" s="11" t="s">
        <v>8</v>
      </c>
      <c r="C2136" s="11" t="s">
        <v>95</v>
      </c>
      <c r="D2136" s="11" t="s">
        <v>35</v>
      </c>
      <c r="E2136" s="11"/>
      <c r="F2136" s="11" t="s">
        <v>74</v>
      </c>
      <c r="G2136" s="21" t="n">
        <v>74.54</v>
      </c>
      <c r="H2136" s="19" t="n">
        <v>58.1</v>
      </c>
      <c r="I2136" s="21" t="n">
        <v>31.23</v>
      </c>
      <c r="J2136" s="22" t="s">
        <v>80</v>
      </c>
      <c r="K2136" s="11" t="n">
        <v>35</v>
      </c>
      <c r="L2136" s="23" t="n">
        <v>4.8</v>
      </c>
      <c r="M2136" s="24" t="b">
        <f aca="false">FALSE()</f>
        <v>0</v>
      </c>
      <c r="N2136" s="11"/>
      <c r="O2136" s="11" t="str">
        <f aca="false">IF(K2136&lt;=StockP33,"Low",IF(K2136&lt;=StockP67,"Moderate","High"))</f>
        <v>High</v>
      </c>
      <c r="P2136" s="11" t="str">
        <f aca="false">IF(H2136=0,"Low",IF(H2136&lt;=MarkdownP75,"Moderate","High"))</f>
        <v>High</v>
      </c>
      <c r="Q2136" s="11" t="str">
        <f aca="false">IF(ISBLANK(L2136),"Unknown",IF(L2136&gt;=4,"Good",IF(L2136&lt;=2,"Poor","Neutral")))</f>
        <v>Good</v>
      </c>
      <c r="R2136" s="11" t="str">
        <f aca="false">IF(AND(O2136="Low",P2136="Low",Q2136="Good"),"BUY / PRIORITIZE",IF(AND(O2136="High",P2136="High",OR(Q2136="Poor",M2136=TRUE())),"HOLD / REVIEW","MONITOR"))</f>
        <v>MONITOR</v>
      </c>
      <c r="S2136" s="11" t="n">
        <f aca="false">K2136+(ROW()/10000000)</f>
        <v>35.0002136</v>
      </c>
    </row>
    <row r="2137" customFormat="false" ht="15" hidden="false" customHeight="false" outlineLevel="0" collapsed="false">
      <c r="A2137" s="11" t="s">
        <v>2509</v>
      </c>
      <c r="B2137" s="11" t="s">
        <v>27</v>
      </c>
      <c r="C2137" s="11" t="s">
        <v>77</v>
      </c>
      <c r="D2137" s="11" t="s">
        <v>34</v>
      </c>
      <c r="E2137" s="11"/>
      <c r="F2137" s="11" t="s">
        <v>96</v>
      </c>
      <c r="G2137" s="21" t="n">
        <v>85.49</v>
      </c>
      <c r="H2137" s="19" t="n">
        <v>0</v>
      </c>
      <c r="I2137" s="21" t="n">
        <v>85.49</v>
      </c>
      <c r="J2137" s="22" t="s">
        <v>1130</v>
      </c>
      <c r="K2137" s="11" t="n">
        <v>0</v>
      </c>
      <c r="L2137" s="23" t="n">
        <v>3.7</v>
      </c>
      <c r="M2137" s="24" t="b">
        <f aca="false">FALSE()</f>
        <v>0</v>
      </c>
      <c r="N2137" s="11"/>
      <c r="O2137" s="11" t="str">
        <f aca="false">IF(K2137&lt;=StockP33,"Low",IF(K2137&lt;=StockP67,"Moderate","High"))</f>
        <v>Low</v>
      </c>
      <c r="P2137" s="11" t="str">
        <f aca="false">IF(H2137=0,"Low",IF(H2137&lt;=MarkdownP75,"Moderate","High"))</f>
        <v>Low</v>
      </c>
      <c r="Q2137" s="11" t="str">
        <f aca="false">IF(ISBLANK(L2137),"Unknown",IF(L2137&gt;=4,"Good",IF(L2137&lt;=2,"Poor","Neutral")))</f>
        <v>Neutral</v>
      </c>
      <c r="R2137" s="11" t="str">
        <f aca="false">IF(AND(O2137="Low",P2137="Low",Q2137="Good"),"BUY / PRIORITIZE",IF(AND(O2137="High",P2137="High",OR(Q2137="Poor",M2137=TRUE())),"HOLD / REVIEW","MONITOR"))</f>
        <v>MONITOR</v>
      </c>
      <c r="S2137" s="11" t="n">
        <f aca="false">K2137+(ROW()/10000000)</f>
        <v>0.0002137</v>
      </c>
    </row>
    <row r="2138" customFormat="false" ht="15" hidden="false" customHeight="false" outlineLevel="0" collapsed="false">
      <c r="A2138" s="11" t="s">
        <v>2510</v>
      </c>
      <c r="B2138" s="11" t="s">
        <v>27</v>
      </c>
      <c r="C2138" s="11" t="s">
        <v>72</v>
      </c>
      <c r="D2138" s="11" t="s">
        <v>35</v>
      </c>
      <c r="E2138" s="11" t="s">
        <v>113</v>
      </c>
      <c r="F2138" s="11" t="s">
        <v>98</v>
      </c>
      <c r="G2138" s="21" t="n">
        <v>131.05</v>
      </c>
      <c r="H2138" s="19" t="n">
        <v>0</v>
      </c>
      <c r="I2138" s="21" t="n">
        <v>131.05</v>
      </c>
      <c r="J2138" s="22" t="s">
        <v>80</v>
      </c>
      <c r="K2138" s="11" t="n">
        <v>23</v>
      </c>
      <c r="L2138" s="23" t="n">
        <v>4.9</v>
      </c>
      <c r="M2138" s="24" t="b">
        <f aca="false">FALSE()</f>
        <v>0</v>
      </c>
      <c r="N2138" s="11"/>
      <c r="O2138" s="11" t="str">
        <f aca="false">IF(K2138&lt;=StockP33,"Low",IF(K2138&lt;=StockP67,"Moderate","High"))</f>
        <v>Moderate</v>
      </c>
      <c r="P2138" s="11" t="str">
        <f aca="false">IF(H2138=0,"Low",IF(H2138&lt;=MarkdownP75,"Moderate","High"))</f>
        <v>Low</v>
      </c>
      <c r="Q2138" s="11" t="str">
        <f aca="false">IF(ISBLANK(L2138),"Unknown",IF(L2138&gt;=4,"Good",IF(L2138&lt;=2,"Poor","Neutral")))</f>
        <v>Good</v>
      </c>
      <c r="R2138" s="11" t="str">
        <f aca="false">IF(AND(O2138="Low",P2138="Low",Q2138="Good"),"BUY / PRIORITIZE",IF(AND(O2138="High",P2138="High",OR(Q2138="Poor",M2138=TRUE())),"HOLD / REVIEW","MONITOR"))</f>
        <v>MONITOR</v>
      </c>
      <c r="S2138" s="11" t="n">
        <f aca="false">K2138+(ROW()/10000000)</f>
        <v>23.0002138</v>
      </c>
    </row>
    <row r="2139" customFormat="false" ht="15" hidden="false" customHeight="false" outlineLevel="0" collapsed="false">
      <c r="A2139" s="11" t="s">
        <v>2511</v>
      </c>
      <c r="B2139" s="11" t="s">
        <v>26</v>
      </c>
      <c r="C2139" s="11" t="s">
        <v>130</v>
      </c>
      <c r="D2139" s="11" t="s">
        <v>35</v>
      </c>
      <c r="E2139" s="11" t="s">
        <v>73</v>
      </c>
      <c r="F2139" s="11" t="s">
        <v>79</v>
      </c>
      <c r="G2139" s="21" t="n">
        <v>63.5</v>
      </c>
      <c r="H2139" s="19" t="n">
        <v>0</v>
      </c>
      <c r="I2139" s="21" t="n">
        <v>63.5</v>
      </c>
      <c r="J2139" s="22" t="s">
        <v>80</v>
      </c>
      <c r="K2139" s="11" t="n">
        <v>17</v>
      </c>
      <c r="L2139" s="23" t="n">
        <v>2.6</v>
      </c>
      <c r="M2139" s="24" t="b">
        <f aca="false">FALSE()</f>
        <v>0</v>
      </c>
      <c r="N2139" s="11"/>
      <c r="O2139" s="11" t="str">
        <f aca="false">IF(K2139&lt;=StockP33,"Low",IF(K2139&lt;=StockP67,"Moderate","High"))</f>
        <v>Low</v>
      </c>
      <c r="P2139" s="11" t="str">
        <f aca="false">IF(H2139=0,"Low",IF(H2139&lt;=MarkdownP75,"Moderate","High"))</f>
        <v>Low</v>
      </c>
      <c r="Q2139" s="11" t="str">
        <f aca="false">IF(ISBLANK(L2139),"Unknown",IF(L2139&gt;=4,"Good",IF(L2139&lt;=2,"Poor","Neutral")))</f>
        <v>Neutral</v>
      </c>
      <c r="R2139" s="11" t="str">
        <f aca="false">IF(AND(O2139="Low",P2139="Low",Q2139="Good"),"BUY / PRIORITIZE",IF(AND(O2139="High",P2139="High",OR(Q2139="Poor",M2139=TRUE())),"HOLD / REVIEW","MONITOR"))</f>
        <v>MONITOR</v>
      </c>
      <c r="S2139" s="11" t="n">
        <f aca="false">K2139+(ROW()/10000000)</f>
        <v>17.0002139</v>
      </c>
    </row>
    <row r="2140" customFormat="false" ht="15" hidden="false" customHeight="false" outlineLevel="0" collapsed="false">
      <c r="A2140" s="11" t="s">
        <v>2512</v>
      </c>
      <c r="B2140" s="11" t="s">
        <v>30</v>
      </c>
      <c r="C2140" s="11" t="s">
        <v>77</v>
      </c>
      <c r="D2140" s="11" t="s">
        <v>36</v>
      </c>
      <c r="E2140" s="11" t="s">
        <v>113</v>
      </c>
      <c r="F2140" s="11" t="s">
        <v>111</v>
      </c>
      <c r="G2140" s="21" t="n">
        <v>75.54</v>
      </c>
      <c r="H2140" s="19" t="n">
        <v>0</v>
      </c>
      <c r="I2140" s="21" t="n">
        <v>75.54</v>
      </c>
      <c r="J2140" s="22" t="s">
        <v>80</v>
      </c>
      <c r="K2140" s="11" t="n">
        <v>7</v>
      </c>
      <c r="L2140" s="23" t="n">
        <v>3.3</v>
      </c>
      <c r="M2140" s="24" t="b">
        <f aca="false">FALSE()</f>
        <v>0</v>
      </c>
      <c r="N2140" s="11"/>
      <c r="O2140" s="11" t="str">
        <f aca="false">IF(K2140&lt;=StockP33,"Low",IF(K2140&lt;=StockP67,"Moderate","High"))</f>
        <v>Low</v>
      </c>
      <c r="P2140" s="11" t="str">
        <f aca="false">IF(H2140=0,"Low",IF(H2140&lt;=MarkdownP75,"Moderate","High"))</f>
        <v>Low</v>
      </c>
      <c r="Q2140" s="11" t="str">
        <f aca="false">IF(ISBLANK(L2140),"Unknown",IF(L2140&gt;=4,"Good",IF(L2140&lt;=2,"Poor","Neutral")))</f>
        <v>Neutral</v>
      </c>
      <c r="R2140" s="11" t="str">
        <f aca="false">IF(AND(O2140="Low",P2140="Low",Q2140="Good"),"BUY / PRIORITIZE",IF(AND(O2140="High",P2140="High",OR(Q2140="Poor",M2140=TRUE())),"HOLD / REVIEW","MONITOR"))</f>
        <v>MONITOR</v>
      </c>
      <c r="S2140" s="11" t="n">
        <f aca="false">K2140+(ROW()/10000000)</f>
        <v>7.000214</v>
      </c>
    </row>
    <row r="2141" customFormat="false" ht="15" hidden="false" customHeight="false" outlineLevel="0" collapsed="false">
      <c r="A2141" s="11" t="s">
        <v>2513</v>
      </c>
      <c r="B2141" s="11" t="s">
        <v>30</v>
      </c>
      <c r="C2141" s="11" t="s">
        <v>95</v>
      </c>
      <c r="D2141" s="11" t="s">
        <v>36</v>
      </c>
      <c r="E2141" s="11" t="s">
        <v>102</v>
      </c>
      <c r="F2141" s="11" t="s">
        <v>111</v>
      </c>
      <c r="G2141" s="21" t="n">
        <v>110.77</v>
      </c>
      <c r="H2141" s="19" t="n">
        <v>0</v>
      </c>
      <c r="I2141" s="21" t="n">
        <v>110.77</v>
      </c>
      <c r="J2141" s="22" t="s">
        <v>80</v>
      </c>
      <c r="K2141" s="11" t="n">
        <v>48</v>
      </c>
      <c r="L2141" s="23" t="n">
        <v>2.6</v>
      </c>
      <c r="M2141" s="24" t="b">
        <f aca="false">FALSE()</f>
        <v>0</v>
      </c>
      <c r="N2141" s="11"/>
      <c r="O2141" s="11" t="str">
        <f aca="false">IF(K2141&lt;=StockP33,"Low",IF(K2141&lt;=StockP67,"Moderate","High"))</f>
        <v>High</v>
      </c>
      <c r="P2141" s="11" t="str">
        <f aca="false">IF(H2141=0,"Low",IF(H2141&lt;=MarkdownP75,"Moderate","High"))</f>
        <v>Low</v>
      </c>
      <c r="Q2141" s="11" t="str">
        <f aca="false">IF(ISBLANK(L2141),"Unknown",IF(L2141&gt;=4,"Good",IF(L2141&lt;=2,"Poor","Neutral")))</f>
        <v>Neutral</v>
      </c>
      <c r="R2141" s="11" t="str">
        <f aca="false">IF(AND(O2141="Low",P2141="Low",Q2141="Good"),"BUY / PRIORITIZE",IF(AND(O2141="High",P2141="High",OR(Q2141="Poor",M2141=TRUE())),"HOLD / REVIEW","MONITOR"))</f>
        <v>MONITOR</v>
      </c>
      <c r="S2141" s="11" t="n">
        <f aca="false">K2141+(ROW()/10000000)</f>
        <v>48.0002141</v>
      </c>
    </row>
    <row r="2142" customFormat="false" ht="15" hidden="false" customHeight="false" outlineLevel="0" collapsed="false">
      <c r="A2142" s="11" t="s">
        <v>2514</v>
      </c>
      <c r="B2142" s="11" t="s">
        <v>29</v>
      </c>
      <c r="C2142" s="11" t="s">
        <v>95</v>
      </c>
      <c r="D2142" s="11" t="s">
        <v>35</v>
      </c>
      <c r="E2142" s="11" t="s">
        <v>113</v>
      </c>
      <c r="F2142" s="11" t="s">
        <v>88</v>
      </c>
      <c r="G2142" s="21" t="n">
        <v>190.71</v>
      </c>
      <c r="H2142" s="19" t="n">
        <v>6.3</v>
      </c>
      <c r="I2142" s="21" t="n">
        <v>178.7</v>
      </c>
      <c r="J2142" s="22" t="s">
        <v>80</v>
      </c>
      <c r="K2142" s="11" t="n">
        <v>1</v>
      </c>
      <c r="L2142" s="23" t="n">
        <v>2</v>
      </c>
      <c r="M2142" s="24" t="b">
        <f aca="false">FALSE()</f>
        <v>0</v>
      </c>
      <c r="N2142" s="11"/>
      <c r="O2142" s="11" t="str">
        <f aca="false">IF(K2142&lt;=StockP33,"Low",IF(K2142&lt;=StockP67,"Moderate","High"))</f>
        <v>Low</v>
      </c>
      <c r="P2142" s="11" t="str">
        <f aca="false">IF(H2142=0,"Low",IF(H2142&lt;=MarkdownP75,"Moderate","High"))</f>
        <v>Moderate</v>
      </c>
      <c r="Q2142" s="11" t="str">
        <f aca="false">IF(ISBLANK(L2142),"Unknown",IF(L2142&gt;=4,"Good",IF(L2142&lt;=2,"Poor","Neutral")))</f>
        <v>Poor</v>
      </c>
      <c r="R2142" s="11" t="str">
        <f aca="false">IF(AND(O2142="Low",P2142="Low",Q2142="Good"),"BUY / PRIORITIZE",IF(AND(O2142="High",P2142="High",OR(Q2142="Poor",M2142=TRUE())),"HOLD / REVIEW","MONITOR"))</f>
        <v>MONITOR</v>
      </c>
      <c r="S2142" s="11" t="n">
        <f aca="false">K2142+(ROW()/10000000)</f>
        <v>1.0002142</v>
      </c>
    </row>
    <row r="2143" customFormat="false" ht="15" hidden="false" customHeight="false" outlineLevel="0" collapsed="false">
      <c r="A2143" s="11" t="s">
        <v>2515</v>
      </c>
      <c r="B2143" s="11" t="s">
        <v>30</v>
      </c>
      <c r="C2143" s="11" t="s">
        <v>95</v>
      </c>
      <c r="D2143" s="11" t="s">
        <v>36</v>
      </c>
      <c r="E2143" s="11" t="s">
        <v>78</v>
      </c>
      <c r="F2143" s="11" t="s">
        <v>88</v>
      </c>
      <c r="G2143" s="21" t="n">
        <v>100.56</v>
      </c>
      <c r="H2143" s="19" t="n">
        <v>17.3</v>
      </c>
      <c r="I2143" s="21" t="n">
        <v>83.16</v>
      </c>
      <c r="J2143" s="22" t="s">
        <v>80</v>
      </c>
      <c r="K2143" s="11" t="n">
        <v>21</v>
      </c>
      <c r="L2143" s="23" t="n">
        <v>3.6</v>
      </c>
      <c r="M2143" s="24" t="b">
        <f aca="false">FALSE()</f>
        <v>0</v>
      </c>
      <c r="N2143" s="11"/>
      <c r="O2143" s="11" t="str">
        <f aca="false">IF(K2143&lt;=StockP33,"Low",IF(K2143&lt;=StockP67,"Moderate","High"))</f>
        <v>Moderate</v>
      </c>
      <c r="P2143" s="11" t="str">
        <f aca="false">IF(H2143=0,"Low",IF(H2143&lt;=MarkdownP75,"Moderate","High"))</f>
        <v>Moderate</v>
      </c>
      <c r="Q2143" s="11" t="str">
        <f aca="false">IF(ISBLANK(L2143),"Unknown",IF(L2143&gt;=4,"Good",IF(L2143&lt;=2,"Poor","Neutral")))</f>
        <v>Neutral</v>
      </c>
      <c r="R2143" s="11" t="str">
        <f aca="false">IF(AND(O2143="Low",P2143="Low",Q2143="Good"),"BUY / PRIORITIZE",IF(AND(O2143="High",P2143="High",OR(Q2143="Poor",M2143=TRUE())),"HOLD / REVIEW","MONITOR"))</f>
        <v>MONITOR</v>
      </c>
      <c r="S2143" s="11" t="n">
        <f aca="false">K2143+(ROW()/10000000)</f>
        <v>21.0002143</v>
      </c>
    </row>
    <row r="2144" customFormat="false" ht="15" hidden="false" customHeight="false" outlineLevel="0" collapsed="false">
      <c r="A2144" s="11" t="s">
        <v>2516</v>
      </c>
      <c r="B2144" s="11" t="s">
        <v>28</v>
      </c>
      <c r="C2144" s="11" t="s">
        <v>130</v>
      </c>
      <c r="D2144" s="11" t="s">
        <v>35</v>
      </c>
      <c r="E2144" s="11" t="s">
        <v>102</v>
      </c>
      <c r="F2144" s="11" t="s">
        <v>79</v>
      </c>
      <c r="G2144" s="21" t="n">
        <v>221.59</v>
      </c>
      <c r="H2144" s="19" t="n">
        <v>8.6</v>
      </c>
      <c r="I2144" s="21" t="n">
        <v>202.53</v>
      </c>
      <c r="J2144" s="22" t="s">
        <v>80</v>
      </c>
      <c r="K2144" s="11" t="n">
        <v>5</v>
      </c>
      <c r="L2144" s="23"/>
      <c r="M2144" s="24" t="b">
        <f aca="false">FALSE()</f>
        <v>0</v>
      </c>
      <c r="N2144" s="11"/>
      <c r="O2144" s="11" t="str">
        <f aca="false">IF(K2144&lt;=StockP33,"Low",IF(K2144&lt;=StockP67,"Moderate","High"))</f>
        <v>Low</v>
      </c>
      <c r="P2144" s="11" t="str">
        <f aca="false">IF(H2144=0,"Low",IF(H2144&lt;=MarkdownP75,"Moderate","High"))</f>
        <v>Moderate</v>
      </c>
      <c r="Q2144" s="11" t="str">
        <f aca="false">IF(ISBLANK(L2144),"Unknown",IF(L2144&gt;=4,"Good",IF(L2144&lt;=2,"Poor","Neutral")))</f>
        <v>Unknown</v>
      </c>
      <c r="R2144" s="11" t="str">
        <f aca="false">IF(AND(O2144="Low",P2144="Low",Q2144="Good"),"BUY / PRIORITIZE",IF(AND(O2144="High",P2144="High",OR(Q2144="Poor",M2144=TRUE())),"HOLD / REVIEW","MONITOR"))</f>
        <v>MONITOR</v>
      </c>
      <c r="S2144" s="11" t="n">
        <f aca="false">K2144+(ROW()/10000000)</f>
        <v>5.0002144</v>
      </c>
    </row>
    <row r="2145" customFormat="false" ht="15" hidden="false" customHeight="false" outlineLevel="0" collapsed="false">
      <c r="A2145" s="11" t="s">
        <v>2517</v>
      </c>
      <c r="B2145" s="11" t="s">
        <v>26</v>
      </c>
      <c r="C2145" s="11" t="s">
        <v>116</v>
      </c>
      <c r="D2145" s="11" t="s">
        <v>35</v>
      </c>
      <c r="E2145" s="11" t="s">
        <v>78</v>
      </c>
      <c r="F2145" s="11" t="s">
        <v>111</v>
      </c>
      <c r="G2145" s="21" t="n">
        <v>55.21</v>
      </c>
      <c r="H2145" s="19" t="n">
        <v>0</v>
      </c>
      <c r="I2145" s="21" t="n">
        <v>55.21</v>
      </c>
      <c r="J2145" s="22" t="s">
        <v>80</v>
      </c>
      <c r="K2145" s="11" t="n">
        <v>21</v>
      </c>
      <c r="L2145" s="23" t="n">
        <v>1.8</v>
      </c>
      <c r="M2145" s="24" t="b">
        <f aca="false">TRUE()</f>
        <v>1</v>
      </c>
      <c r="N2145" s="11" t="s">
        <v>191</v>
      </c>
      <c r="O2145" s="11" t="str">
        <f aca="false">IF(K2145&lt;=StockP33,"Low",IF(K2145&lt;=StockP67,"Moderate","High"))</f>
        <v>Moderate</v>
      </c>
      <c r="P2145" s="11" t="str">
        <f aca="false">IF(H2145=0,"Low",IF(H2145&lt;=MarkdownP75,"Moderate","High"))</f>
        <v>Low</v>
      </c>
      <c r="Q2145" s="11" t="str">
        <f aca="false">IF(ISBLANK(L2145),"Unknown",IF(L2145&gt;=4,"Good",IF(L2145&lt;=2,"Poor","Neutral")))</f>
        <v>Poor</v>
      </c>
      <c r="R2145" s="11" t="str">
        <f aca="false">IF(AND(O2145="Low",P2145="Low",Q2145="Good"),"BUY / PRIORITIZE",IF(AND(O2145="High",P2145="High",OR(Q2145="Poor",M2145=TRUE())),"HOLD / REVIEW","MONITOR"))</f>
        <v>MONITOR</v>
      </c>
      <c r="S2145" s="11" t="n">
        <f aca="false">K2145+(ROW()/10000000)</f>
        <v>21.0002145</v>
      </c>
    </row>
    <row r="2146" customFormat="false" ht="15" hidden="false" customHeight="false" outlineLevel="0" collapsed="false">
      <c r="A2146" s="11" t="s">
        <v>2518</v>
      </c>
      <c r="B2146" s="11" t="s">
        <v>8</v>
      </c>
      <c r="C2146" s="11" t="s">
        <v>77</v>
      </c>
      <c r="D2146" s="11" t="s">
        <v>36</v>
      </c>
      <c r="E2146" s="11"/>
      <c r="F2146" s="11" t="s">
        <v>82</v>
      </c>
      <c r="G2146" s="21" t="n">
        <v>17.87</v>
      </c>
      <c r="H2146" s="19" t="n">
        <v>0</v>
      </c>
      <c r="I2146" s="21" t="n">
        <v>17.87</v>
      </c>
      <c r="J2146" s="22" t="s">
        <v>80</v>
      </c>
      <c r="K2146" s="11" t="n">
        <v>47</v>
      </c>
      <c r="L2146" s="23"/>
      <c r="M2146" s="24" t="b">
        <f aca="false">FALSE()</f>
        <v>0</v>
      </c>
      <c r="N2146" s="11"/>
      <c r="O2146" s="11" t="str">
        <f aca="false">IF(K2146&lt;=StockP33,"Low",IF(K2146&lt;=StockP67,"Moderate","High"))</f>
        <v>High</v>
      </c>
      <c r="P2146" s="11" t="str">
        <f aca="false">IF(H2146=0,"Low",IF(H2146&lt;=MarkdownP75,"Moderate","High"))</f>
        <v>Low</v>
      </c>
      <c r="Q2146" s="11" t="str">
        <f aca="false">IF(ISBLANK(L2146),"Unknown",IF(L2146&gt;=4,"Good",IF(L2146&lt;=2,"Poor","Neutral")))</f>
        <v>Unknown</v>
      </c>
      <c r="R2146" s="11" t="str">
        <f aca="false">IF(AND(O2146="Low",P2146="Low",Q2146="Good"),"BUY / PRIORITIZE",IF(AND(O2146="High",P2146="High",OR(Q2146="Poor",M2146=TRUE())),"HOLD / REVIEW","MONITOR"))</f>
        <v>MONITOR</v>
      </c>
      <c r="S2146" s="11" t="n">
        <f aca="false">K2146+(ROW()/10000000)</f>
        <v>47.0002146</v>
      </c>
    </row>
    <row r="2147" customFormat="false" ht="15" hidden="false" customHeight="false" outlineLevel="0" collapsed="false">
      <c r="A2147" s="11" t="s">
        <v>2519</v>
      </c>
      <c r="B2147" s="11" t="s">
        <v>26</v>
      </c>
      <c r="C2147" s="11" t="s">
        <v>77</v>
      </c>
      <c r="D2147" s="11" t="s">
        <v>35</v>
      </c>
      <c r="E2147" s="11" t="s">
        <v>110</v>
      </c>
      <c r="F2147" s="11" t="s">
        <v>79</v>
      </c>
      <c r="G2147" s="21" t="n">
        <v>56.57</v>
      </c>
      <c r="H2147" s="19" t="n">
        <v>0</v>
      </c>
      <c r="I2147" s="21" t="n">
        <v>56.57</v>
      </c>
      <c r="J2147" s="22" t="s">
        <v>80</v>
      </c>
      <c r="K2147" s="11" t="n">
        <v>43</v>
      </c>
      <c r="L2147" s="23" t="n">
        <v>4.4</v>
      </c>
      <c r="M2147" s="24" t="b">
        <f aca="false">TRUE()</f>
        <v>1</v>
      </c>
      <c r="N2147" s="11" t="s">
        <v>128</v>
      </c>
      <c r="O2147" s="11" t="str">
        <f aca="false">IF(K2147&lt;=StockP33,"Low",IF(K2147&lt;=StockP67,"Moderate","High"))</f>
        <v>High</v>
      </c>
      <c r="P2147" s="11" t="str">
        <f aca="false">IF(H2147=0,"Low",IF(H2147&lt;=MarkdownP75,"Moderate","High"))</f>
        <v>Low</v>
      </c>
      <c r="Q2147" s="11" t="str">
        <f aca="false">IF(ISBLANK(L2147),"Unknown",IF(L2147&gt;=4,"Good",IF(L2147&lt;=2,"Poor","Neutral")))</f>
        <v>Good</v>
      </c>
      <c r="R2147" s="11" t="str">
        <f aca="false">IF(AND(O2147="Low",P2147="Low",Q2147="Good"),"BUY / PRIORITIZE",IF(AND(O2147="High",P2147="High",OR(Q2147="Poor",M2147=TRUE())),"HOLD / REVIEW","MONITOR"))</f>
        <v>MONITOR</v>
      </c>
      <c r="S2147" s="11" t="n">
        <f aca="false">K2147+(ROW()/10000000)</f>
        <v>43.0002147</v>
      </c>
    </row>
    <row r="2148" customFormat="false" ht="15" hidden="false" customHeight="false" outlineLevel="0" collapsed="false">
      <c r="A2148" s="11" t="s">
        <v>2520</v>
      </c>
      <c r="B2148" s="11" t="s">
        <v>8</v>
      </c>
      <c r="C2148" s="11" t="s">
        <v>116</v>
      </c>
      <c r="D2148" s="11" t="s">
        <v>34</v>
      </c>
      <c r="E2148" s="11"/>
      <c r="F2148" s="11" t="s">
        <v>120</v>
      </c>
      <c r="G2148" s="21" t="n">
        <v>47.74</v>
      </c>
      <c r="H2148" s="19" t="n">
        <v>0</v>
      </c>
      <c r="I2148" s="21" t="n">
        <v>47.74</v>
      </c>
      <c r="J2148" s="22" t="s">
        <v>429</v>
      </c>
      <c r="K2148" s="11" t="n">
        <v>17</v>
      </c>
      <c r="L2148" s="23" t="n">
        <v>2.9</v>
      </c>
      <c r="M2148" s="24" t="b">
        <f aca="false">FALSE()</f>
        <v>0</v>
      </c>
      <c r="N2148" s="11"/>
      <c r="O2148" s="11" t="str">
        <f aca="false">IF(K2148&lt;=StockP33,"Low",IF(K2148&lt;=StockP67,"Moderate","High"))</f>
        <v>Low</v>
      </c>
      <c r="P2148" s="11" t="str">
        <f aca="false">IF(H2148=0,"Low",IF(H2148&lt;=MarkdownP75,"Moderate","High"))</f>
        <v>Low</v>
      </c>
      <c r="Q2148" s="11" t="str">
        <f aca="false">IF(ISBLANK(L2148),"Unknown",IF(L2148&gt;=4,"Good",IF(L2148&lt;=2,"Poor","Neutral")))</f>
        <v>Neutral</v>
      </c>
      <c r="R2148" s="11" t="str">
        <f aca="false">IF(AND(O2148="Low",P2148="Low",Q2148="Good"),"BUY / PRIORITIZE",IF(AND(O2148="High",P2148="High",OR(Q2148="Poor",M2148=TRUE())),"HOLD / REVIEW","MONITOR"))</f>
        <v>MONITOR</v>
      </c>
      <c r="S2148" s="11" t="n">
        <f aca="false">K2148+(ROW()/10000000)</f>
        <v>17.0002148</v>
      </c>
    </row>
    <row r="2149" customFormat="false" ht="15" hidden="false" customHeight="false" outlineLevel="0" collapsed="false">
      <c r="A2149" s="11" t="s">
        <v>2521</v>
      </c>
      <c r="B2149" s="11" t="s">
        <v>27</v>
      </c>
      <c r="C2149" s="11" t="s">
        <v>86</v>
      </c>
      <c r="D2149" s="11" t="s">
        <v>36</v>
      </c>
      <c r="E2149" s="11" t="s">
        <v>113</v>
      </c>
      <c r="F2149" s="11" t="s">
        <v>118</v>
      </c>
      <c r="G2149" s="21" t="n">
        <v>152.88</v>
      </c>
      <c r="H2149" s="19" t="n">
        <v>8.9</v>
      </c>
      <c r="I2149" s="21" t="n">
        <v>139.27</v>
      </c>
      <c r="J2149" s="22" t="s">
        <v>80</v>
      </c>
      <c r="K2149" s="11" t="n">
        <v>19</v>
      </c>
      <c r="L2149" s="23" t="n">
        <v>2.2</v>
      </c>
      <c r="M2149" s="24" t="b">
        <f aca="false">FALSE()</f>
        <v>0</v>
      </c>
      <c r="N2149" s="11"/>
      <c r="O2149" s="11" t="str">
        <f aca="false">IF(K2149&lt;=StockP33,"Low",IF(K2149&lt;=StockP67,"Moderate","High"))</f>
        <v>Moderate</v>
      </c>
      <c r="P2149" s="11" t="str">
        <f aca="false">IF(H2149=0,"Low",IF(H2149&lt;=MarkdownP75,"Moderate","High"))</f>
        <v>Moderate</v>
      </c>
      <c r="Q2149" s="11" t="str">
        <f aca="false">IF(ISBLANK(L2149),"Unknown",IF(L2149&gt;=4,"Good",IF(L2149&lt;=2,"Poor","Neutral")))</f>
        <v>Neutral</v>
      </c>
      <c r="R2149" s="11" t="str">
        <f aca="false">IF(AND(O2149="Low",P2149="Low",Q2149="Good"),"BUY / PRIORITIZE",IF(AND(O2149="High",P2149="High",OR(Q2149="Poor",M2149=TRUE())),"HOLD / REVIEW","MONITOR"))</f>
        <v>MONITOR</v>
      </c>
      <c r="S2149" s="11" t="n">
        <f aca="false">K2149+(ROW()/10000000)</f>
        <v>19.0002149</v>
      </c>
    </row>
    <row r="2150" customFormat="false" ht="15" hidden="false" customHeight="false" outlineLevel="0" collapsed="false">
      <c r="A2150" s="11" t="s">
        <v>2522</v>
      </c>
      <c r="B2150" s="11" t="s">
        <v>28</v>
      </c>
      <c r="C2150" s="11" t="s">
        <v>86</v>
      </c>
      <c r="D2150" s="11" t="s">
        <v>37</v>
      </c>
      <c r="E2150" s="11" t="s">
        <v>113</v>
      </c>
      <c r="F2150" s="11" t="s">
        <v>111</v>
      </c>
      <c r="G2150" s="21" t="n">
        <v>199.61</v>
      </c>
      <c r="H2150" s="19" t="n">
        <v>37.7</v>
      </c>
      <c r="I2150" s="21" t="n">
        <v>124.36</v>
      </c>
      <c r="J2150" s="22" t="s">
        <v>80</v>
      </c>
      <c r="K2150" s="11" t="n">
        <v>6</v>
      </c>
      <c r="L2150" s="23"/>
      <c r="M2150" s="24" t="b">
        <f aca="false">FALSE()</f>
        <v>0</v>
      </c>
      <c r="N2150" s="11"/>
      <c r="O2150" s="11" t="str">
        <f aca="false">IF(K2150&lt;=StockP33,"Low",IF(K2150&lt;=StockP67,"Moderate","High"))</f>
        <v>Low</v>
      </c>
      <c r="P2150" s="11" t="str">
        <f aca="false">IF(H2150=0,"Low",IF(H2150&lt;=MarkdownP75,"Moderate","High"))</f>
        <v>High</v>
      </c>
      <c r="Q2150" s="11" t="str">
        <f aca="false">IF(ISBLANK(L2150),"Unknown",IF(L2150&gt;=4,"Good",IF(L2150&lt;=2,"Poor","Neutral")))</f>
        <v>Unknown</v>
      </c>
      <c r="R2150" s="11" t="str">
        <f aca="false">IF(AND(O2150="Low",P2150="Low",Q2150="Good"),"BUY / PRIORITIZE",IF(AND(O2150="High",P2150="High",OR(Q2150="Poor",M2150=TRUE())),"HOLD / REVIEW","MONITOR"))</f>
        <v>MONITOR</v>
      </c>
      <c r="S2150" s="11" t="n">
        <f aca="false">K2150+(ROW()/10000000)</f>
        <v>6.000215</v>
      </c>
    </row>
    <row r="2151" customFormat="false" ht="15" hidden="false" customHeight="false" outlineLevel="0" collapsed="false">
      <c r="A2151" s="11" t="s">
        <v>2523</v>
      </c>
      <c r="B2151" s="11" t="s">
        <v>8</v>
      </c>
      <c r="C2151" s="11" t="s">
        <v>116</v>
      </c>
      <c r="D2151" s="11" t="s">
        <v>35</v>
      </c>
      <c r="E2151" s="11"/>
      <c r="F2151" s="11" t="s">
        <v>92</v>
      </c>
      <c r="G2151" s="21" t="n">
        <v>57.25</v>
      </c>
      <c r="H2151" s="19" t="n">
        <v>0</v>
      </c>
      <c r="I2151" s="21" t="n">
        <v>57.25</v>
      </c>
      <c r="J2151" s="22" t="s">
        <v>80</v>
      </c>
      <c r="K2151" s="11" t="n">
        <v>22</v>
      </c>
      <c r="L2151" s="23" t="n">
        <v>5</v>
      </c>
      <c r="M2151" s="24" t="b">
        <f aca="false">FALSE()</f>
        <v>0</v>
      </c>
      <c r="N2151" s="11"/>
      <c r="O2151" s="11" t="str">
        <f aca="false">IF(K2151&lt;=StockP33,"Low",IF(K2151&lt;=StockP67,"Moderate","High"))</f>
        <v>Moderate</v>
      </c>
      <c r="P2151" s="11" t="str">
        <f aca="false">IF(H2151=0,"Low",IF(H2151&lt;=MarkdownP75,"Moderate","High"))</f>
        <v>Low</v>
      </c>
      <c r="Q2151" s="11" t="str">
        <f aca="false">IF(ISBLANK(L2151),"Unknown",IF(L2151&gt;=4,"Good",IF(L2151&lt;=2,"Poor","Neutral")))</f>
        <v>Good</v>
      </c>
      <c r="R2151" s="11" t="str">
        <f aca="false">IF(AND(O2151="Low",P2151="Low",Q2151="Good"),"BUY / PRIORITIZE",IF(AND(O2151="High",P2151="High",OR(Q2151="Poor",M2151=TRUE())),"HOLD / REVIEW","MONITOR"))</f>
        <v>MONITOR</v>
      </c>
      <c r="S2151" s="11" t="n">
        <f aca="false">K2151+(ROW()/10000000)</f>
        <v>22.0002151</v>
      </c>
    </row>
    <row r="2152" customFormat="false" ht="15" hidden="false" customHeight="false" outlineLevel="0" collapsed="false">
      <c r="A2152" s="11" t="s">
        <v>2524</v>
      </c>
      <c r="B2152" s="11" t="s">
        <v>27</v>
      </c>
      <c r="C2152" s="11" t="s">
        <v>101</v>
      </c>
      <c r="D2152" s="11" t="s">
        <v>36</v>
      </c>
      <c r="E2152" s="11" t="s">
        <v>73</v>
      </c>
      <c r="F2152" s="11" t="s">
        <v>96</v>
      </c>
      <c r="G2152" s="21" t="n">
        <v>134.41</v>
      </c>
      <c r="H2152" s="19" t="n">
        <v>55.3</v>
      </c>
      <c r="I2152" s="21" t="n">
        <v>60.08</v>
      </c>
      <c r="J2152" s="22" t="s">
        <v>80</v>
      </c>
      <c r="K2152" s="11" t="n">
        <v>12</v>
      </c>
      <c r="L2152" s="23" t="n">
        <v>3.2</v>
      </c>
      <c r="M2152" s="24" t="b">
        <f aca="false">FALSE()</f>
        <v>0</v>
      </c>
      <c r="N2152" s="11"/>
      <c r="O2152" s="11" t="str">
        <f aca="false">IF(K2152&lt;=StockP33,"Low",IF(K2152&lt;=StockP67,"Moderate","High"))</f>
        <v>Low</v>
      </c>
      <c r="P2152" s="11" t="str">
        <f aca="false">IF(H2152=0,"Low",IF(H2152&lt;=MarkdownP75,"Moderate","High"))</f>
        <v>High</v>
      </c>
      <c r="Q2152" s="11" t="str">
        <f aca="false">IF(ISBLANK(L2152),"Unknown",IF(L2152&gt;=4,"Good",IF(L2152&lt;=2,"Poor","Neutral")))</f>
        <v>Neutral</v>
      </c>
      <c r="R2152" s="11" t="str">
        <f aca="false">IF(AND(O2152="Low",P2152="Low",Q2152="Good"),"BUY / PRIORITIZE",IF(AND(O2152="High",P2152="High",OR(Q2152="Poor",M2152=TRUE())),"HOLD / REVIEW","MONITOR"))</f>
        <v>MONITOR</v>
      </c>
      <c r="S2152" s="11" t="n">
        <f aca="false">K2152+(ROW()/10000000)</f>
        <v>12.0002152</v>
      </c>
    </row>
    <row r="2153" customFormat="false" ht="15" hidden="false" customHeight="false" outlineLevel="0" collapsed="false">
      <c r="A2153" s="11" t="s">
        <v>2525</v>
      </c>
      <c r="B2153" s="11" t="s">
        <v>26</v>
      </c>
      <c r="C2153" s="11" t="s">
        <v>107</v>
      </c>
      <c r="D2153" s="11" t="s">
        <v>36</v>
      </c>
      <c r="E2153" s="11" t="s">
        <v>91</v>
      </c>
      <c r="F2153" s="11" t="s">
        <v>124</v>
      </c>
      <c r="G2153" s="21" t="n">
        <v>111.43</v>
      </c>
      <c r="H2153" s="19" t="n">
        <v>43.5</v>
      </c>
      <c r="I2153" s="21" t="n">
        <v>62.96</v>
      </c>
      <c r="J2153" s="22" t="s">
        <v>80</v>
      </c>
      <c r="K2153" s="11" t="n">
        <v>22</v>
      </c>
      <c r="L2153" s="23" t="n">
        <v>4.8</v>
      </c>
      <c r="M2153" s="24" t="b">
        <f aca="false">FALSE()</f>
        <v>0</v>
      </c>
      <c r="N2153" s="11"/>
      <c r="O2153" s="11" t="str">
        <f aca="false">IF(K2153&lt;=StockP33,"Low",IF(K2153&lt;=StockP67,"Moderate","High"))</f>
        <v>Moderate</v>
      </c>
      <c r="P2153" s="11" t="str">
        <f aca="false">IF(H2153=0,"Low",IF(H2153&lt;=MarkdownP75,"Moderate","High"))</f>
        <v>High</v>
      </c>
      <c r="Q2153" s="11" t="str">
        <f aca="false">IF(ISBLANK(L2153),"Unknown",IF(L2153&gt;=4,"Good",IF(L2153&lt;=2,"Poor","Neutral")))</f>
        <v>Good</v>
      </c>
      <c r="R2153" s="11" t="str">
        <f aca="false">IF(AND(O2153="Low",P2153="Low",Q2153="Good"),"BUY / PRIORITIZE",IF(AND(O2153="High",P2153="High",OR(Q2153="Poor",M2153=TRUE())),"HOLD / REVIEW","MONITOR"))</f>
        <v>MONITOR</v>
      </c>
      <c r="S2153" s="11" t="n">
        <f aca="false">K2153+(ROW()/10000000)</f>
        <v>22.0002153</v>
      </c>
    </row>
    <row r="2154" customFormat="false" ht="15" hidden="false" customHeight="false" outlineLevel="0" collapsed="false">
      <c r="A2154" s="11" t="s">
        <v>2526</v>
      </c>
      <c r="B2154" s="11" t="s">
        <v>8</v>
      </c>
      <c r="C2154" s="11" t="s">
        <v>77</v>
      </c>
      <c r="D2154" s="11" t="s">
        <v>34</v>
      </c>
      <c r="E2154" s="11"/>
      <c r="F2154" s="11" t="s">
        <v>124</v>
      </c>
      <c r="G2154" s="21" t="n">
        <v>15.36</v>
      </c>
      <c r="H2154" s="19" t="n">
        <v>36.8</v>
      </c>
      <c r="I2154" s="21" t="n">
        <v>9.71</v>
      </c>
      <c r="J2154" s="22" t="s">
        <v>366</v>
      </c>
      <c r="K2154" s="11" t="n">
        <v>46</v>
      </c>
      <c r="L2154" s="23" t="n">
        <v>2.3</v>
      </c>
      <c r="M2154" s="24" t="b">
        <f aca="false">FALSE()</f>
        <v>0</v>
      </c>
      <c r="N2154" s="11"/>
      <c r="O2154" s="11" t="str">
        <f aca="false">IF(K2154&lt;=StockP33,"Low",IF(K2154&lt;=StockP67,"Moderate","High"))</f>
        <v>High</v>
      </c>
      <c r="P2154" s="11" t="str">
        <f aca="false">IF(H2154=0,"Low",IF(H2154&lt;=MarkdownP75,"Moderate","High"))</f>
        <v>High</v>
      </c>
      <c r="Q2154" s="11" t="str">
        <f aca="false">IF(ISBLANK(L2154),"Unknown",IF(L2154&gt;=4,"Good",IF(L2154&lt;=2,"Poor","Neutral")))</f>
        <v>Neutral</v>
      </c>
      <c r="R2154" s="11" t="str">
        <f aca="false">IF(AND(O2154="Low",P2154="Low",Q2154="Good"),"BUY / PRIORITIZE",IF(AND(O2154="High",P2154="High",OR(Q2154="Poor",M2154=TRUE())),"HOLD / REVIEW","MONITOR"))</f>
        <v>MONITOR</v>
      </c>
      <c r="S2154" s="11" t="n">
        <f aca="false">K2154+(ROW()/10000000)</f>
        <v>46.0002154</v>
      </c>
    </row>
    <row r="2155" customFormat="false" ht="15" hidden="false" customHeight="false" outlineLevel="0" collapsed="false">
      <c r="A2155" s="11" t="s">
        <v>2527</v>
      </c>
      <c r="B2155" s="11" t="s">
        <v>30</v>
      </c>
      <c r="C2155" s="11" t="s">
        <v>116</v>
      </c>
      <c r="D2155" s="11" t="s">
        <v>36</v>
      </c>
      <c r="E2155" s="11" t="s">
        <v>73</v>
      </c>
      <c r="F2155" s="11" t="s">
        <v>82</v>
      </c>
      <c r="G2155" s="21" t="n">
        <v>100.03</v>
      </c>
      <c r="H2155" s="19" t="n">
        <v>51.8</v>
      </c>
      <c r="I2155" s="21" t="n">
        <v>48.21</v>
      </c>
      <c r="J2155" s="22" t="s">
        <v>80</v>
      </c>
      <c r="K2155" s="11" t="n">
        <v>43</v>
      </c>
      <c r="L2155" s="23" t="n">
        <v>5</v>
      </c>
      <c r="M2155" s="24" t="b">
        <f aca="false">FALSE()</f>
        <v>0</v>
      </c>
      <c r="N2155" s="11"/>
      <c r="O2155" s="11" t="str">
        <f aca="false">IF(K2155&lt;=StockP33,"Low",IF(K2155&lt;=StockP67,"Moderate","High"))</f>
        <v>High</v>
      </c>
      <c r="P2155" s="11" t="str">
        <f aca="false">IF(H2155=0,"Low",IF(H2155&lt;=MarkdownP75,"Moderate","High"))</f>
        <v>High</v>
      </c>
      <c r="Q2155" s="11" t="str">
        <f aca="false">IF(ISBLANK(L2155),"Unknown",IF(L2155&gt;=4,"Good",IF(L2155&lt;=2,"Poor","Neutral")))</f>
        <v>Good</v>
      </c>
      <c r="R2155" s="11" t="str">
        <f aca="false">IF(AND(O2155="Low",P2155="Low",Q2155="Good"),"BUY / PRIORITIZE",IF(AND(O2155="High",P2155="High",OR(Q2155="Poor",M2155=TRUE())),"HOLD / REVIEW","MONITOR"))</f>
        <v>MONITOR</v>
      </c>
      <c r="S2155" s="11" t="n">
        <f aca="false">K2155+(ROW()/10000000)</f>
        <v>43.0002155</v>
      </c>
    </row>
    <row r="2156" customFormat="false" ht="15" hidden="false" customHeight="false" outlineLevel="0" collapsed="false">
      <c r="A2156" s="11" t="s">
        <v>2528</v>
      </c>
      <c r="B2156" s="11" t="s">
        <v>29</v>
      </c>
      <c r="C2156" s="11" t="s">
        <v>77</v>
      </c>
      <c r="D2156" s="11" t="s">
        <v>35</v>
      </c>
      <c r="E2156" s="11" t="s">
        <v>91</v>
      </c>
      <c r="F2156" s="11" t="s">
        <v>82</v>
      </c>
      <c r="G2156" s="21" t="n">
        <v>173.75</v>
      </c>
      <c r="H2156" s="19" t="n">
        <v>19.2</v>
      </c>
      <c r="I2156" s="21" t="n">
        <v>140.39</v>
      </c>
      <c r="J2156" s="22" t="s">
        <v>80</v>
      </c>
      <c r="K2156" s="11" t="n">
        <v>38</v>
      </c>
      <c r="L2156" s="23"/>
      <c r="M2156" s="24" t="b">
        <f aca="false">FALSE()</f>
        <v>0</v>
      </c>
      <c r="N2156" s="11"/>
      <c r="O2156" s="11" t="str">
        <f aca="false">IF(K2156&lt;=StockP33,"Low",IF(K2156&lt;=StockP67,"Moderate","High"))</f>
        <v>High</v>
      </c>
      <c r="P2156" s="11" t="str">
        <f aca="false">IF(H2156=0,"Low",IF(H2156&lt;=MarkdownP75,"Moderate","High"))</f>
        <v>Moderate</v>
      </c>
      <c r="Q2156" s="11" t="str">
        <f aca="false">IF(ISBLANK(L2156),"Unknown",IF(L2156&gt;=4,"Good",IF(L2156&lt;=2,"Poor","Neutral")))</f>
        <v>Unknown</v>
      </c>
      <c r="R2156" s="11" t="str">
        <f aca="false">IF(AND(O2156="Low",P2156="Low",Q2156="Good"),"BUY / PRIORITIZE",IF(AND(O2156="High",P2156="High",OR(Q2156="Poor",M2156=TRUE())),"HOLD / REVIEW","MONITOR"))</f>
        <v>MONITOR</v>
      </c>
      <c r="S2156" s="11" t="n">
        <f aca="false">K2156+(ROW()/10000000)</f>
        <v>38.0002156</v>
      </c>
    </row>
    <row r="2157" customFormat="false" ht="15" hidden="false" customHeight="false" outlineLevel="0" collapsed="false">
      <c r="A2157" s="11" t="s">
        <v>2529</v>
      </c>
      <c r="B2157" s="11" t="s">
        <v>26</v>
      </c>
      <c r="C2157" s="11" t="s">
        <v>116</v>
      </c>
      <c r="D2157" s="11" t="s">
        <v>37</v>
      </c>
      <c r="E2157" s="11" t="s">
        <v>73</v>
      </c>
      <c r="F2157" s="11" t="s">
        <v>98</v>
      </c>
      <c r="G2157" s="21" t="n">
        <v>37.98</v>
      </c>
      <c r="H2157" s="19" t="n">
        <v>15.2</v>
      </c>
      <c r="I2157" s="21" t="n">
        <v>32.21</v>
      </c>
      <c r="J2157" s="22" t="s">
        <v>80</v>
      </c>
      <c r="K2157" s="11" t="n">
        <v>25</v>
      </c>
      <c r="L2157" s="23" t="n">
        <v>3.6</v>
      </c>
      <c r="M2157" s="24" t="b">
        <f aca="false">FALSE()</f>
        <v>0</v>
      </c>
      <c r="N2157" s="11"/>
      <c r="O2157" s="11" t="str">
        <f aca="false">IF(K2157&lt;=StockP33,"Low",IF(K2157&lt;=StockP67,"Moderate","High"))</f>
        <v>Moderate</v>
      </c>
      <c r="P2157" s="11" t="str">
        <f aca="false">IF(H2157=0,"Low",IF(H2157&lt;=MarkdownP75,"Moderate","High"))</f>
        <v>Moderate</v>
      </c>
      <c r="Q2157" s="11" t="str">
        <f aca="false">IF(ISBLANK(L2157),"Unknown",IF(L2157&gt;=4,"Good",IF(L2157&lt;=2,"Poor","Neutral")))</f>
        <v>Neutral</v>
      </c>
      <c r="R2157" s="11" t="str">
        <f aca="false">IF(AND(O2157="Low",P2157="Low",Q2157="Good"),"BUY / PRIORITIZE",IF(AND(O2157="High",P2157="High",OR(Q2157="Poor",M2157=TRUE())),"HOLD / REVIEW","MONITOR"))</f>
        <v>MONITOR</v>
      </c>
      <c r="S2157" s="11" t="n">
        <f aca="false">K2157+(ROW()/10000000)</f>
        <v>25.0002157</v>
      </c>
    </row>
    <row r="2158" customFormat="false" ht="15" hidden="false" customHeight="false" outlineLevel="0" collapsed="false">
      <c r="A2158" s="11" t="s">
        <v>2530</v>
      </c>
      <c r="B2158" s="11" t="s">
        <v>27</v>
      </c>
      <c r="C2158" s="11" t="s">
        <v>130</v>
      </c>
      <c r="D2158" s="11" t="s">
        <v>35</v>
      </c>
      <c r="E2158" s="11" t="s">
        <v>113</v>
      </c>
      <c r="F2158" s="11" t="s">
        <v>82</v>
      </c>
      <c r="G2158" s="21" t="n">
        <v>154.11</v>
      </c>
      <c r="H2158" s="19" t="n">
        <v>0</v>
      </c>
      <c r="I2158" s="21" t="n">
        <v>154.11</v>
      </c>
      <c r="J2158" s="22" t="s">
        <v>80</v>
      </c>
      <c r="K2158" s="11" t="n">
        <v>50</v>
      </c>
      <c r="L2158" s="23" t="n">
        <v>3.1</v>
      </c>
      <c r="M2158" s="24" t="b">
        <f aca="false">FALSE()</f>
        <v>0</v>
      </c>
      <c r="N2158" s="11"/>
      <c r="O2158" s="11" t="str">
        <f aca="false">IF(K2158&lt;=StockP33,"Low",IF(K2158&lt;=StockP67,"Moderate","High"))</f>
        <v>High</v>
      </c>
      <c r="P2158" s="11" t="str">
        <f aca="false">IF(H2158=0,"Low",IF(H2158&lt;=MarkdownP75,"Moderate","High"))</f>
        <v>Low</v>
      </c>
      <c r="Q2158" s="11" t="str">
        <f aca="false">IF(ISBLANK(L2158),"Unknown",IF(L2158&gt;=4,"Good",IF(L2158&lt;=2,"Poor","Neutral")))</f>
        <v>Neutral</v>
      </c>
      <c r="R2158" s="11" t="str">
        <f aca="false">IF(AND(O2158="Low",P2158="Low",Q2158="Good"),"BUY / PRIORITIZE",IF(AND(O2158="High",P2158="High",OR(Q2158="Poor",M2158=TRUE())),"HOLD / REVIEW","MONITOR"))</f>
        <v>MONITOR</v>
      </c>
      <c r="S2158" s="11" t="n">
        <f aca="false">K2158+(ROW()/10000000)</f>
        <v>50.0002158</v>
      </c>
    </row>
    <row r="2159" customFormat="false" ht="15" hidden="false" customHeight="false" outlineLevel="0" collapsed="false">
      <c r="A2159" s="11" t="s">
        <v>2531</v>
      </c>
      <c r="B2159" s="11" t="s">
        <v>8</v>
      </c>
      <c r="C2159" s="11" t="s">
        <v>107</v>
      </c>
      <c r="D2159" s="11" t="s">
        <v>34</v>
      </c>
      <c r="E2159" s="11"/>
      <c r="F2159" s="11" t="s">
        <v>120</v>
      </c>
      <c r="G2159" s="21" t="n">
        <v>69.8</v>
      </c>
      <c r="H2159" s="19" t="n">
        <v>46.9</v>
      </c>
      <c r="I2159" s="21" t="n">
        <v>37.06</v>
      </c>
      <c r="J2159" s="22" t="s">
        <v>1467</v>
      </c>
      <c r="K2159" s="11" t="n">
        <v>26</v>
      </c>
      <c r="L2159" s="23" t="n">
        <v>3.8</v>
      </c>
      <c r="M2159" s="24" t="b">
        <f aca="false">FALSE()</f>
        <v>0</v>
      </c>
      <c r="N2159" s="11"/>
      <c r="O2159" s="11" t="str">
        <f aca="false">IF(K2159&lt;=StockP33,"Low",IF(K2159&lt;=StockP67,"Moderate","High"))</f>
        <v>Moderate</v>
      </c>
      <c r="P2159" s="11" t="str">
        <f aca="false">IF(H2159=0,"Low",IF(H2159&lt;=MarkdownP75,"Moderate","High"))</f>
        <v>High</v>
      </c>
      <c r="Q2159" s="11" t="str">
        <f aca="false">IF(ISBLANK(L2159),"Unknown",IF(L2159&gt;=4,"Good",IF(L2159&lt;=2,"Poor","Neutral")))</f>
        <v>Neutral</v>
      </c>
      <c r="R2159" s="11" t="str">
        <f aca="false">IF(AND(O2159="Low",P2159="Low",Q2159="Good"),"BUY / PRIORITIZE",IF(AND(O2159="High",P2159="High",OR(Q2159="Poor",M2159=TRUE())),"HOLD / REVIEW","MONITOR"))</f>
        <v>MONITOR</v>
      </c>
      <c r="S2159" s="11" t="n">
        <f aca="false">K2159+(ROW()/10000000)</f>
        <v>26.0002159</v>
      </c>
    </row>
    <row r="2160" customFormat="false" ht="15" hidden="false" customHeight="false" outlineLevel="0" collapsed="false">
      <c r="A2160" s="11" t="s">
        <v>2532</v>
      </c>
      <c r="B2160" s="11" t="s">
        <v>27</v>
      </c>
      <c r="C2160" s="11" t="s">
        <v>116</v>
      </c>
      <c r="D2160" s="11" t="s">
        <v>37</v>
      </c>
      <c r="E2160" s="11" t="s">
        <v>102</v>
      </c>
      <c r="F2160" s="11" t="s">
        <v>92</v>
      </c>
      <c r="G2160" s="21" t="n">
        <v>171.16</v>
      </c>
      <c r="H2160" s="19" t="n">
        <v>0</v>
      </c>
      <c r="I2160" s="21" t="n">
        <v>171.16</v>
      </c>
      <c r="J2160" s="22" t="s">
        <v>80</v>
      </c>
      <c r="K2160" s="11" t="n">
        <v>26</v>
      </c>
      <c r="L2160" s="23" t="n">
        <v>4.3</v>
      </c>
      <c r="M2160" s="24" t="b">
        <f aca="false">FALSE()</f>
        <v>0</v>
      </c>
      <c r="N2160" s="11"/>
      <c r="O2160" s="11" t="str">
        <f aca="false">IF(K2160&lt;=StockP33,"Low",IF(K2160&lt;=StockP67,"Moderate","High"))</f>
        <v>Moderate</v>
      </c>
      <c r="P2160" s="11" t="str">
        <f aca="false">IF(H2160=0,"Low",IF(H2160&lt;=MarkdownP75,"Moderate","High"))</f>
        <v>Low</v>
      </c>
      <c r="Q2160" s="11" t="str">
        <f aca="false">IF(ISBLANK(L2160),"Unknown",IF(L2160&gt;=4,"Good",IF(L2160&lt;=2,"Poor","Neutral")))</f>
        <v>Good</v>
      </c>
      <c r="R2160" s="11" t="str">
        <f aca="false">IF(AND(O2160="Low",P2160="Low",Q2160="Good"),"BUY / PRIORITIZE",IF(AND(O2160="High",P2160="High",OR(Q2160="Poor",M2160=TRUE())),"HOLD / REVIEW","MONITOR"))</f>
        <v>MONITOR</v>
      </c>
      <c r="S2160" s="11" t="n">
        <f aca="false">K2160+(ROW()/10000000)</f>
        <v>26.000216</v>
      </c>
    </row>
    <row r="2161" customFormat="false" ht="15" hidden="false" customHeight="false" outlineLevel="0" collapsed="false">
      <c r="A2161" s="11" t="s">
        <v>2533</v>
      </c>
      <c r="B2161" s="11" t="s">
        <v>28</v>
      </c>
      <c r="C2161" s="11" t="s">
        <v>72</v>
      </c>
      <c r="D2161" s="11" t="s">
        <v>35</v>
      </c>
      <c r="E2161" s="11" t="s">
        <v>102</v>
      </c>
      <c r="F2161" s="11" t="s">
        <v>88</v>
      </c>
      <c r="G2161" s="21" t="n">
        <v>118.57</v>
      </c>
      <c r="H2161" s="19" t="n">
        <v>0</v>
      </c>
      <c r="I2161" s="21" t="n">
        <v>118.57</v>
      </c>
      <c r="J2161" s="22" t="s">
        <v>80</v>
      </c>
      <c r="K2161" s="11" t="n">
        <v>6</v>
      </c>
      <c r="L2161" s="23" t="n">
        <v>1.4</v>
      </c>
      <c r="M2161" s="24" t="b">
        <f aca="false">TRUE()</f>
        <v>1</v>
      </c>
      <c r="N2161" s="11" t="s">
        <v>140</v>
      </c>
      <c r="O2161" s="11" t="str">
        <f aca="false">IF(K2161&lt;=StockP33,"Low",IF(K2161&lt;=StockP67,"Moderate","High"))</f>
        <v>Low</v>
      </c>
      <c r="P2161" s="11" t="str">
        <f aca="false">IF(H2161=0,"Low",IF(H2161&lt;=MarkdownP75,"Moderate","High"))</f>
        <v>Low</v>
      </c>
      <c r="Q2161" s="11" t="str">
        <f aca="false">IF(ISBLANK(L2161),"Unknown",IF(L2161&gt;=4,"Good",IF(L2161&lt;=2,"Poor","Neutral")))</f>
        <v>Poor</v>
      </c>
      <c r="R2161" s="11" t="str">
        <f aca="false">IF(AND(O2161="Low",P2161="Low",Q2161="Good"),"BUY / PRIORITIZE",IF(AND(O2161="High",P2161="High",OR(Q2161="Poor",M2161=TRUE())),"HOLD / REVIEW","MONITOR"))</f>
        <v>MONITOR</v>
      </c>
      <c r="S2161" s="11" t="n">
        <f aca="false">K2161+(ROW()/10000000)</f>
        <v>6.0002161</v>
      </c>
    </row>
    <row r="2162" customFormat="false" ht="15" hidden="false" customHeight="false" outlineLevel="0" collapsed="false">
      <c r="A2162" s="11" t="s">
        <v>2534</v>
      </c>
      <c r="B2162" s="11" t="s">
        <v>27</v>
      </c>
      <c r="C2162" s="11" t="s">
        <v>95</v>
      </c>
      <c r="D2162" s="11" t="s">
        <v>37</v>
      </c>
      <c r="E2162" s="11" t="s">
        <v>102</v>
      </c>
      <c r="F2162" s="11" t="s">
        <v>79</v>
      </c>
      <c r="G2162" s="21" t="n">
        <v>118.46</v>
      </c>
      <c r="H2162" s="19" t="n">
        <v>0</v>
      </c>
      <c r="I2162" s="21" t="n">
        <v>118.46</v>
      </c>
      <c r="J2162" s="22" t="s">
        <v>80</v>
      </c>
      <c r="K2162" s="11" t="n">
        <v>40</v>
      </c>
      <c r="L2162" s="23" t="n">
        <v>2.3</v>
      </c>
      <c r="M2162" s="24" t="b">
        <f aca="false">FALSE()</f>
        <v>0</v>
      </c>
      <c r="N2162" s="11"/>
      <c r="O2162" s="11" t="str">
        <f aca="false">IF(K2162&lt;=StockP33,"Low",IF(K2162&lt;=StockP67,"Moderate","High"))</f>
        <v>High</v>
      </c>
      <c r="P2162" s="11" t="str">
        <f aca="false">IF(H2162=0,"Low",IF(H2162&lt;=MarkdownP75,"Moderate","High"))</f>
        <v>Low</v>
      </c>
      <c r="Q2162" s="11" t="str">
        <f aca="false">IF(ISBLANK(L2162),"Unknown",IF(L2162&gt;=4,"Good",IF(L2162&lt;=2,"Poor","Neutral")))</f>
        <v>Neutral</v>
      </c>
      <c r="R2162" s="11" t="str">
        <f aca="false">IF(AND(O2162="Low",P2162="Low",Q2162="Good"),"BUY / PRIORITIZE",IF(AND(O2162="High",P2162="High",OR(Q2162="Poor",M2162=TRUE())),"HOLD / REVIEW","MONITOR"))</f>
        <v>MONITOR</v>
      </c>
      <c r="S2162" s="11" t="n">
        <f aca="false">K2162+(ROW()/10000000)</f>
        <v>40.0002162</v>
      </c>
    </row>
    <row r="2163" customFormat="false" ht="15" hidden="false" customHeight="false" outlineLevel="0" collapsed="false">
      <c r="A2163" s="11" t="s">
        <v>2535</v>
      </c>
      <c r="B2163" s="11" t="s">
        <v>29</v>
      </c>
      <c r="C2163" s="11" t="s">
        <v>72</v>
      </c>
      <c r="D2163" s="11" t="s">
        <v>35</v>
      </c>
      <c r="E2163" s="11" t="s">
        <v>78</v>
      </c>
      <c r="F2163" s="11" t="s">
        <v>98</v>
      </c>
      <c r="G2163" s="21" t="n">
        <v>122.7</v>
      </c>
      <c r="H2163" s="19" t="n">
        <v>0</v>
      </c>
      <c r="I2163" s="21" t="n">
        <v>122.7</v>
      </c>
      <c r="J2163" s="22" t="s">
        <v>80</v>
      </c>
      <c r="K2163" s="11" t="n">
        <v>9</v>
      </c>
      <c r="L2163" s="23"/>
      <c r="M2163" s="24" t="b">
        <f aca="false">FALSE()</f>
        <v>0</v>
      </c>
      <c r="N2163" s="11"/>
      <c r="O2163" s="11" t="str">
        <f aca="false">IF(K2163&lt;=StockP33,"Low",IF(K2163&lt;=StockP67,"Moderate","High"))</f>
        <v>Low</v>
      </c>
      <c r="P2163" s="11" t="str">
        <f aca="false">IF(H2163=0,"Low",IF(H2163&lt;=MarkdownP75,"Moderate","High"))</f>
        <v>Low</v>
      </c>
      <c r="Q2163" s="11" t="str">
        <f aca="false">IF(ISBLANK(L2163),"Unknown",IF(L2163&gt;=4,"Good",IF(L2163&lt;=2,"Poor","Neutral")))</f>
        <v>Unknown</v>
      </c>
      <c r="R2163" s="11" t="str">
        <f aca="false">IF(AND(O2163="Low",P2163="Low",Q2163="Good"),"BUY / PRIORITIZE",IF(AND(O2163="High",P2163="High",OR(Q2163="Poor",M2163=TRUE())),"HOLD / REVIEW","MONITOR"))</f>
        <v>MONITOR</v>
      </c>
      <c r="S2163" s="11" t="n">
        <f aca="false">K2163+(ROW()/10000000)</f>
        <v>9.0002163</v>
      </c>
    </row>
    <row r="2164" customFormat="false" ht="15" hidden="false" customHeight="false" outlineLevel="0" collapsed="false">
      <c r="A2164" s="11" t="s">
        <v>2536</v>
      </c>
      <c r="B2164" s="11" t="s">
        <v>8</v>
      </c>
      <c r="C2164" s="11" t="s">
        <v>116</v>
      </c>
      <c r="D2164" s="11" t="s">
        <v>34</v>
      </c>
      <c r="E2164" s="11"/>
      <c r="F2164" s="11" t="s">
        <v>82</v>
      </c>
      <c r="G2164" s="21" t="n">
        <v>68.2</v>
      </c>
      <c r="H2164" s="19" t="n">
        <v>0</v>
      </c>
      <c r="I2164" s="21" t="n">
        <v>68.2</v>
      </c>
      <c r="J2164" s="22" t="s">
        <v>1494</v>
      </c>
      <c r="K2164" s="11" t="n">
        <v>2</v>
      </c>
      <c r="L2164" s="23" t="n">
        <v>3.8</v>
      </c>
      <c r="M2164" s="24" t="b">
        <f aca="false">FALSE()</f>
        <v>0</v>
      </c>
      <c r="N2164" s="11"/>
      <c r="O2164" s="11" t="str">
        <f aca="false">IF(K2164&lt;=StockP33,"Low",IF(K2164&lt;=StockP67,"Moderate","High"))</f>
        <v>Low</v>
      </c>
      <c r="P2164" s="11" t="str">
        <f aca="false">IF(H2164=0,"Low",IF(H2164&lt;=MarkdownP75,"Moderate","High"))</f>
        <v>Low</v>
      </c>
      <c r="Q2164" s="11" t="str">
        <f aca="false">IF(ISBLANK(L2164),"Unknown",IF(L2164&gt;=4,"Good",IF(L2164&lt;=2,"Poor","Neutral")))</f>
        <v>Neutral</v>
      </c>
      <c r="R2164" s="11" t="str">
        <f aca="false">IF(AND(O2164="Low",P2164="Low",Q2164="Good"),"BUY / PRIORITIZE",IF(AND(O2164="High",P2164="High",OR(Q2164="Poor",M2164=TRUE())),"HOLD / REVIEW","MONITOR"))</f>
        <v>MONITOR</v>
      </c>
      <c r="S2164" s="11" t="n">
        <f aca="false">K2164+(ROW()/10000000)</f>
        <v>2.0002164</v>
      </c>
    </row>
    <row r="2165" customFormat="false" ht="15" hidden="false" customHeight="false" outlineLevel="0" collapsed="false">
      <c r="A2165" s="11" t="s">
        <v>2537</v>
      </c>
      <c r="B2165" s="11" t="s">
        <v>29</v>
      </c>
      <c r="C2165" s="11" t="s">
        <v>101</v>
      </c>
      <c r="D2165" s="11" t="s">
        <v>34</v>
      </c>
      <c r="E2165" s="11" t="s">
        <v>73</v>
      </c>
      <c r="F2165" s="11" t="s">
        <v>88</v>
      </c>
      <c r="G2165" s="21" t="n">
        <v>178.56</v>
      </c>
      <c r="H2165" s="19" t="n">
        <v>0</v>
      </c>
      <c r="I2165" s="21" t="n">
        <v>178.56</v>
      </c>
      <c r="J2165" s="22" t="s">
        <v>2538</v>
      </c>
      <c r="K2165" s="11" t="n">
        <v>46</v>
      </c>
      <c r="L2165" s="23" t="n">
        <v>2.6</v>
      </c>
      <c r="M2165" s="24" t="b">
        <f aca="false">FALSE()</f>
        <v>0</v>
      </c>
      <c r="N2165" s="11"/>
      <c r="O2165" s="11" t="str">
        <f aca="false">IF(K2165&lt;=StockP33,"Low",IF(K2165&lt;=StockP67,"Moderate","High"))</f>
        <v>High</v>
      </c>
      <c r="P2165" s="11" t="str">
        <f aca="false">IF(H2165=0,"Low",IF(H2165&lt;=MarkdownP75,"Moderate","High"))</f>
        <v>Low</v>
      </c>
      <c r="Q2165" s="11" t="str">
        <f aca="false">IF(ISBLANK(L2165),"Unknown",IF(L2165&gt;=4,"Good",IF(L2165&lt;=2,"Poor","Neutral")))</f>
        <v>Neutral</v>
      </c>
      <c r="R2165" s="11" t="str">
        <f aca="false">IF(AND(O2165="Low",P2165="Low",Q2165="Good"),"BUY / PRIORITIZE",IF(AND(O2165="High",P2165="High",OR(Q2165="Poor",M2165=TRUE())),"HOLD / REVIEW","MONITOR"))</f>
        <v>MONITOR</v>
      </c>
      <c r="S2165" s="11" t="n">
        <f aca="false">K2165+(ROW()/10000000)</f>
        <v>46.0002165</v>
      </c>
    </row>
    <row r="2166" customFormat="false" ht="15" hidden="false" customHeight="false" outlineLevel="0" collapsed="false">
      <c r="A2166" s="11" t="s">
        <v>2539</v>
      </c>
      <c r="B2166" s="11" t="s">
        <v>8</v>
      </c>
      <c r="C2166" s="11" t="s">
        <v>77</v>
      </c>
      <c r="D2166" s="11" t="s">
        <v>35</v>
      </c>
      <c r="E2166" s="11"/>
      <c r="F2166" s="11" t="s">
        <v>98</v>
      </c>
      <c r="G2166" s="21" t="n">
        <v>30.46</v>
      </c>
      <c r="H2166" s="19" t="n">
        <v>31.4</v>
      </c>
      <c r="I2166" s="21" t="n">
        <v>20.9</v>
      </c>
      <c r="J2166" s="22" t="s">
        <v>80</v>
      </c>
      <c r="K2166" s="11" t="n">
        <v>40</v>
      </c>
      <c r="L2166" s="23" t="n">
        <v>2.4</v>
      </c>
      <c r="M2166" s="24" t="b">
        <f aca="false">FALSE()</f>
        <v>0</v>
      </c>
      <c r="N2166" s="11"/>
      <c r="O2166" s="11" t="str">
        <f aca="false">IF(K2166&lt;=StockP33,"Low",IF(K2166&lt;=StockP67,"Moderate","High"))</f>
        <v>High</v>
      </c>
      <c r="P2166" s="11" t="str">
        <f aca="false">IF(H2166=0,"Low",IF(H2166&lt;=MarkdownP75,"Moderate","High"))</f>
        <v>High</v>
      </c>
      <c r="Q2166" s="11" t="str">
        <f aca="false">IF(ISBLANK(L2166),"Unknown",IF(L2166&gt;=4,"Good",IF(L2166&lt;=2,"Poor","Neutral")))</f>
        <v>Neutral</v>
      </c>
      <c r="R2166" s="11" t="str">
        <f aca="false">IF(AND(O2166="Low",P2166="Low",Q2166="Good"),"BUY / PRIORITIZE",IF(AND(O2166="High",P2166="High",OR(Q2166="Poor",M2166=TRUE())),"HOLD / REVIEW","MONITOR"))</f>
        <v>MONITOR</v>
      </c>
      <c r="S2166" s="11" t="n">
        <f aca="false">K2166+(ROW()/10000000)</f>
        <v>40.0002166</v>
      </c>
    </row>
    <row r="2167" customFormat="false" ht="15" hidden="false" customHeight="false" outlineLevel="0" collapsed="false">
      <c r="A2167" s="11" t="s">
        <v>2540</v>
      </c>
      <c r="B2167" s="11" t="s">
        <v>8</v>
      </c>
      <c r="C2167" s="11" t="s">
        <v>86</v>
      </c>
      <c r="D2167" s="11" t="s">
        <v>35</v>
      </c>
      <c r="E2167" s="11"/>
      <c r="F2167" s="11" t="s">
        <v>82</v>
      </c>
      <c r="G2167" s="21" t="n">
        <v>76.08</v>
      </c>
      <c r="H2167" s="19" t="n">
        <v>0</v>
      </c>
      <c r="I2167" s="21" t="n">
        <v>76.08</v>
      </c>
      <c r="J2167" s="22" t="s">
        <v>80</v>
      </c>
      <c r="K2167" s="11" t="n">
        <v>6</v>
      </c>
      <c r="L2167" s="23" t="n">
        <v>4.9</v>
      </c>
      <c r="M2167" s="24" t="b">
        <f aca="false">FALSE()</f>
        <v>0</v>
      </c>
      <c r="N2167" s="11"/>
      <c r="O2167" s="11" t="str">
        <f aca="false">IF(K2167&lt;=StockP33,"Low",IF(K2167&lt;=StockP67,"Moderate","High"))</f>
        <v>Low</v>
      </c>
      <c r="P2167" s="11" t="str">
        <f aca="false">IF(H2167=0,"Low",IF(H2167&lt;=MarkdownP75,"Moderate","High"))</f>
        <v>Low</v>
      </c>
      <c r="Q2167" s="11" t="str">
        <f aca="false">IF(ISBLANK(L2167),"Unknown",IF(L2167&gt;=4,"Good",IF(L2167&lt;=2,"Poor","Neutral")))</f>
        <v>Good</v>
      </c>
      <c r="R2167" s="11" t="str">
        <f aca="false">IF(AND(O2167="Low",P2167="Low",Q2167="Good"),"BUY / PRIORITIZE",IF(AND(O2167="High",P2167="High",OR(Q2167="Poor",M2167=TRUE())),"HOLD / REVIEW","MONITOR"))</f>
        <v>BUY / PRIORITIZE</v>
      </c>
      <c r="S2167" s="11" t="n">
        <f aca="false">K2167+(ROW()/10000000)</f>
        <v>6.0002167</v>
      </c>
    </row>
    <row r="2168" customFormat="false" ht="15" hidden="false" customHeight="false" outlineLevel="0" collapsed="false">
      <c r="A2168" s="11" t="s">
        <v>2541</v>
      </c>
      <c r="B2168" s="11" t="s">
        <v>29</v>
      </c>
      <c r="C2168" s="11" t="s">
        <v>86</v>
      </c>
      <c r="D2168" s="11" t="s">
        <v>37</v>
      </c>
      <c r="E2168" s="11" t="s">
        <v>113</v>
      </c>
      <c r="F2168" s="11" t="s">
        <v>124</v>
      </c>
      <c r="G2168" s="21" t="n">
        <v>116.15</v>
      </c>
      <c r="H2168" s="19" t="n">
        <v>16.5</v>
      </c>
      <c r="I2168" s="21" t="n">
        <v>96.99</v>
      </c>
      <c r="J2168" s="22" t="s">
        <v>80</v>
      </c>
      <c r="K2168" s="11" t="n">
        <v>11</v>
      </c>
      <c r="L2168" s="23" t="n">
        <v>3</v>
      </c>
      <c r="M2168" s="24" t="b">
        <f aca="false">FALSE()</f>
        <v>0</v>
      </c>
      <c r="N2168" s="11"/>
      <c r="O2168" s="11" t="str">
        <f aca="false">IF(K2168&lt;=StockP33,"Low",IF(K2168&lt;=StockP67,"Moderate","High"))</f>
        <v>Low</v>
      </c>
      <c r="P2168" s="11" t="str">
        <f aca="false">IF(H2168=0,"Low",IF(H2168&lt;=MarkdownP75,"Moderate","High"))</f>
        <v>Moderate</v>
      </c>
      <c r="Q2168" s="11" t="str">
        <f aca="false">IF(ISBLANK(L2168),"Unknown",IF(L2168&gt;=4,"Good",IF(L2168&lt;=2,"Poor","Neutral")))</f>
        <v>Neutral</v>
      </c>
      <c r="R2168" s="11" t="str">
        <f aca="false">IF(AND(O2168="Low",P2168="Low",Q2168="Good"),"BUY / PRIORITIZE",IF(AND(O2168="High",P2168="High",OR(Q2168="Poor",M2168=TRUE())),"HOLD / REVIEW","MONITOR"))</f>
        <v>MONITOR</v>
      </c>
      <c r="S2168" s="11" t="n">
        <f aca="false">K2168+(ROW()/10000000)</f>
        <v>11.0002168</v>
      </c>
    </row>
    <row r="2169" customFormat="false" ht="15" hidden="false" customHeight="false" outlineLevel="0" collapsed="false">
      <c r="A2169" s="11" t="s">
        <v>2542</v>
      </c>
      <c r="B2169" s="11" t="s">
        <v>29</v>
      </c>
      <c r="C2169" s="11" t="s">
        <v>101</v>
      </c>
      <c r="D2169" s="11" t="s">
        <v>37</v>
      </c>
      <c r="E2169" s="11" t="s">
        <v>110</v>
      </c>
      <c r="F2169" s="11" t="s">
        <v>88</v>
      </c>
      <c r="G2169" s="21" t="n">
        <v>98.22</v>
      </c>
      <c r="H2169" s="19" t="n">
        <v>0</v>
      </c>
      <c r="I2169" s="21" t="n">
        <v>98.22</v>
      </c>
      <c r="J2169" s="22" t="s">
        <v>80</v>
      </c>
      <c r="K2169" s="11" t="n">
        <v>27</v>
      </c>
      <c r="L2169" s="23" t="n">
        <v>3.3</v>
      </c>
      <c r="M2169" s="24" t="b">
        <f aca="false">FALSE()</f>
        <v>0</v>
      </c>
      <c r="N2169" s="11"/>
      <c r="O2169" s="11" t="str">
        <f aca="false">IF(K2169&lt;=StockP33,"Low",IF(K2169&lt;=StockP67,"Moderate","High"))</f>
        <v>Moderate</v>
      </c>
      <c r="P2169" s="11" t="str">
        <f aca="false">IF(H2169=0,"Low",IF(H2169&lt;=MarkdownP75,"Moderate","High"))</f>
        <v>Low</v>
      </c>
      <c r="Q2169" s="11" t="str">
        <f aca="false">IF(ISBLANK(L2169),"Unknown",IF(L2169&gt;=4,"Good",IF(L2169&lt;=2,"Poor","Neutral")))</f>
        <v>Neutral</v>
      </c>
      <c r="R2169" s="11" t="str">
        <f aca="false">IF(AND(O2169="Low",P2169="Low",Q2169="Good"),"BUY / PRIORITIZE",IF(AND(O2169="High",P2169="High",OR(Q2169="Poor",M2169=TRUE())),"HOLD / REVIEW","MONITOR"))</f>
        <v>MONITOR</v>
      </c>
      <c r="S2169" s="11" t="n">
        <f aca="false">K2169+(ROW()/10000000)</f>
        <v>27.0002169</v>
      </c>
    </row>
    <row r="2170" customFormat="false" ht="15" hidden="false" customHeight="false" outlineLevel="0" collapsed="false">
      <c r="A2170" s="11" t="s">
        <v>2543</v>
      </c>
      <c r="B2170" s="11" t="s">
        <v>29</v>
      </c>
      <c r="C2170" s="11" t="s">
        <v>107</v>
      </c>
      <c r="D2170" s="11" t="s">
        <v>37</v>
      </c>
      <c r="E2170" s="11"/>
      <c r="F2170" s="11" t="s">
        <v>111</v>
      </c>
      <c r="G2170" s="21" t="n">
        <v>66.58</v>
      </c>
      <c r="H2170" s="19" t="n">
        <v>0</v>
      </c>
      <c r="I2170" s="21" t="n">
        <v>66.58</v>
      </c>
      <c r="J2170" s="22" t="s">
        <v>80</v>
      </c>
      <c r="K2170" s="11" t="n">
        <v>45</v>
      </c>
      <c r="L2170" s="23" t="n">
        <v>3.4</v>
      </c>
      <c r="M2170" s="24" t="b">
        <f aca="false">FALSE()</f>
        <v>0</v>
      </c>
      <c r="N2170" s="11"/>
      <c r="O2170" s="11" t="str">
        <f aca="false">IF(K2170&lt;=StockP33,"Low",IF(K2170&lt;=StockP67,"Moderate","High"))</f>
        <v>High</v>
      </c>
      <c r="P2170" s="11" t="str">
        <f aca="false">IF(H2170=0,"Low",IF(H2170&lt;=MarkdownP75,"Moderate","High"))</f>
        <v>Low</v>
      </c>
      <c r="Q2170" s="11" t="str">
        <f aca="false">IF(ISBLANK(L2170),"Unknown",IF(L2170&gt;=4,"Good",IF(L2170&lt;=2,"Poor","Neutral")))</f>
        <v>Neutral</v>
      </c>
      <c r="R2170" s="11" t="str">
        <f aca="false">IF(AND(O2170="Low",P2170="Low",Q2170="Good"),"BUY / PRIORITIZE",IF(AND(O2170="High",P2170="High",OR(Q2170="Poor",M2170=TRUE())),"HOLD / REVIEW","MONITOR"))</f>
        <v>MONITOR</v>
      </c>
      <c r="S2170" s="11" t="n">
        <f aca="false">K2170+(ROW()/10000000)</f>
        <v>45.000217</v>
      </c>
    </row>
    <row r="2171" customFormat="false" ht="15" hidden="false" customHeight="false" outlineLevel="0" collapsed="false">
      <c r="A2171" s="11" t="s">
        <v>2544</v>
      </c>
      <c r="B2171" s="11" t="s">
        <v>8</v>
      </c>
      <c r="C2171" s="11" t="s">
        <v>77</v>
      </c>
      <c r="D2171" s="11" t="s">
        <v>34</v>
      </c>
      <c r="E2171" s="11"/>
      <c r="F2171" s="11" t="s">
        <v>111</v>
      </c>
      <c r="G2171" s="21" t="n">
        <v>69.22</v>
      </c>
      <c r="H2171" s="19" t="n">
        <v>0</v>
      </c>
      <c r="I2171" s="21" t="n">
        <v>69.22</v>
      </c>
      <c r="J2171" s="22" t="s">
        <v>1940</v>
      </c>
      <c r="K2171" s="11" t="n">
        <v>42</v>
      </c>
      <c r="L2171" s="23" t="n">
        <v>3.8</v>
      </c>
      <c r="M2171" s="24" t="b">
        <f aca="false">FALSE()</f>
        <v>0</v>
      </c>
      <c r="N2171" s="11"/>
      <c r="O2171" s="11" t="str">
        <f aca="false">IF(K2171&lt;=StockP33,"Low",IF(K2171&lt;=StockP67,"Moderate","High"))</f>
        <v>High</v>
      </c>
      <c r="P2171" s="11" t="str">
        <f aca="false">IF(H2171=0,"Low",IF(H2171&lt;=MarkdownP75,"Moderate","High"))</f>
        <v>Low</v>
      </c>
      <c r="Q2171" s="11" t="str">
        <f aca="false">IF(ISBLANK(L2171),"Unknown",IF(L2171&gt;=4,"Good",IF(L2171&lt;=2,"Poor","Neutral")))</f>
        <v>Neutral</v>
      </c>
      <c r="R2171" s="11" t="str">
        <f aca="false">IF(AND(O2171="Low",P2171="Low",Q2171="Good"),"BUY / PRIORITIZE",IF(AND(O2171="High",P2171="High",OR(Q2171="Poor",M2171=TRUE())),"HOLD / REVIEW","MONITOR"))</f>
        <v>MONITOR</v>
      </c>
      <c r="S2171" s="11" t="n">
        <f aca="false">K2171+(ROW()/10000000)</f>
        <v>42.0002171</v>
      </c>
    </row>
    <row r="2172" customFormat="false" ht="15" hidden="false" customHeight="false" outlineLevel="0" collapsed="false">
      <c r="A2172" s="11" t="s">
        <v>2545</v>
      </c>
      <c r="B2172" s="11" t="s">
        <v>30</v>
      </c>
      <c r="C2172" s="11" t="s">
        <v>77</v>
      </c>
      <c r="D2172" s="11" t="s">
        <v>37</v>
      </c>
      <c r="E2172" s="11" t="s">
        <v>73</v>
      </c>
      <c r="F2172" s="11" t="s">
        <v>82</v>
      </c>
      <c r="G2172" s="21" t="n">
        <v>85.01</v>
      </c>
      <c r="H2172" s="19" t="n">
        <v>0</v>
      </c>
      <c r="I2172" s="21" t="n">
        <v>85.01</v>
      </c>
      <c r="J2172" s="22" t="s">
        <v>80</v>
      </c>
      <c r="K2172" s="11" t="n">
        <v>39</v>
      </c>
      <c r="L2172" s="23" t="n">
        <v>4.3</v>
      </c>
      <c r="M2172" s="24" t="b">
        <f aca="false">FALSE()</f>
        <v>0</v>
      </c>
      <c r="N2172" s="11"/>
      <c r="O2172" s="11" t="str">
        <f aca="false">IF(K2172&lt;=StockP33,"Low",IF(K2172&lt;=StockP67,"Moderate","High"))</f>
        <v>High</v>
      </c>
      <c r="P2172" s="11" t="str">
        <f aca="false">IF(H2172=0,"Low",IF(H2172&lt;=MarkdownP75,"Moderate","High"))</f>
        <v>Low</v>
      </c>
      <c r="Q2172" s="11" t="str">
        <f aca="false">IF(ISBLANK(L2172),"Unknown",IF(L2172&gt;=4,"Good",IF(L2172&lt;=2,"Poor","Neutral")))</f>
        <v>Good</v>
      </c>
      <c r="R2172" s="11" t="str">
        <f aca="false">IF(AND(O2172="Low",P2172="Low",Q2172="Good"),"BUY / PRIORITIZE",IF(AND(O2172="High",P2172="High",OR(Q2172="Poor",M2172=TRUE())),"HOLD / REVIEW","MONITOR"))</f>
        <v>MONITOR</v>
      </c>
      <c r="S2172" s="11" t="n">
        <f aca="false">K2172+(ROW()/10000000)</f>
        <v>39.0002172</v>
      </c>
    </row>
    <row r="2173" customFormat="false" ht="15" hidden="false" customHeight="false" outlineLevel="0" collapsed="false">
      <c r="A2173" s="11" t="s">
        <v>2546</v>
      </c>
      <c r="B2173" s="11" t="s">
        <v>30</v>
      </c>
      <c r="C2173" s="11" t="s">
        <v>95</v>
      </c>
      <c r="D2173" s="11" t="s">
        <v>35</v>
      </c>
      <c r="E2173" s="11" t="s">
        <v>73</v>
      </c>
      <c r="F2173" s="11" t="s">
        <v>82</v>
      </c>
      <c r="G2173" s="21" t="n">
        <v>31.41</v>
      </c>
      <c r="H2173" s="19" t="n">
        <v>0</v>
      </c>
      <c r="I2173" s="21" t="n">
        <v>31.41</v>
      </c>
      <c r="J2173" s="22" t="s">
        <v>80</v>
      </c>
      <c r="K2173" s="11" t="n">
        <v>10</v>
      </c>
      <c r="L2173" s="23" t="n">
        <v>2.1</v>
      </c>
      <c r="M2173" s="24" t="b">
        <f aca="false">FALSE()</f>
        <v>0</v>
      </c>
      <c r="N2173" s="11"/>
      <c r="O2173" s="11" t="str">
        <f aca="false">IF(K2173&lt;=StockP33,"Low",IF(K2173&lt;=StockP67,"Moderate","High"))</f>
        <v>Low</v>
      </c>
      <c r="P2173" s="11" t="str">
        <f aca="false">IF(H2173=0,"Low",IF(H2173&lt;=MarkdownP75,"Moderate","High"))</f>
        <v>Low</v>
      </c>
      <c r="Q2173" s="11" t="str">
        <f aca="false">IF(ISBLANK(L2173),"Unknown",IF(L2173&gt;=4,"Good",IF(L2173&lt;=2,"Poor","Neutral")))</f>
        <v>Neutral</v>
      </c>
      <c r="R2173" s="11" t="str">
        <f aca="false">IF(AND(O2173="Low",P2173="Low",Q2173="Good"),"BUY / PRIORITIZE",IF(AND(O2173="High",P2173="High",OR(Q2173="Poor",M2173=TRUE())),"HOLD / REVIEW","MONITOR"))</f>
        <v>MONITOR</v>
      </c>
      <c r="S2173" s="11" t="n">
        <f aca="false">K2173+(ROW()/10000000)</f>
        <v>10.0002173</v>
      </c>
    </row>
    <row r="2174" customFormat="false" ht="15" hidden="false" customHeight="false" outlineLevel="0" collapsed="false">
      <c r="A2174" s="11" t="s">
        <v>2547</v>
      </c>
      <c r="B2174" s="11" t="s">
        <v>27</v>
      </c>
      <c r="C2174" s="11" t="s">
        <v>86</v>
      </c>
      <c r="D2174" s="11" t="s">
        <v>37</v>
      </c>
      <c r="E2174" s="11" t="s">
        <v>78</v>
      </c>
      <c r="F2174" s="11" t="s">
        <v>124</v>
      </c>
      <c r="G2174" s="21" t="n">
        <v>50.58</v>
      </c>
      <c r="H2174" s="19" t="n">
        <v>0</v>
      </c>
      <c r="I2174" s="21" t="n">
        <v>50.58</v>
      </c>
      <c r="J2174" s="22" t="s">
        <v>80</v>
      </c>
      <c r="K2174" s="11" t="n">
        <v>1</v>
      </c>
      <c r="L2174" s="23" t="n">
        <v>3.1</v>
      </c>
      <c r="M2174" s="24" t="b">
        <f aca="false">TRUE()</f>
        <v>1</v>
      </c>
      <c r="N2174" s="11" t="s">
        <v>178</v>
      </c>
      <c r="O2174" s="11" t="str">
        <f aca="false">IF(K2174&lt;=StockP33,"Low",IF(K2174&lt;=StockP67,"Moderate","High"))</f>
        <v>Low</v>
      </c>
      <c r="P2174" s="11" t="str">
        <f aca="false">IF(H2174=0,"Low",IF(H2174&lt;=MarkdownP75,"Moderate","High"))</f>
        <v>Low</v>
      </c>
      <c r="Q2174" s="11" t="str">
        <f aca="false">IF(ISBLANK(L2174),"Unknown",IF(L2174&gt;=4,"Good",IF(L2174&lt;=2,"Poor","Neutral")))</f>
        <v>Neutral</v>
      </c>
      <c r="R2174" s="11" t="str">
        <f aca="false">IF(AND(O2174="Low",P2174="Low",Q2174="Good"),"BUY / PRIORITIZE",IF(AND(O2174="High",P2174="High",OR(Q2174="Poor",M2174=TRUE())),"HOLD / REVIEW","MONITOR"))</f>
        <v>MONITOR</v>
      </c>
      <c r="S2174" s="11" t="n">
        <f aca="false">K2174+(ROW()/10000000)</f>
        <v>1.0002174</v>
      </c>
    </row>
    <row r="2175" customFormat="false" ht="15" hidden="false" customHeight="false" outlineLevel="0" collapsed="false">
      <c r="A2175" s="11" t="s">
        <v>2548</v>
      </c>
      <c r="B2175" s="11" t="s">
        <v>8</v>
      </c>
      <c r="C2175" s="11" t="s">
        <v>86</v>
      </c>
      <c r="D2175" s="11" t="s">
        <v>37</v>
      </c>
      <c r="E2175" s="11"/>
      <c r="F2175" s="11" t="s">
        <v>111</v>
      </c>
      <c r="G2175" s="21" t="n">
        <v>79.37</v>
      </c>
      <c r="H2175" s="19" t="n">
        <v>54.8</v>
      </c>
      <c r="I2175" s="21" t="n">
        <v>35.88</v>
      </c>
      <c r="J2175" s="22" t="s">
        <v>80</v>
      </c>
      <c r="K2175" s="11" t="n">
        <v>40</v>
      </c>
      <c r="L2175" s="23" t="n">
        <v>2.6</v>
      </c>
      <c r="M2175" s="24" t="b">
        <f aca="false">FALSE()</f>
        <v>0</v>
      </c>
      <c r="N2175" s="11"/>
      <c r="O2175" s="11" t="str">
        <f aca="false">IF(K2175&lt;=StockP33,"Low",IF(K2175&lt;=StockP67,"Moderate","High"))</f>
        <v>High</v>
      </c>
      <c r="P2175" s="11" t="str">
        <f aca="false">IF(H2175=0,"Low",IF(H2175&lt;=MarkdownP75,"Moderate","High"))</f>
        <v>High</v>
      </c>
      <c r="Q2175" s="11" t="str">
        <f aca="false">IF(ISBLANK(L2175),"Unknown",IF(L2175&gt;=4,"Good",IF(L2175&lt;=2,"Poor","Neutral")))</f>
        <v>Neutral</v>
      </c>
      <c r="R2175" s="11" t="str">
        <f aca="false">IF(AND(O2175="Low",P2175="Low",Q2175="Good"),"BUY / PRIORITIZE",IF(AND(O2175="High",P2175="High",OR(Q2175="Poor",M2175=TRUE())),"HOLD / REVIEW","MONITOR"))</f>
        <v>MONITOR</v>
      </c>
      <c r="S2175" s="11" t="n">
        <f aca="false">K2175+(ROW()/10000000)</f>
        <v>40.0002175</v>
      </c>
    </row>
    <row r="2176" customFormat="false" ht="15" hidden="false" customHeight="false" outlineLevel="0" collapsed="false">
      <c r="A2176" s="11" t="s">
        <v>2549</v>
      </c>
      <c r="B2176" s="11" t="s">
        <v>26</v>
      </c>
      <c r="C2176" s="11" t="s">
        <v>107</v>
      </c>
      <c r="D2176" s="11" t="s">
        <v>35</v>
      </c>
      <c r="E2176" s="11" t="s">
        <v>73</v>
      </c>
      <c r="F2176" s="11" t="s">
        <v>79</v>
      </c>
      <c r="G2176" s="21" t="n">
        <v>105.52</v>
      </c>
      <c r="H2176" s="19" t="n">
        <v>0</v>
      </c>
      <c r="I2176" s="21" t="n">
        <v>105.52</v>
      </c>
      <c r="J2176" s="22" t="s">
        <v>80</v>
      </c>
      <c r="K2176" s="11" t="n">
        <v>20</v>
      </c>
      <c r="L2176" s="23" t="n">
        <v>4.9</v>
      </c>
      <c r="M2176" s="24" t="b">
        <f aca="false">TRUE()</f>
        <v>1</v>
      </c>
      <c r="N2176" s="11" t="s">
        <v>128</v>
      </c>
      <c r="O2176" s="11" t="str">
        <f aca="false">IF(K2176&lt;=StockP33,"Low",IF(K2176&lt;=StockP67,"Moderate","High"))</f>
        <v>Moderate</v>
      </c>
      <c r="P2176" s="11" t="str">
        <f aca="false">IF(H2176=0,"Low",IF(H2176&lt;=MarkdownP75,"Moderate","High"))</f>
        <v>Low</v>
      </c>
      <c r="Q2176" s="11" t="str">
        <f aca="false">IF(ISBLANK(L2176),"Unknown",IF(L2176&gt;=4,"Good",IF(L2176&lt;=2,"Poor","Neutral")))</f>
        <v>Good</v>
      </c>
      <c r="R2176" s="11" t="str">
        <f aca="false">IF(AND(O2176="Low",P2176="Low",Q2176="Good"),"BUY / PRIORITIZE",IF(AND(O2176="High",P2176="High",OR(Q2176="Poor",M2176=TRUE())),"HOLD / REVIEW","MONITOR"))</f>
        <v>MONITOR</v>
      </c>
      <c r="S2176" s="11" t="n">
        <f aca="false">K2176+(ROW()/10000000)</f>
        <v>20.0002176</v>
      </c>
    </row>
    <row r="2177" customFormat="false" ht="15" hidden="false" customHeight="false" outlineLevel="0" collapsed="false">
      <c r="A2177" s="11" t="s">
        <v>2550</v>
      </c>
      <c r="B2177" s="11" t="s">
        <v>29</v>
      </c>
      <c r="C2177" s="11" t="s">
        <v>107</v>
      </c>
      <c r="D2177" s="11" t="s">
        <v>35</v>
      </c>
      <c r="E2177" s="11" t="s">
        <v>102</v>
      </c>
      <c r="F2177" s="11" t="s">
        <v>88</v>
      </c>
      <c r="G2177" s="21" t="n">
        <v>154.02</v>
      </c>
      <c r="H2177" s="19" t="n">
        <v>0</v>
      </c>
      <c r="I2177" s="21" t="n">
        <v>154.02</v>
      </c>
      <c r="J2177" s="22" t="s">
        <v>80</v>
      </c>
      <c r="K2177" s="11" t="n">
        <v>23</v>
      </c>
      <c r="L2177" s="23" t="n">
        <v>1.3</v>
      </c>
      <c r="M2177" s="24" t="b">
        <f aca="false">FALSE()</f>
        <v>0</v>
      </c>
      <c r="N2177" s="11"/>
      <c r="O2177" s="11" t="str">
        <f aca="false">IF(K2177&lt;=StockP33,"Low",IF(K2177&lt;=StockP67,"Moderate","High"))</f>
        <v>Moderate</v>
      </c>
      <c r="P2177" s="11" t="str">
        <f aca="false">IF(H2177=0,"Low",IF(H2177&lt;=MarkdownP75,"Moderate","High"))</f>
        <v>Low</v>
      </c>
      <c r="Q2177" s="11" t="str">
        <f aca="false">IF(ISBLANK(L2177),"Unknown",IF(L2177&gt;=4,"Good",IF(L2177&lt;=2,"Poor","Neutral")))</f>
        <v>Poor</v>
      </c>
      <c r="R2177" s="11" t="str">
        <f aca="false">IF(AND(O2177="Low",P2177="Low",Q2177="Good"),"BUY / PRIORITIZE",IF(AND(O2177="High",P2177="High",OR(Q2177="Poor",M2177=TRUE())),"HOLD / REVIEW","MONITOR"))</f>
        <v>MONITOR</v>
      </c>
      <c r="S2177" s="11" t="n">
        <f aca="false">K2177+(ROW()/10000000)</f>
        <v>23.0002177</v>
      </c>
    </row>
  </sheetData>
  <conditionalFormatting sqref="R2:R2177">
    <cfRule type="cellIs" priority="2" operator="equal" aboveAverage="0" equalAverage="0" bottom="0" percent="0" rank="0" text="" dxfId="7">
      <formula>"BUY / PRIORITIZE"</formula>
    </cfRule>
    <cfRule type="cellIs" priority="3" operator="equal" aboveAverage="0" equalAverage="0" bottom="0" percent="0" rank="0" text="" dxfId="0">
      <formula>"HOLD / REVIEW"</formula>
    </cfRule>
    <cfRule type="cellIs" priority="4" operator="equal" aboveAverage="0" equalAverage="0" bottom="0" percent="0" rank="0" text="" dxfId="8">
      <formula>"MONITOR"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5" t="s">
        <v>2551</v>
      </c>
      <c r="B1" s="15" t="s">
        <v>2552</v>
      </c>
    </row>
    <row r="2" customFormat="false" ht="15" hidden="false" customHeight="false" outlineLevel="0" collapsed="false">
      <c r="A2" s="11" t="s">
        <v>2553</v>
      </c>
      <c r="B2" s="11" t="n">
        <f aca="false">PERCENTILE('Raw Data'!$K$2:$K$2177,1/3)</f>
        <v>17</v>
      </c>
    </row>
    <row r="3" customFormat="false" ht="15" hidden="false" customHeight="false" outlineLevel="0" collapsed="false">
      <c r="A3" s="11" t="s">
        <v>2554</v>
      </c>
      <c r="B3" s="11" t="n">
        <f aca="false">PERCENTILE('Raw Data'!$K$2:$K$2177,2/3)</f>
        <v>33</v>
      </c>
    </row>
    <row r="4" customFormat="false" ht="15" hidden="false" customHeight="false" outlineLevel="0" collapsed="false">
      <c r="A4" s="11" t="s">
        <v>2555</v>
      </c>
      <c r="B4" s="11" t="n">
        <f aca="false">PERCENTILE('Raw Data'!$H$2:$H$2177,0.75)</f>
        <v>22.425</v>
      </c>
    </row>
    <row r="5" customFormat="false" ht="15" hidden="false" customHeight="false" outlineLevel="0" collapsed="false">
      <c r="A5" s="11" t="s">
        <v>2556</v>
      </c>
      <c r="B5" s="11" t="n">
        <f aca="false">AVERAGE('Raw Data'!$H$2:$H$2177)</f>
        <v>12.1447150735294</v>
      </c>
    </row>
    <row r="6" customFormat="false" ht="15" hidden="false" customHeight="false" outlineLevel="0" collapsed="false">
      <c r="A6" s="11" t="s">
        <v>2557</v>
      </c>
      <c r="B6" s="20" t="n">
        <f aca="false">SUMPRODUCT(--('Raw Data'!$M$2:$M$2177))/COUNTA('Raw Data'!$M$2:$M$2177)</f>
        <v>0.147058823529412</v>
      </c>
    </row>
    <row r="7" customFormat="false" ht="15" hidden="false" customHeight="false" outlineLevel="0" collapsed="false">
      <c r="A7" s="11" t="s">
        <v>2558</v>
      </c>
      <c r="B7" s="11" t="n">
        <f aca="false">SUM('Raw Data'!$K$2:$K$2177)</f>
        <v>54265</v>
      </c>
    </row>
    <row r="8" customFormat="false" ht="15" hidden="false" customHeight="false" outlineLevel="0" collapsed="false">
      <c r="A8" s="11" t="s">
        <v>2559</v>
      </c>
      <c r="B8" s="11" t="n">
        <f aca="false">COUNTA('Raw Data'!$A$2:$A$2177)</f>
        <v>2176</v>
      </c>
    </row>
    <row r="9" customFormat="false" ht="15" hidden="false" customHeight="false" outlineLevel="0" collapsed="false">
      <c r="A9" s="11" t="s">
        <v>2560</v>
      </c>
      <c r="B9" s="21" t="n">
        <f aca="false">AVERAGE('Raw Data'!$I$2:$I$2177)</f>
        <v>85.4995955882353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2026-09-10T04:43:11Z</dcterms:created>
  <dc:creator>openpyxl</dc:creator>
  <dc:description/>
  <dc:language>en-US</dc:language>
  <cp:lastModifiedBy/>
  <dcterms:modified xsi:type="dcterms:W3CDTF">2026-09-10T04:43:13Z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